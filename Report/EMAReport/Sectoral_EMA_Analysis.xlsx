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17-Sep-2026  15:36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10</v>
      </c>
      <c r="D4" s="5" t="n">
        <v>9</v>
      </c>
      <c r="E4" s="5" t="n">
        <v>11</v>
      </c>
      <c r="F4" s="6" t="n">
        <v>0.5</v>
      </c>
      <c r="G4" s="6" t="n">
        <v>0.45</v>
      </c>
      <c r="H4" s="6" t="n">
        <v>0.55</v>
      </c>
      <c r="I4" s="7" t="n">
        <v>0.5</v>
      </c>
    </row>
    <row r="5" ht="17" customHeight="1">
      <c r="A5" s="8" t="inlineStr">
        <is>
          <t>NIFTY METAL</t>
        </is>
      </c>
      <c r="B5" s="9" t="n">
        <v>15</v>
      </c>
      <c r="C5" s="9" t="n">
        <v>4</v>
      </c>
      <c r="D5" s="9" t="n">
        <v>5</v>
      </c>
      <c r="E5" s="9" t="n">
        <v>10</v>
      </c>
      <c r="F5" s="10" t="n">
        <v>0.267</v>
      </c>
      <c r="G5" s="10" t="n">
        <v>0.333</v>
      </c>
      <c r="H5" s="10" t="n">
        <v>0.667</v>
      </c>
      <c r="I5" s="11" t="n">
        <v>0.4223</v>
      </c>
    </row>
    <row r="6" ht="17" customHeight="1">
      <c r="A6" s="4" t="inlineStr">
        <is>
          <t>NIFTY REALTY</t>
        </is>
      </c>
      <c r="B6" s="5" t="n">
        <v>10</v>
      </c>
      <c r="C6" s="5" t="n">
        <v>2</v>
      </c>
      <c r="D6" s="5" t="n">
        <v>2</v>
      </c>
      <c r="E6" s="5" t="n">
        <v>6</v>
      </c>
      <c r="F6" s="6" t="n">
        <v>0.2</v>
      </c>
      <c r="G6" s="6" t="n">
        <v>0.2</v>
      </c>
      <c r="H6" s="6" t="n">
        <v>0.6</v>
      </c>
      <c r="I6" s="7" t="n">
        <v>0.3333</v>
      </c>
    </row>
    <row r="7" ht="17" customHeight="1">
      <c r="A7" s="8" t="inlineStr">
        <is>
          <t>NIFTY MEDIA</t>
        </is>
      </c>
      <c r="B7" s="9" t="n">
        <v>10</v>
      </c>
      <c r="C7" s="9" t="n">
        <v>4</v>
      </c>
      <c r="D7" s="9" t="n">
        <v>2</v>
      </c>
      <c r="E7" s="9" t="n">
        <v>4</v>
      </c>
      <c r="F7" s="10" t="n">
        <v>0.4</v>
      </c>
      <c r="G7" s="10" t="n">
        <v>0.2</v>
      </c>
      <c r="H7" s="10" t="n">
        <v>0.4</v>
      </c>
      <c r="I7" s="11" t="n">
        <v>0.3333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3</v>
      </c>
      <c r="D8" s="5" t="n">
        <v>7</v>
      </c>
      <c r="E8" s="5" t="n">
        <v>9</v>
      </c>
      <c r="F8" s="6" t="n">
        <v>0.15</v>
      </c>
      <c r="G8" s="6" t="n">
        <v>0.35</v>
      </c>
      <c r="H8" s="6" t="n">
        <v>0.45</v>
      </c>
      <c r="I8" s="7" t="n">
        <v>0.3167</v>
      </c>
    </row>
    <row r="9" ht="17" customHeight="1">
      <c r="A9" s="8" t="inlineStr">
        <is>
          <t>NIFTY AUTO</t>
        </is>
      </c>
      <c r="B9" s="9" t="n">
        <v>15</v>
      </c>
      <c r="C9" s="9" t="n">
        <v>2</v>
      </c>
      <c r="D9" s="9" t="n">
        <v>4</v>
      </c>
      <c r="E9" s="9" t="n">
        <v>8</v>
      </c>
      <c r="F9" s="10" t="n">
        <v>0.133</v>
      </c>
      <c r="G9" s="10" t="n">
        <v>0.267</v>
      </c>
      <c r="H9" s="10" t="n">
        <v>0.5329999999999999</v>
      </c>
      <c r="I9" s="11" t="n">
        <v>0.311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6</v>
      </c>
      <c r="D10" s="5" t="n">
        <v>4</v>
      </c>
      <c r="E10" s="5" t="n">
        <v>6</v>
      </c>
      <c r="F10" s="6" t="n">
        <v>0.3</v>
      </c>
      <c r="G10" s="6" t="n">
        <v>0.2</v>
      </c>
      <c r="H10" s="6" t="n">
        <v>0.3</v>
      </c>
      <c r="I10" s="7" t="n">
        <v>0.2667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2</v>
      </c>
      <c r="D11" s="9" t="n">
        <v>4</v>
      </c>
      <c r="E11" s="9" t="n">
        <v>5</v>
      </c>
      <c r="F11" s="10" t="n">
        <v>0.133</v>
      </c>
      <c r="G11" s="10" t="n">
        <v>0.267</v>
      </c>
      <c r="H11" s="10" t="n">
        <v>0.333</v>
      </c>
      <c r="I11" s="11" t="n">
        <v>0.2443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2</v>
      </c>
      <c r="D12" s="5" t="n">
        <v>3</v>
      </c>
      <c r="E12" s="5" t="n">
        <v>5</v>
      </c>
      <c r="F12" s="6" t="n">
        <v>0.133</v>
      </c>
      <c r="G12" s="6" t="n">
        <v>0.2</v>
      </c>
      <c r="H12" s="6" t="n">
        <v>0.333</v>
      </c>
      <c r="I12" s="7" t="n">
        <v>0.222</v>
      </c>
    </row>
    <row r="13" ht="17" customHeight="1">
      <c r="A13" s="8" t="inlineStr">
        <is>
          <t>NIFTY FMCG</t>
        </is>
      </c>
      <c r="B13" s="9" t="n">
        <v>15</v>
      </c>
      <c r="C13" s="9" t="n">
        <v>1</v>
      </c>
      <c r="D13" s="9" t="n">
        <v>2</v>
      </c>
      <c r="E13" s="9" t="n">
        <v>5</v>
      </c>
      <c r="F13" s="10" t="n">
        <v>0.067</v>
      </c>
      <c r="G13" s="10" t="n">
        <v>0.133</v>
      </c>
      <c r="H13" s="10" t="n">
        <v>0.333</v>
      </c>
      <c r="I13" s="11" t="n">
        <v>0.1777</v>
      </c>
    </row>
    <row r="14" ht="17" customHeight="1">
      <c r="A14" s="4" t="inlineStr">
        <is>
          <t>NIFTY BANK</t>
        </is>
      </c>
      <c r="B14" s="5" t="n">
        <v>12</v>
      </c>
      <c r="C14" s="5" t="n">
        <v>1</v>
      </c>
      <c r="D14" s="5" t="n">
        <v>1</v>
      </c>
      <c r="E14" s="5" t="n">
        <v>4</v>
      </c>
      <c r="F14" s="6" t="n">
        <v>0.083</v>
      </c>
      <c r="G14" s="6" t="n">
        <v>0.083</v>
      </c>
      <c r="H14" s="6" t="n">
        <v>0.333</v>
      </c>
      <c r="I14" s="7" t="n">
        <v>0.1663</v>
      </c>
    </row>
    <row r="15" ht="17" customHeight="1">
      <c r="A15" s="8" t="inlineStr">
        <is>
          <t>NIFTY PSU BANK</t>
        </is>
      </c>
      <c r="B15" s="9" t="n">
        <v>12</v>
      </c>
      <c r="C15" s="9" t="n">
        <v>1</v>
      </c>
      <c r="D15" s="9" t="n">
        <v>1</v>
      </c>
      <c r="E15" s="9" t="n">
        <v>4</v>
      </c>
      <c r="F15" s="10" t="n">
        <v>0.083</v>
      </c>
      <c r="G15" s="10" t="n">
        <v>0.083</v>
      </c>
      <c r="H15" s="10" t="n">
        <v>0.333</v>
      </c>
      <c r="I15" s="11" t="n">
        <v>0.1663</v>
      </c>
    </row>
    <row r="16" ht="17" customHeight="1">
      <c r="A16" s="4" t="inlineStr">
        <is>
          <t>NIFTY ENERGY</t>
        </is>
      </c>
      <c r="B16" s="5" t="n">
        <v>40</v>
      </c>
      <c r="C16" s="5" t="n">
        <v>3</v>
      </c>
      <c r="D16" s="5" t="n">
        <v>2</v>
      </c>
      <c r="E16" s="5" t="n">
        <v>11</v>
      </c>
      <c r="F16" s="6" t="n">
        <v>0.075</v>
      </c>
      <c r="G16" s="6" t="n">
        <v>0.05</v>
      </c>
      <c r="H16" s="6" t="n">
        <v>0.275</v>
      </c>
      <c r="I16" s="7" t="n">
        <v>0.1333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AUROPHARMA</t>
        </is>
      </c>
      <c r="C3" s="14" t="n">
        <v>1690</v>
      </c>
      <c r="D3" s="14" t="n">
        <v>1657.54</v>
      </c>
      <c r="E3" s="14" t="n">
        <v>1616.4</v>
      </c>
      <c r="F3" s="14" t="n">
        <v>1436.41</v>
      </c>
      <c r="G3" s="15">
        <f>HYPERLINK("https://www.tradingview.com/chart/?symbol=NSE:AUROPHARMA","Chart 📈")</f>
        <v/>
      </c>
    </row>
    <row r="4" ht="16" customHeight="1">
      <c r="A4" s="16" t="inlineStr">
        <is>
          <t>NIFTY PHARMA</t>
        </is>
      </c>
      <c r="B4" s="13" t="inlineStr">
        <is>
          <t>DIVISLAB</t>
        </is>
      </c>
      <c r="C4" s="14" t="n">
        <v>9323</v>
      </c>
      <c r="D4" s="14" t="n">
        <v>9113</v>
      </c>
      <c r="E4" s="14" t="n">
        <v>8501.290000000001</v>
      </c>
      <c r="F4" s="14" t="n">
        <v>7218.48</v>
      </c>
      <c r="G4" s="15">
        <f>HYPERLINK("https://www.tradingview.com/chart/?symbol=NSE:DIVISLAB","Chart 📈")</f>
        <v/>
      </c>
    </row>
    <row r="5" ht="16" customHeight="1">
      <c r="A5" s="16" t="inlineStr">
        <is>
          <t>NIFTY PHARMA</t>
        </is>
      </c>
      <c r="B5" s="13" t="inlineStr">
        <is>
          <t>GLAND</t>
        </is>
      </c>
      <c r="C5" s="14" t="n">
        <v>2907.8</v>
      </c>
      <c r="D5" s="14" t="n">
        <v>2881.87</v>
      </c>
      <c r="E5" s="14" t="n">
        <v>2730.19</v>
      </c>
      <c r="F5" s="14" t="n">
        <v>2270.53</v>
      </c>
      <c r="G5" s="15">
        <f>HYPERLINK("https://www.tradingview.com/chart/?symbol=NSE:GLAND","Chart 📈")</f>
        <v/>
      </c>
    </row>
    <row r="6" ht="16" customHeight="1">
      <c r="A6" s="16" t="inlineStr">
        <is>
          <t>NIFTY PHARMA</t>
        </is>
      </c>
      <c r="B6" s="13" t="inlineStr">
        <is>
          <t>GLENMARK</t>
        </is>
      </c>
      <c r="C6" s="14" t="n">
        <v>2416</v>
      </c>
      <c r="D6" s="14" t="n">
        <v>2406.49</v>
      </c>
      <c r="E6" s="14" t="n">
        <v>2349.32</v>
      </c>
      <c r="F6" s="14" t="n">
        <v>2213.64</v>
      </c>
      <c r="G6" s="15">
        <f>HYPERLINK("https://www.tradingview.com/chart/?symbol=NSE:GLENMARK","Chart 📈")</f>
        <v/>
      </c>
    </row>
    <row r="7" ht="16" customHeight="1">
      <c r="A7" s="16" t="inlineStr">
        <is>
          <t>NIFTY PHARMA</t>
        </is>
      </c>
      <c r="B7" s="13" t="inlineStr">
        <is>
          <t>GRANULES</t>
        </is>
      </c>
      <c r="C7" s="14" t="n">
        <v>870.4</v>
      </c>
      <c r="D7" s="14" t="n">
        <v>862.3200000000001</v>
      </c>
      <c r="E7" s="14" t="n">
        <v>845.42</v>
      </c>
      <c r="F7" s="14" t="n">
        <v>735.99</v>
      </c>
      <c r="G7" s="15">
        <f>HYPERLINK("https://www.tradingview.com/chart/?symbol=NSE:GRANULES","Chart 📈")</f>
        <v/>
      </c>
    </row>
    <row r="8" ht="16" customHeight="1">
      <c r="A8" s="16" t="inlineStr">
        <is>
          <t>NIFTY PHARMA</t>
        </is>
      </c>
      <c r="B8" s="13" t="inlineStr">
        <is>
          <t>IPCALAB</t>
        </is>
      </c>
      <c r="C8" s="14" t="n">
        <v>1970.3</v>
      </c>
      <c r="D8" s="14" t="n">
        <v>1937.19</v>
      </c>
      <c r="E8" s="14" t="n">
        <v>1859.8</v>
      </c>
      <c r="F8" s="14" t="n">
        <v>1643.3</v>
      </c>
      <c r="G8" s="15">
        <f>HYPERLINK("https://www.tradingview.com/chart/?symbol=NSE:IPCALAB","Chart 📈")</f>
        <v/>
      </c>
    </row>
    <row r="9" ht="16" customHeight="1">
      <c r="A9" s="16" t="inlineStr">
        <is>
          <t>NIFTY PHARMA</t>
        </is>
      </c>
      <c r="B9" s="13" t="inlineStr">
        <is>
          <t>LAURUSLABS</t>
        </is>
      </c>
      <c r="C9" s="14" t="n">
        <v>1948.1</v>
      </c>
      <c r="D9" s="14" t="n">
        <v>1896.55</v>
      </c>
      <c r="E9" s="14" t="n">
        <v>1783.94</v>
      </c>
      <c r="F9" s="14" t="n">
        <v>1405.83</v>
      </c>
      <c r="G9" s="15">
        <f>HYPERLINK("https://www.tradingview.com/chart/?symbol=NSE:LAURUSLABS","Chart 📈")</f>
        <v/>
      </c>
    </row>
    <row r="10" ht="16" customHeight="1">
      <c r="A10" s="16" t="inlineStr">
        <is>
          <t>NIFTY PHARMA</t>
        </is>
      </c>
      <c r="B10" s="13" t="inlineStr">
        <is>
          <t>ZYDUSLIFE</t>
        </is>
      </c>
      <c r="C10" s="14" t="n">
        <v>1135.1</v>
      </c>
      <c r="D10" s="14" t="n">
        <v>1130.81</v>
      </c>
      <c r="E10" s="14" t="n">
        <v>1124.2</v>
      </c>
      <c r="F10" s="14" t="n">
        <v>1047.43</v>
      </c>
      <c r="G10" s="15">
        <f>HYPERLINK("https://www.tradingview.com/chart/?symbol=NSE:ZYDUSLIFE","Chart 📈")</f>
        <v/>
      </c>
    </row>
    <row r="11" ht="16" customHeight="1">
      <c r="A11" s="8" t="inlineStr">
        <is>
          <t>NIFTY METAL</t>
        </is>
      </c>
      <c r="B11" s="17" t="inlineStr">
        <is>
          <t>APLAPOLLO</t>
        </is>
      </c>
      <c r="C11" s="18" t="n">
        <v>2148.5</v>
      </c>
      <c r="D11" s="18" t="n">
        <v>2142.86</v>
      </c>
      <c r="E11" s="18" t="n">
        <v>2057.68</v>
      </c>
      <c r="F11" s="18" t="n">
        <v>1936.3</v>
      </c>
      <c r="G11" s="19">
        <f>HYPERLINK("https://www.tradingview.com/chart/?symbol=NSE:APLAPOLLO","Chart 📈")</f>
        <v/>
      </c>
    </row>
    <row r="12" ht="16" customHeight="1">
      <c r="A12" s="20" t="inlineStr">
        <is>
          <t>NIFTY METAL</t>
        </is>
      </c>
      <c r="B12" s="17" t="inlineStr">
        <is>
          <t>RATNAMANI</t>
        </is>
      </c>
      <c r="C12" s="18" t="n">
        <v>2702.6</v>
      </c>
      <c r="D12" s="18" t="n">
        <v>2653.45</v>
      </c>
      <c r="E12" s="18" t="n">
        <v>2568.27</v>
      </c>
      <c r="F12" s="18" t="n">
        <v>2475.47</v>
      </c>
      <c r="G12" s="19">
        <f>HYPERLINK("https://www.tradingview.com/chart/?symbol=NSE:RATNAMANI","Chart 📈")</f>
        <v/>
      </c>
    </row>
    <row r="13" ht="16" customHeight="1">
      <c r="A13" s="20" t="inlineStr">
        <is>
          <t>NIFTY METAL</t>
        </is>
      </c>
      <c r="B13" s="17" t="inlineStr">
        <is>
          <t>WELCORP</t>
        </is>
      </c>
      <c r="C13" s="18" t="n">
        <v>2460.3</v>
      </c>
      <c r="D13" s="18" t="n">
        <v>2437.25</v>
      </c>
      <c r="E13" s="18" t="n">
        <v>2130.3</v>
      </c>
      <c r="F13" s="18" t="n">
        <v>1479.87</v>
      </c>
      <c r="G13" s="19">
        <f>HYPERLINK("https://www.tradingview.com/chart/?symbol=NSE:WELCORP","Chart 📈")</f>
        <v/>
      </c>
    </row>
    <row r="14" ht="16" customHeight="1">
      <c r="A14" s="12" t="inlineStr">
        <is>
          <t>NIFTY REALTY</t>
        </is>
      </c>
      <c r="B14" s="13" t="inlineStr">
        <is>
          <t>RAYMOND</t>
        </is>
      </c>
      <c r="C14" s="14" t="n">
        <v>978.2</v>
      </c>
      <c r="D14" s="14" t="n">
        <v>815.83</v>
      </c>
      <c r="E14" s="14" t="n">
        <v>707.41</v>
      </c>
      <c r="F14" s="14" t="n">
        <v>575.99</v>
      </c>
      <c r="G14" s="15">
        <f>HYPERLINK("https://www.tradingview.com/chart/?symbol=NSE:RAYMOND","Chart 📈")</f>
        <v/>
      </c>
    </row>
    <row r="15" ht="16" customHeight="1">
      <c r="A15" s="8" t="inlineStr">
        <is>
          <t>NIFTY MEDIA</t>
        </is>
      </c>
      <c r="B15" s="17" t="inlineStr">
        <is>
          <t>NAZARA</t>
        </is>
      </c>
      <c r="C15" s="18" t="n">
        <v>362.55</v>
      </c>
      <c r="D15" s="18" t="n">
        <v>360.67</v>
      </c>
      <c r="E15" s="18" t="n">
        <v>343.23</v>
      </c>
      <c r="F15" s="18" t="n">
        <v>300.07</v>
      </c>
      <c r="G15" s="19">
        <f>HYPERLINK("https://www.tradingview.com/chart/?symbol=NSE:NAZARA","Chart 📈")</f>
        <v/>
      </c>
    </row>
    <row r="16" ht="16" customHeight="1">
      <c r="A16" s="20" t="inlineStr">
        <is>
          <t>NIFTY MEDIA</t>
        </is>
      </c>
      <c r="B16" s="17" t="inlineStr">
        <is>
          <t>PVRINOX</t>
        </is>
      </c>
      <c r="C16" s="18" t="n">
        <v>1272.7</v>
      </c>
      <c r="D16" s="18" t="n">
        <v>1218.46</v>
      </c>
      <c r="E16" s="18" t="n">
        <v>1163.87</v>
      </c>
      <c r="F16" s="18" t="n">
        <v>1080.43</v>
      </c>
      <c r="G16" s="19">
        <f>HYPERLINK("https://www.tradingview.com/chart/?symbol=NSE:PVRINOX","Chart 📈")</f>
        <v/>
      </c>
    </row>
    <row r="17" ht="16" customHeight="1">
      <c r="A17" s="12" t="inlineStr">
        <is>
          <t>NIFTY MIDSMALL IT &amp; TELECOM</t>
        </is>
      </c>
      <c r="B17" s="13" t="inlineStr">
        <is>
          <t>CYIENT</t>
        </is>
      </c>
      <c r="C17" s="14" t="n">
        <v>1064</v>
      </c>
      <c r="D17" s="14" t="n">
        <v>1044.25</v>
      </c>
      <c r="E17" s="14" t="n">
        <v>975.92</v>
      </c>
      <c r="F17" s="14" t="n">
        <v>977.3</v>
      </c>
      <c r="G17" s="15">
        <f>HYPERLINK("https://www.tradingview.com/chart/?symbol=NSE:CYIENT","Chart 📈")</f>
        <v/>
      </c>
    </row>
    <row r="18" ht="16" customHeight="1">
      <c r="A18" s="16" t="inlineStr">
        <is>
          <t>NIFTY MIDSMALL IT &amp; TELECOM</t>
        </is>
      </c>
      <c r="B18" s="13" t="inlineStr">
        <is>
          <t>TATACOMM</t>
        </is>
      </c>
      <c r="C18" s="14" t="n">
        <v>1791.6</v>
      </c>
      <c r="D18" s="14" t="n">
        <v>1747.66</v>
      </c>
      <c r="E18" s="14" t="n">
        <v>1758.35</v>
      </c>
      <c r="F18" s="14" t="n">
        <v>1732.91</v>
      </c>
      <c r="G18" s="15">
        <f>HYPERLINK("https://www.tradingview.com/chart/?symbol=NSE:TATACOMM","Chart 📈")</f>
        <v/>
      </c>
    </row>
    <row r="19" ht="16" customHeight="1">
      <c r="A19" s="8" t="inlineStr">
        <is>
          <t>NIFTY AUTO</t>
        </is>
      </c>
      <c r="B19" s="17" t="inlineStr">
        <is>
          <t>BOSCHLTD</t>
        </is>
      </c>
      <c r="C19" s="18" t="n">
        <v>47735</v>
      </c>
      <c r="D19" s="18" t="n">
        <v>47610.38</v>
      </c>
      <c r="E19" s="18" t="n">
        <v>45394.78</v>
      </c>
      <c r="F19" s="18" t="n">
        <v>40334.22</v>
      </c>
      <c r="G19" s="19">
        <f>HYPERLINK("https://www.tradingview.com/chart/?symbol=NSE:BOSCHLTD","Chart 📈")</f>
        <v/>
      </c>
    </row>
    <row r="20" ht="16" customHeight="1">
      <c r="A20" s="12" t="inlineStr">
        <is>
          <t>NIFTY FINANCIAL SERVICES</t>
        </is>
      </c>
      <c r="B20" s="13" t="inlineStr">
        <is>
          <t>KOTAKBANK</t>
        </is>
      </c>
      <c r="C20" s="14" t="n">
        <v>416.5</v>
      </c>
      <c r="D20" s="14" t="n">
        <v>413.67</v>
      </c>
      <c r="E20" s="14" t="n">
        <v>404.77</v>
      </c>
      <c r="F20" s="14" t="n">
        <v>399.65</v>
      </c>
      <c r="G20" s="15">
        <f>HYPERLINK("https://www.tradingview.com/chart/?symbol=NSE:KOTAKBANK","Chart 📈")</f>
        <v/>
      </c>
    </row>
    <row r="21" ht="16" customHeight="1">
      <c r="A21" s="16" t="inlineStr">
        <is>
          <t>NIFTY FINANCIAL SERVICES</t>
        </is>
      </c>
      <c r="B21" s="13" t="inlineStr">
        <is>
          <t>LICHSGFIN</t>
        </is>
      </c>
      <c r="C21" s="14" t="n">
        <v>545.9</v>
      </c>
      <c r="D21" s="14" t="n">
        <v>539.73</v>
      </c>
      <c r="E21" s="14" t="n">
        <v>530.79</v>
      </c>
      <c r="F21" s="14" t="n">
        <v>531.0700000000001</v>
      </c>
      <c r="G21" s="15">
        <f>HYPERLINK("https://www.tradingview.com/chart/?symbol=NSE:LICHSGFIN","Chart 📈")</f>
        <v/>
      </c>
    </row>
    <row r="22" ht="16" customHeight="1">
      <c r="A22" s="16" t="inlineStr">
        <is>
          <t>NIFTY FINANCIAL SERVICES</t>
        </is>
      </c>
      <c r="B22" s="13" t="inlineStr">
        <is>
          <t>MCX</t>
        </is>
      </c>
      <c r="C22" s="14" t="n">
        <v>3265.2</v>
      </c>
      <c r="D22" s="14" t="n">
        <v>3217.31</v>
      </c>
      <c r="E22" s="14" t="n">
        <v>3077.13</v>
      </c>
      <c r="F22" s="14" t="n">
        <v>2695.97</v>
      </c>
      <c r="G22" s="15">
        <f>HYPERLINK("https://www.tradingview.com/chart/?symbol=NSE:MCX","Chart 📈")</f>
        <v/>
      </c>
    </row>
    <row r="23" ht="16" customHeight="1">
      <c r="A23" s="8" t="inlineStr">
        <is>
          <t>NIFTY CONSUMER DURABLES</t>
        </is>
      </c>
      <c r="B23" s="17" t="inlineStr">
        <is>
          <t>VGUARD</t>
        </is>
      </c>
      <c r="C23" s="18" t="n">
        <v>330.15</v>
      </c>
      <c r="D23" s="18" t="n">
        <v>329</v>
      </c>
      <c r="E23" s="18" t="n">
        <v>323.37</v>
      </c>
      <c r="F23" s="18" t="n">
        <v>324.91</v>
      </c>
      <c r="G23" s="19">
        <f>HYPERLINK("https://www.tradingview.com/chart/?symbol=NSE:VGUARD","Chart 📈")</f>
        <v/>
      </c>
    </row>
    <row r="24" ht="16" customHeight="1">
      <c r="A24" s="12" t="inlineStr">
        <is>
          <t>NIFTY OIL &amp; GAS</t>
        </is>
      </c>
      <c r="B24" s="13" t="inlineStr">
        <is>
          <t>AEGISLOG</t>
        </is>
      </c>
      <c r="C24" s="14" t="n">
        <v>1353.8</v>
      </c>
      <c r="D24" s="14" t="n">
        <v>1318.57</v>
      </c>
      <c r="E24" s="14" t="n">
        <v>1268.83</v>
      </c>
      <c r="F24" s="14" t="n">
        <v>1002.28</v>
      </c>
      <c r="G24" s="15">
        <f>HYPERLINK("https://www.tradingview.com/chart/?symbol=NSE:AEGISLOG","Chart 📈")</f>
        <v/>
      </c>
    </row>
    <row r="25" ht="16" customHeight="1">
      <c r="A25" s="16" t="inlineStr">
        <is>
          <t>NIFTY OIL &amp; GAS</t>
        </is>
      </c>
      <c r="B25" s="13" t="inlineStr">
        <is>
          <t>CASTROLIND</t>
        </is>
      </c>
      <c r="C25" s="14" t="n">
        <v>191.72</v>
      </c>
      <c r="D25" s="14" t="n">
        <v>187.75</v>
      </c>
      <c r="E25" s="14" t="n">
        <v>185.03</v>
      </c>
      <c r="F25" s="14" t="n">
        <v>181.58</v>
      </c>
      <c r="G25" s="15">
        <f>HYPERLINK("https://www.tradingview.com/chart/?symbol=NSE:CASTROLIND","Chart 📈")</f>
        <v/>
      </c>
    </row>
    <row r="26" ht="16" customHeight="1">
      <c r="A26" s="8" t="inlineStr">
        <is>
          <t>NIFTY BANK</t>
        </is>
      </c>
      <c r="B26" s="17" t="inlineStr">
        <is>
          <t>IDFCFIRSTB</t>
        </is>
      </c>
      <c r="C26" s="18" t="n">
        <v>86.33</v>
      </c>
      <c r="D26" s="18" t="n">
        <v>85.63</v>
      </c>
      <c r="E26" s="18" t="n">
        <v>83.73999999999999</v>
      </c>
      <c r="F26" s="18" t="n">
        <v>78.02</v>
      </c>
      <c r="G26" s="19">
        <f>HYPERLINK("https://www.tradingview.com/chart/?symbol=NSE:IDFCFIRSTB","Chart 📈")</f>
        <v/>
      </c>
    </row>
    <row r="27" ht="16" customHeight="1">
      <c r="A27" s="12" t="inlineStr">
        <is>
          <t>NIFTY PSU BANK</t>
        </is>
      </c>
      <c r="B27" s="13" t="inlineStr">
        <is>
          <t>PNB</t>
        </is>
      </c>
      <c r="C27" s="14" t="n">
        <v>116.47</v>
      </c>
      <c r="D27" s="14" t="n">
        <v>115.95</v>
      </c>
      <c r="E27" s="14" t="n">
        <v>113.91</v>
      </c>
      <c r="F27" s="14" t="n">
        <v>111.56</v>
      </c>
      <c r="G27" s="15">
        <f>HYPERLINK("https://www.tradingview.com/chart/?symbol=NSE:PNB","Chart 📈")</f>
        <v/>
      </c>
    </row>
    <row r="28" ht="16" customHeight="1">
      <c r="A28" s="8" t="inlineStr">
        <is>
          <t>NIFTY ENERGY</t>
        </is>
      </c>
      <c r="B28" s="17" t="inlineStr">
        <is>
          <t>BHEL</t>
        </is>
      </c>
      <c r="C28" s="18" t="n">
        <v>429.2</v>
      </c>
      <c r="D28" s="18" t="n">
        <v>423.75</v>
      </c>
      <c r="E28" s="18" t="n">
        <v>415.91</v>
      </c>
      <c r="F28" s="18" t="n">
        <v>356.71</v>
      </c>
      <c r="G28" s="19">
        <f>HYPERLINK("https://www.tradingview.com/chart/?symbol=NSE:BHEL","Chart 📈")</f>
        <v/>
      </c>
    </row>
    <row r="29" ht="16" customHeight="1">
      <c r="A29" s="20" t="inlineStr">
        <is>
          <t>NIFTY ENERGY</t>
        </is>
      </c>
      <c r="B29" s="17" t="inlineStr">
        <is>
          <t>COALINDIA</t>
        </is>
      </c>
      <c r="C29" s="18" t="n">
        <v>418</v>
      </c>
      <c r="D29" s="18" t="n">
        <v>415.9</v>
      </c>
      <c r="E29" s="18" t="n">
        <v>415.35</v>
      </c>
      <c r="F29" s="18" t="n">
        <v>415.14</v>
      </c>
      <c r="G29" s="19">
        <f>HYPERLINK("https://www.tradingview.com/chart/?symbol=NSE:COALINDIA","Chart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2026-09-17T15:36:18Z</dcterms:created>
  <dcterms:modified xmlns:dcterms="http://purl.org/dc/terms/" xmlns:xsi="http://www.w3.org/2001/XMLSchema-instance" xsi:type="dcterms:W3CDTF">2026-09-17T15:36:18Z</dcterms:modified>
</cp:coreProperties>
</file>