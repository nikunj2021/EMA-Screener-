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07-Jul-2026  13:27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19</v>
      </c>
      <c r="E4" s="5" t="n">
        <v>19</v>
      </c>
      <c r="F4" s="6" t="n">
        <v>0.95</v>
      </c>
      <c r="G4" s="6" t="n">
        <v>0.95</v>
      </c>
      <c r="H4" s="6" t="n">
        <v>0.95</v>
      </c>
      <c r="I4" s="7" t="n">
        <v>0.95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9</v>
      </c>
      <c r="E5" s="9" t="n">
        <v>9</v>
      </c>
      <c r="F5" s="10" t="n">
        <v>0.9</v>
      </c>
      <c r="G5" s="10" t="n">
        <v>0.9</v>
      </c>
      <c r="H5" s="10" t="n">
        <v>0.9</v>
      </c>
      <c r="I5" s="11" t="n">
        <v>0.9</v>
      </c>
    </row>
    <row r="6" ht="17" customHeight="1">
      <c r="A6" s="4" t="inlineStr">
        <is>
          <t>NIFTY AUTO</t>
        </is>
      </c>
      <c r="B6" s="5" t="n">
        <v>15</v>
      </c>
      <c r="C6" s="5" t="n">
        <v>13</v>
      </c>
      <c r="D6" s="5" t="n">
        <v>14</v>
      </c>
      <c r="E6" s="5" t="n">
        <v>11</v>
      </c>
      <c r="F6" s="6" t="n">
        <v>0.867</v>
      </c>
      <c r="G6" s="6" t="n">
        <v>0.9329999999999999</v>
      </c>
      <c r="H6" s="6" t="n">
        <v>0.733</v>
      </c>
      <c r="I6" s="7" t="n">
        <v>0.8443000000000001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10</v>
      </c>
      <c r="E7" s="9" t="n">
        <v>6</v>
      </c>
      <c r="F7" s="10" t="n">
        <v>0.8</v>
      </c>
      <c r="G7" s="10" t="n">
        <v>0.667</v>
      </c>
      <c r="H7" s="10" t="n">
        <v>0.4</v>
      </c>
      <c r="I7" s="11" t="n">
        <v>0.6223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10</v>
      </c>
      <c r="D8" s="5" t="n">
        <v>11</v>
      </c>
      <c r="E8" s="5" t="n">
        <v>10</v>
      </c>
      <c r="F8" s="6" t="n">
        <v>0.5</v>
      </c>
      <c r="G8" s="6" t="n">
        <v>0.55</v>
      </c>
      <c r="H8" s="6" t="n">
        <v>0.5</v>
      </c>
      <c r="I8" s="7" t="n">
        <v>0.5167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11</v>
      </c>
      <c r="D9" s="9" t="n">
        <v>12</v>
      </c>
      <c r="E9" s="9" t="n">
        <v>8</v>
      </c>
      <c r="F9" s="10" t="n">
        <v>0.55</v>
      </c>
      <c r="G9" s="10" t="n">
        <v>0.6</v>
      </c>
      <c r="H9" s="10" t="n">
        <v>0.4</v>
      </c>
      <c r="I9" s="11" t="n">
        <v>0.5167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8</v>
      </c>
      <c r="D10" s="5" t="n">
        <v>7</v>
      </c>
      <c r="E10" s="5" t="n">
        <v>6</v>
      </c>
      <c r="F10" s="6" t="n">
        <v>0.5329999999999999</v>
      </c>
      <c r="G10" s="6" t="n">
        <v>0.467</v>
      </c>
      <c r="H10" s="6" t="n">
        <v>0.4</v>
      </c>
      <c r="I10" s="7" t="n">
        <v>0.4667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7</v>
      </c>
      <c r="E11" s="9" t="n">
        <v>4</v>
      </c>
      <c r="F11" s="10" t="n">
        <v>0.3</v>
      </c>
      <c r="G11" s="10" t="n">
        <v>0.7</v>
      </c>
      <c r="H11" s="10" t="n">
        <v>0.4</v>
      </c>
      <c r="I11" s="11" t="n">
        <v>0.4667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6</v>
      </c>
      <c r="D12" s="5" t="n">
        <v>8</v>
      </c>
      <c r="E12" s="5" t="n">
        <v>4</v>
      </c>
      <c r="F12" s="6" t="n">
        <v>0.4</v>
      </c>
      <c r="G12" s="6" t="n">
        <v>0.5329999999999999</v>
      </c>
      <c r="H12" s="6" t="n">
        <v>0.267</v>
      </c>
      <c r="I12" s="7" t="n">
        <v>0.4</v>
      </c>
    </row>
    <row r="13" ht="17" customHeight="1">
      <c r="A13" s="8" t="inlineStr">
        <is>
          <t>NIFTY METAL</t>
        </is>
      </c>
      <c r="B13" s="9" t="n">
        <v>15</v>
      </c>
      <c r="C13" s="9" t="n">
        <v>5</v>
      </c>
      <c r="D13" s="9" t="n">
        <v>3</v>
      </c>
      <c r="E13" s="9" t="n">
        <v>10</v>
      </c>
      <c r="F13" s="10" t="n">
        <v>0.333</v>
      </c>
      <c r="G13" s="10" t="n">
        <v>0.2</v>
      </c>
      <c r="H13" s="10" t="n">
        <v>0.667</v>
      </c>
      <c r="I13" s="11" t="n">
        <v>0.4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PSU BANK</t>
        </is>
      </c>
      <c r="B15" s="9" t="n">
        <v>12</v>
      </c>
      <c r="C15" s="9" t="n">
        <v>2</v>
      </c>
      <c r="D15" s="9" t="n">
        <v>4</v>
      </c>
      <c r="E15" s="9" t="n">
        <v>4</v>
      </c>
      <c r="F15" s="10" t="n">
        <v>0.167</v>
      </c>
      <c r="G15" s="10" t="n">
        <v>0.333</v>
      </c>
      <c r="H15" s="10" t="n">
        <v>0.333</v>
      </c>
      <c r="I15" s="11" t="n">
        <v>0.2777</v>
      </c>
    </row>
    <row r="16" ht="17" customHeight="1">
      <c r="A16" s="4" t="inlineStr">
        <is>
          <t>NIFTY ENERGY</t>
        </is>
      </c>
      <c r="B16" s="5" t="n">
        <v>40</v>
      </c>
      <c r="C16" s="5" t="n">
        <v>4</v>
      </c>
      <c r="D16" s="5" t="n">
        <v>7</v>
      </c>
      <c r="E16" s="5" t="n">
        <v>17</v>
      </c>
      <c r="F16" s="6" t="n">
        <v>0.1</v>
      </c>
      <c r="G16" s="6" t="n">
        <v>0.175</v>
      </c>
      <c r="H16" s="6" t="n">
        <v>0.425</v>
      </c>
      <c r="I16" s="7" t="n">
        <v>0.2333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1</v>
      </c>
      <c r="E17" s="9" t="n">
        <v>1</v>
      </c>
      <c r="F17" s="10" t="n">
        <v>0.3</v>
      </c>
      <c r="G17" s="10" t="n">
        <v>0.1</v>
      </c>
      <c r="H17" s="10" t="n">
        <v>0.1</v>
      </c>
      <c r="I17" s="11" t="n">
        <v>0.1667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3314.5</v>
      </c>
      <c r="D3" s="14" t="n">
        <v>3231.79</v>
      </c>
      <c r="E3" s="14" t="n">
        <v>3115.55</v>
      </c>
      <c r="F3" s="14" t="n">
        <v>2880.84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5667.5</v>
      </c>
      <c r="D4" s="14" t="n">
        <v>5473.97</v>
      </c>
      <c r="E4" s="14" t="n">
        <v>5439.68</v>
      </c>
      <c r="F4" s="14" t="n">
        <v>5402.43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1583.1</v>
      </c>
      <c r="D5" s="14" t="n">
        <v>1531.93</v>
      </c>
      <c r="E5" s="14" t="n">
        <v>1476.1</v>
      </c>
      <c r="F5" s="14" t="n">
        <v>1320.77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1451.8</v>
      </c>
      <c r="D6" s="14" t="n">
        <v>1427.72</v>
      </c>
      <c r="E6" s="14" t="n">
        <v>1388.49</v>
      </c>
      <c r="F6" s="14" t="n">
        <v>1392.76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6771.5</v>
      </c>
      <c r="D7" s="14" t="n">
        <v>6699.38</v>
      </c>
      <c r="E7" s="14" t="n">
        <v>6629.5</v>
      </c>
      <c r="F7" s="14" t="n">
        <v>6482.96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1354.6</v>
      </c>
      <c r="D8" s="14" t="n">
        <v>1329.57</v>
      </c>
      <c r="E8" s="14" t="n">
        <v>1307.79</v>
      </c>
      <c r="F8" s="14" t="n">
        <v>1281.44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2550</v>
      </c>
      <c r="D9" s="14" t="n">
        <v>2357.13</v>
      </c>
      <c r="E9" s="14" t="n">
        <v>2202.76</v>
      </c>
      <c r="F9" s="14" t="n">
        <v>1956.21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2264.9</v>
      </c>
      <c r="D10" s="14" t="n">
        <v>2206.1</v>
      </c>
      <c r="E10" s="14" t="n">
        <v>2217.71</v>
      </c>
      <c r="F10" s="14" t="n">
        <v>2117.93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863.55</v>
      </c>
      <c r="D11" s="14" t="n">
        <v>799.83</v>
      </c>
      <c r="E11" s="14" t="n">
        <v>760.47</v>
      </c>
      <c r="F11" s="14" t="n">
        <v>648.45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1793.1</v>
      </c>
      <c r="D12" s="14" t="n">
        <v>1667.41</v>
      </c>
      <c r="E12" s="14" t="n">
        <v>1610.59</v>
      </c>
      <c r="F12" s="14" t="n">
        <v>1514.51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2422</v>
      </c>
      <c r="D13" s="14" t="n">
        <v>2278.13</v>
      </c>
      <c r="E13" s="14" t="n">
        <v>2198.25</v>
      </c>
      <c r="F13" s="14" t="n">
        <v>1984.12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1477.4</v>
      </c>
      <c r="D14" s="14" t="n">
        <v>1459.05</v>
      </c>
      <c r="E14" s="14" t="n">
        <v>1366.02</v>
      </c>
      <c r="F14" s="14" t="n">
        <v>1133.01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2490.2</v>
      </c>
      <c r="D15" s="14" t="n">
        <v>2379.64</v>
      </c>
      <c r="E15" s="14" t="n">
        <v>2332.35</v>
      </c>
      <c r="F15" s="14" t="n">
        <v>2211.22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2527.4</v>
      </c>
      <c r="D16" s="14" t="n">
        <v>2471.23</v>
      </c>
      <c r="E16" s="14" t="n">
        <v>2400.31</v>
      </c>
      <c r="F16" s="14" t="n">
        <v>2314.84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984.15</v>
      </c>
      <c r="D17" s="14" t="n">
        <v>930.2</v>
      </c>
      <c r="E17" s="14" t="n">
        <v>969.46</v>
      </c>
      <c r="F17" s="14" t="n">
        <v>961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1903.4</v>
      </c>
      <c r="D18" s="14" t="n">
        <v>1856.45</v>
      </c>
      <c r="E18" s="14" t="n">
        <v>1824.38</v>
      </c>
      <c r="F18" s="14" t="n">
        <v>1751.93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4856.7</v>
      </c>
      <c r="D19" s="14" t="n">
        <v>4601.77</v>
      </c>
      <c r="E19" s="14" t="n">
        <v>4472.75</v>
      </c>
      <c r="F19" s="14" t="n">
        <v>4104.98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1153</v>
      </c>
      <c r="D20" s="14" t="n">
        <v>1105.47</v>
      </c>
      <c r="E20" s="14" t="n">
        <v>1057.35</v>
      </c>
      <c r="F20" s="14" t="n">
        <v>982.58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REALTY</t>
        </is>
      </c>
      <c r="B21" s="17" t="inlineStr">
        <is>
          <t>DLF</t>
        </is>
      </c>
      <c r="C21" s="18" t="n">
        <v>651.1</v>
      </c>
      <c r="D21" s="18" t="n">
        <v>629.64</v>
      </c>
      <c r="E21" s="18" t="n">
        <v>609.9400000000001</v>
      </c>
      <c r="F21" s="18" t="n">
        <v>647.91</v>
      </c>
      <c r="G21" s="19">
        <f>HYPERLINK("https://www.tradingview.com/chart/?symbol=NSE:DLF","Chart 📈")</f>
        <v/>
      </c>
    </row>
    <row r="22" ht="16" customHeight="1">
      <c r="A22" s="20" t="inlineStr">
        <is>
          <t>NIFTY REALTY</t>
        </is>
      </c>
      <c r="B22" s="17" t="inlineStr">
        <is>
          <t>GODREJPROP</t>
        </is>
      </c>
      <c r="C22" s="18" t="n">
        <v>2043.1</v>
      </c>
      <c r="D22" s="18" t="n">
        <v>1874.49</v>
      </c>
      <c r="E22" s="18" t="n">
        <v>1806.47</v>
      </c>
      <c r="F22" s="18" t="n">
        <v>1873.23</v>
      </c>
      <c r="G22" s="19">
        <f>HYPERLINK("https://www.tradingview.com/chart/?symbol=NSE:GODREJPROP","Chart 📈")</f>
        <v/>
      </c>
    </row>
    <row r="23" ht="16" customHeight="1">
      <c r="A23" s="20" t="inlineStr">
        <is>
          <t>NIFTY REALTY</t>
        </is>
      </c>
      <c r="B23" s="17" t="inlineStr">
        <is>
          <t>LODHA</t>
        </is>
      </c>
      <c r="C23" s="18" t="n">
        <v>1102.55</v>
      </c>
      <c r="D23" s="18" t="n">
        <v>974.63</v>
      </c>
      <c r="E23" s="18" t="n">
        <v>933.29</v>
      </c>
      <c r="F23" s="18" t="n">
        <v>1008.87</v>
      </c>
      <c r="G23" s="19">
        <f>HYPERLINK("https://www.tradingview.com/chart/?symbol=NSE:LODHA","Chart 📈")</f>
        <v/>
      </c>
    </row>
    <row r="24" ht="16" customHeight="1">
      <c r="A24" s="20" t="inlineStr">
        <is>
          <t>NIFTY REALTY</t>
        </is>
      </c>
      <c r="B24" s="17" t="inlineStr">
        <is>
          <t>MAHLIFE</t>
        </is>
      </c>
      <c r="C24" s="18" t="n">
        <v>370.9</v>
      </c>
      <c r="D24" s="18" t="n">
        <v>356.25</v>
      </c>
      <c r="E24" s="18" t="n">
        <v>345.75</v>
      </c>
      <c r="F24" s="18" t="n">
        <v>351.67</v>
      </c>
      <c r="G24" s="19">
        <f>HYPERLINK("https://www.tradingview.com/chart/?symbol=NSE:MAHLIFE","Chart 📈")</f>
        <v/>
      </c>
    </row>
    <row r="25" ht="16" customHeight="1">
      <c r="A25" s="20" t="inlineStr">
        <is>
          <t>NIFTY REALTY</t>
        </is>
      </c>
      <c r="B25" s="17" t="inlineStr">
        <is>
          <t>OBEROIRLTY</t>
        </is>
      </c>
      <c r="C25" s="18" t="n">
        <v>1906.4</v>
      </c>
      <c r="D25" s="18" t="n">
        <v>1778.51</v>
      </c>
      <c r="E25" s="18" t="n">
        <v>1706.84</v>
      </c>
      <c r="F25" s="18" t="n">
        <v>1659.35</v>
      </c>
      <c r="G25" s="19">
        <f>HYPERLINK("https://www.tradingview.com/chart/?symbol=NSE:OBEROIRLTY","Chart 📈")</f>
        <v/>
      </c>
    </row>
    <row r="26" ht="16" customHeight="1">
      <c r="A26" s="20" t="inlineStr">
        <is>
          <t>NIFTY REALTY</t>
        </is>
      </c>
      <c r="B26" s="17" t="inlineStr">
        <is>
          <t>PHOENIXLTD</t>
        </is>
      </c>
      <c r="C26" s="18" t="n">
        <v>2075.1</v>
      </c>
      <c r="D26" s="18" t="n">
        <v>1932.02</v>
      </c>
      <c r="E26" s="18" t="n">
        <v>1844.21</v>
      </c>
      <c r="F26" s="18" t="n">
        <v>1732.68</v>
      </c>
      <c r="G26" s="19">
        <f>HYPERLINK("https://www.tradingview.com/chart/?symbol=NSE:PHOENIXLTD","Chart 📈")</f>
        <v/>
      </c>
    </row>
    <row r="27" ht="16" customHeight="1">
      <c r="A27" s="20" t="inlineStr">
        <is>
          <t>NIFTY REALTY</t>
        </is>
      </c>
      <c r="B27" s="17" t="inlineStr">
        <is>
          <t>PRESTIGE</t>
        </is>
      </c>
      <c r="C27" s="18" t="n">
        <v>1673.3</v>
      </c>
      <c r="D27" s="18" t="n">
        <v>1557.57</v>
      </c>
      <c r="E27" s="18" t="n">
        <v>1476.53</v>
      </c>
      <c r="F27" s="18" t="n">
        <v>1487.05</v>
      </c>
      <c r="G27" s="19">
        <f>HYPERLINK("https://www.tradingview.com/chart/?symbol=NSE:PRESTIGE","Chart 📈")</f>
        <v/>
      </c>
    </row>
    <row r="28" ht="16" customHeight="1">
      <c r="A28" s="20" t="inlineStr">
        <is>
          <t>NIFTY REALTY</t>
        </is>
      </c>
      <c r="B28" s="17" t="inlineStr">
        <is>
          <t>RAYMOND</t>
        </is>
      </c>
      <c r="C28" s="18" t="n">
        <v>610.35</v>
      </c>
      <c r="D28" s="18" t="n">
        <v>585.4400000000001</v>
      </c>
      <c r="E28" s="18" t="n">
        <v>542.52</v>
      </c>
      <c r="F28" s="18" t="n">
        <v>510.14</v>
      </c>
      <c r="G28" s="19">
        <f>HYPERLINK("https://www.tradingview.com/chart/?symbol=NSE:RAYMOND","Chart 📈")</f>
        <v/>
      </c>
    </row>
    <row r="29" ht="16" customHeight="1">
      <c r="A29" s="20" t="inlineStr">
        <is>
          <t>NIFTY REALTY</t>
        </is>
      </c>
      <c r="B29" s="17" t="inlineStr">
        <is>
          <t>SOBHA</t>
        </is>
      </c>
      <c r="C29" s="18" t="n">
        <v>1454.2</v>
      </c>
      <c r="D29" s="18" t="n">
        <v>1409.18</v>
      </c>
      <c r="E29" s="18" t="n">
        <v>1392.19</v>
      </c>
      <c r="F29" s="18" t="n">
        <v>1426.75</v>
      </c>
      <c r="G29" s="19">
        <f>HYPERLINK("https://www.tradingview.com/chart/?symbol=NSE:SOBHA","Chart 📈")</f>
        <v/>
      </c>
    </row>
    <row r="30" ht="16" customHeight="1">
      <c r="A30" s="12" t="inlineStr">
        <is>
          <t>NIFTY AUTO</t>
        </is>
      </c>
      <c r="B30" s="13" t="inlineStr">
        <is>
          <t>APOLLOTYRE</t>
        </is>
      </c>
      <c r="C30" s="14" t="n">
        <v>454.35</v>
      </c>
      <c r="D30" s="14" t="n">
        <v>429.21</v>
      </c>
      <c r="E30" s="14" t="n">
        <v>419.71</v>
      </c>
      <c r="F30" s="14" t="n">
        <v>443.65</v>
      </c>
      <c r="G30" s="15">
        <f>HYPERLINK("https://www.tradingview.com/chart/?symbol=NSE:APOLLOTYRE","Chart 📈")</f>
        <v/>
      </c>
    </row>
    <row r="31" ht="16" customHeight="1">
      <c r="A31" s="16" t="inlineStr">
        <is>
          <t>NIFTY AUTO</t>
        </is>
      </c>
      <c r="B31" s="13" t="inlineStr">
        <is>
          <t>ASHOKLEY</t>
        </is>
      </c>
      <c r="C31" s="14" t="n">
        <v>164.16</v>
      </c>
      <c r="D31" s="14" t="n">
        <v>158.78</v>
      </c>
      <c r="E31" s="14" t="n">
        <v>158.6</v>
      </c>
      <c r="F31" s="14" t="n">
        <v>158.49</v>
      </c>
      <c r="G31" s="15">
        <f>HYPERLINK("https://www.tradingview.com/chart/?symbol=NSE:ASHOKLEY","Chart 📈")</f>
        <v/>
      </c>
    </row>
    <row r="32" ht="16" customHeight="1">
      <c r="A32" s="16" t="inlineStr">
        <is>
          <t>NIFTY AUTO</t>
        </is>
      </c>
      <c r="B32" s="13" t="inlineStr">
        <is>
          <t>BAJAJ-AUTO</t>
        </is>
      </c>
      <c r="C32" s="14" t="n">
        <v>10109.5</v>
      </c>
      <c r="D32" s="14" t="n">
        <v>9968.469999999999</v>
      </c>
      <c r="E32" s="14" t="n">
        <v>9964.209999999999</v>
      </c>
      <c r="F32" s="14" t="n">
        <v>9456.190000000001</v>
      </c>
      <c r="G32" s="15">
        <f>HYPERLINK("https://www.tradingview.com/chart/?symbol=NSE:BAJAJ-AUTO","Chart 📈")</f>
        <v/>
      </c>
    </row>
    <row r="33" ht="16" customHeight="1">
      <c r="A33" s="16" t="inlineStr">
        <is>
          <t>NIFTY AUTO</t>
        </is>
      </c>
      <c r="B33" s="13" t="inlineStr">
        <is>
          <t>BHARATFORG</t>
        </is>
      </c>
      <c r="C33" s="14" t="n">
        <v>2111.6</v>
      </c>
      <c r="D33" s="14" t="n">
        <v>2079.05</v>
      </c>
      <c r="E33" s="14" t="n">
        <v>1987.52</v>
      </c>
      <c r="F33" s="14" t="n">
        <v>1702.62</v>
      </c>
      <c r="G33" s="15">
        <f>HYPERLINK("https://www.tradingview.com/chart/?symbol=NSE:BHARATFORG","Chart 📈")</f>
        <v/>
      </c>
    </row>
    <row r="34" ht="16" customHeight="1">
      <c r="A34" s="16" t="inlineStr">
        <is>
          <t>NIFTY AUTO</t>
        </is>
      </c>
      <c r="B34" s="13" t="inlineStr">
        <is>
          <t>BOSCHLTD</t>
        </is>
      </c>
      <c r="C34" s="14" t="n">
        <v>41935</v>
      </c>
      <c r="D34" s="14" t="n">
        <v>40163.38</v>
      </c>
      <c r="E34" s="14" t="n">
        <v>38488.51</v>
      </c>
      <c r="F34" s="14" t="n">
        <v>36876.71</v>
      </c>
      <c r="G34" s="15">
        <f>HYPERLINK("https://www.tradingview.com/chart/?symbol=NSE:BOSCHLTD","Chart 📈")</f>
        <v/>
      </c>
    </row>
    <row r="35" ht="16" customHeight="1">
      <c r="A35" s="16" t="inlineStr">
        <is>
          <t>NIFTY AUTO</t>
        </is>
      </c>
      <c r="B35" s="13" t="inlineStr">
        <is>
          <t>EICHERMOT</t>
        </is>
      </c>
      <c r="C35" s="14" t="n">
        <v>7536</v>
      </c>
      <c r="D35" s="14" t="n">
        <v>7387.06</v>
      </c>
      <c r="E35" s="14" t="n">
        <v>7308.87</v>
      </c>
      <c r="F35" s="14" t="n">
        <v>7037.31</v>
      </c>
      <c r="G35" s="15">
        <f>HYPERLINK("https://www.tradingview.com/chart/?symbol=NSE:EICHERMOT","Chart 📈")</f>
        <v/>
      </c>
    </row>
    <row r="36" ht="16" customHeight="1">
      <c r="A36" s="16" t="inlineStr">
        <is>
          <t>NIFTY AUTO</t>
        </is>
      </c>
      <c r="B36" s="13" t="inlineStr">
        <is>
          <t>EXIDEIND</t>
        </is>
      </c>
      <c r="C36" s="14" t="n">
        <v>414.5</v>
      </c>
      <c r="D36" s="14" t="n">
        <v>394.6</v>
      </c>
      <c r="E36" s="14" t="n">
        <v>377.33</v>
      </c>
      <c r="F36" s="14" t="n">
        <v>362.01</v>
      </c>
      <c r="G36" s="15">
        <f>HYPERLINK("https://www.tradingview.com/chart/?symbol=NSE:EXIDEIND","Chart 📈")</f>
        <v/>
      </c>
    </row>
    <row r="37" ht="16" customHeight="1">
      <c r="A37" s="16" t="inlineStr">
        <is>
          <t>NIFTY AUTO</t>
        </is>
      </c>
      <c r="B37" s="13" t="inlineStr">
        <is>
          <t>MARUTI</t>
        </is>
      </c>
      <c r="C37" s="14" t="n">
        <v>14538</v>
      </c>
      <c r="D37" s="14" t="n">
        <v>13848.07</v>
      </c>
      <c r="E37" s="14" t="n">
        <v>13599.43</v>
      </c>
      <c r="F37" s="14" t="n">
        <v>13991.46</v>
      </c>
      <c r="G37" s="15">
        <f>HYPERLINK("https://www.tradingview.com/chart/?symbol=NSE:MARUTI","Chart 📈")</f>
        <v/>
      </c>
    </row>
    <row r="38" ht="16" customHeight="1">
      <c r="A38" s="16" t="inlineStr">
        <is>
          <t>NIFTY AUTO</t>
        </is>
      </c>
      <c r="B38" s="13" t="inlineStr">
        <is>
          <t>MRF</t>
        </is>
      </c>
      <c r="C38" s="14" t="n">
        <v>138650</v>
      </c>
      <c r="D38" s="14" t="n">
        <v>130436.1</v>
      </c>
      <c r="E38" s="14" t="n">
        <v>129824.4</v>
      </c>
      <c r="F38" s="14" t="n">
        <v>137364.18</v>
      </c>
      <c r="G38" s="15">
        <f>HYPERLINK("https://www.tradingview.com/chart/?symbol=NSE:MRF","Chart 📈")</f>
        <v/>
      </c>
    </row>
    <row r="39" ht="16" customHeight="1">
      <c r="A39" s="16" t="inlineStr">
        <is>
          <t>NIFTY AUTO</t>
        </is>
      </c>
      <c r="B39" s="13" t="inlineStr">
        <is>
          <t>TVSMOTOR</t>
        </is>
      </c>
      <c r="C39" s="14" t="n">
        <v>3712.7</v>
      </c>
      <c r="D39" s="14" t="n">
        <v>3525.51</v>
      </c>
      <c r="E39" s="14" t="n">
        <v>3498.68</v>
      </c>
      <c r="F39" s="14" t="n">
        <v>3472.48</v>
      </c>
      <c r="G39" s="15">
        <f>HYPERLINK("https://www.tradingview.com/chart/?symbol=NSE:TVSMOTOR","Chart 📈")</f>
        <v/>
      </c>
    </row>
    <row r="40" ht="16" customHeight="1">
      <c r="A40" s="8" t="inlineStr">
        <is>
          <t>NIFTY FMCG</t>
        </is>
      </c>
      <c r="B40" s="17" t="inlineStr">
        <is>
          <t>BALRAMCHIN</t>
        </is>
      </c>
      <c r="C40" s="18" t="n">
        <v>571.65</v>
      </c>
      <c r="D40" s="18" t="n">
        <v>548.89</v>
      </c>
      <c r="E40" s="18" t="n">
        <v>535.23</v>
      </c>
      <c r="F40" s="18" t="n">
        <v>510.83</v>
      </c>
      <c r="G40" s="19">
        <f>HYPERLINK("https://www.tradingview.com/chart/?symbol=NSE:BALRAMCHIN","Chart 📈")</f>
        <v/>
      </c>
    </row>
    <row r="41" ht="16" customHeight="1">
      <c r="A41" s="20" t="inlineStr">
        <is>
          <t>NIFTY FMCG</t>
        </is>
      </c>
      <c r="B41" s="17" t="inlineStr">
        <is>
          <t>MARICO</t>
        </is>
      </c>
      <c r="C41" s="18" t="n">
        <v>847.65</v>
      </c>
      <c r="D41" s="18" t="n">
        <v>830.9</v>
      </c>
      <c r="E41" s="18" t="n">
        <v>816.87</v>
      </c>
      <c r="F41" s="18" t="n">
        <v>775.12</v>
      </c>
      <c r="G41" s="19">
        <f>HYPERLINK("https://www.tradingview.com/chart/?symbol=NSE:MARICO","Chart 📈")</f>
        <v/>
      </c>
    </row>
    <row r="42" ht="16" customHeight="1">
      <c r="A42" s="20" t="inlineStr">
        <is>
          <t>NIFTY FMCG</t>
        </is>
      </c>
      <c r="B42" s="17" t="inlineStr">
        <is>
          <t>NESTLEIND</t>
        </is>
      </c>
      <c r="C42" s="18" t="n">
        <v>1471.8</v>
      </c>
      <c r="D42" s="18" t="n">
        <v>1425.21</v>
      </c>
      <c r="E42" s="18" t="n">
        <v>1402.78</v>
      </c>
      <c r="F42" s="18" t="n">
        <v>1317.55</v>
      </c>
      <c r="G42" s="19">
        <f>HYPERLINK("https://www.tradingview.com/chart/?symbol=NSE:NESTLEIND","Chart 📈")</f>
        <v/>
      </c>
    </row>
    <row r="43" ht="16" customHeight="1">
      <c r="A43" s="20" t="inlineStr">
        <is>
          <t>NIFTY FMCG</t>
        </is>
      </c>
      <c r="B43" s="17" t="inlineStr">
        <is>
          <t>RADICO</t>
        </is>
      </c>
      <c r="C43" s="18" t="n">
        <v>4098.6</v>
      </c>
      <c r="D43" s="18" t="n">
        <v>3817.18</v>
      </c>
      <c r="E43" s="18" t="n">
        <v>3589.37</v>
      </c>
      <c r="F43" s="18" t="n">
        <v>3179.52</v>
      </c>
      <c r="G43" s="19">
        <f>HYPERLINK("https://www.tradingview.com/chart/?symbol=NSE:RADICO","Chart 📈")</f>
        <v/>
      </c>
    </row>
    <row r="44" ht="16" customHeight="1">
      <c r="A44" s="20" t="inlineStr">
        <is>
          <t>NIFTY FMCG</t>
        </is>
      </c>
      <c r="B44" s="17" t="inlineStr">
        <is>
          <t>UNITDSPR</t>
        </is>
      </c>
      <c r="C44" s="18" t="n">
        <v>1439.4</v>
      </c>
      <c r="D44" s="18" t="n">
        <v>1353.92</v>
      </c>
      <c r="E44" s="18" t="n">
        <v>1325.77</v>
      </c>
      <c r="F44" s="18" t="n">
        <v>1336.56</v>
      </c>
      <c r="G44" s="19">
        <f>HYPERLINK("https://www.tradingview.com/chart/?symbol=NSE:UNITDSPR","Chart 📈")</f>
        <v/>
      </c>
    </row>
    <row r="45" ht="16" customHeight="1">
      <c r="A45" s="12" t="inlineStr">
        <is>
          <t>NIFTY FINANCIAL SERVICES</t>
        </is>
      </c>
      <c r="B45" s="13" t="inlineStr">
        <is>
          <t>BAJAJFINSV</t>
        </is>
      </c>
      <c r="C45" s="14" t="n">
        <v>1885.3</v>
      </c>
      <c r="D45" s="14" t="n">
        <v>1798.36</v>
      </c>
      <c r="E45" s="14" t="n">
        <v>1783.44</v>
      </c>
      <c r="F45" s="14" t="n">
        <v>1876.1</v>
      </c>
      <c r="G45" s="15">
        <f>HYPERLINK("https://www.tradingview.com/chart/?symbol=NSE:BAJAJFINSV","Chart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BAJFINANCE</t>
        </is>
      </c>
      <c r="C46" s="14" t="n">
        <v>1042.5</v>
      </c>
      <c r="D46" s="14" t="n">
        <v>979.6</v>
      </c>
      <c r="E46" s="14" t="n">
        <v>947</v>
      </c>
      <c r="F46" s="14" t="n">
        <v>941.5700000000001</v>
      </c>
      <c r="G46" s="15">
        <f>HYPERLINK("https://www.tradingview.com/chart/?symbol=NSE:BAJFINANCE","Chart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CHOLAFIN</t>
        </is>
      </c>
      <c r="C47" s="14" t="n">
        <v>1853.4</v>
      </c>
      <c r="D47" s="14" t="n">
        <v>1734.99</v>
      </c>
      <c r="E47" s="14" t="n">
        <v>1654.53</v>
      </c>
      <c r="F47" s="14" t="n">
        <v>1612.22</v>
      </c>
      <c r="G47" s="15">
        <f>HYPERLINK("https://www.tradingview.com/chart/?symbol=NSE:CHOLAFIN","Chart 📈")</f>
        <v/>
      </c>
    </row>
    <row r="48" ht="16" customHeight="1">
      <c r="A48" s="16" t="inlineStr">
        <is>
          <t>NIFTY FINANCIAL SERVICES</t>
        </is>
      </c>
      <c r="B48" s="13" t="inlineStr">
        <is>
          <t>HDFCAMC</t>
        </is>
      </c>
      <c r="C48" s="14" t="n">
        <v>2783.4</v>
      </c>
      <c r="D48" s="14" t="n">
        <v>2682.04</v>
      </c>
      <c r="E48" s="14" t="n">
        <v>2634.06</v>
      </c>
      <c r="F48" s="14" t="n">
        <v>2594.49</v>
      </c>
      <c r="G48" s="15">
        <f>HYPERLINK("https://www.tradingview.com/chart/?symbol=NSE:HDFCAMC","Chart 📈")</f>
        <v/>
      </c>
    </row>
    <row r="49" ht="16" customHeight="1">
      <c r="A49" s="16" t="inlineStr">
        <is>
          <t>NIFTY FINANCIAL SERVICES</t>
        </is>
      </c>
      <c r="B49" s="13" t="inlineStr">
        <is>
          <t>ICICIBANK</t>
        </is>
      </c>
      <c r="C49" s="14" t="n">
        <v>1414.7</v>
      </c>
      <c r="D49" s="14" t="n">
        <v>1365.3</v>
      </c>
      <c r="E49" s="14" t="n">
        <v>1328.81</v>
      </c>
      <c r="F49" s="14" t="n">
        <v>1342.53</v>
      </c>
      <c r="G49" s="15">
        <f>HYPERLINK("https://www.tradingview.com/chart/?symbol=NSE:ICICIBANK","Chart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SHRIRAMFIN</t>
        </is>
      </c>
      <c r="C50" s="14" t="n">
        <v>1066.8</v>
      </c>
      <c r="D50" s="14" t="n">
        <v>1014.93</v>
      </c>
      <c r="E50" s="14" t="n">
        <v>985.34</v>
      </c>
      <c r="F50" s="14" t="n">
        <v>909.48</v>
      </c>
      <c r="G50" s="15">
        <f>HYPERLINK("https://www.tradingview.com/chart/?symbol=NSE:SHRIRAMFIN","Chart 📈")</f>
        <v/>
      </c>
    </row>
    <row r="51" ht="16" customHeight="1">
      <c r="A51" s="8" t="inlineStr">
        <is>
          <t>NIFTY MIDSMALL IT &amp; TELECOM</t>
        </is>
      </c>
      <c r="B51" s="17" t="inlineStr">
        <is>
          <t>COFORGE</t>
        </is>
      </c>
      <c r="C51" s="18" t="n">
        <v>1516.2</v>
      </c>
      <c r="D51" s="18" t="n">
        <v>1455.88</v>
      </c>
      <c r="E51" s="18" t="n">
        <v>1408.74</v>
      </c>
      <c r="F51" s="18" t="n">
        <v>1495.49</v>
      </c>
      <c r="G51" s="19">
        <f>HYPERLINK("https://www.tradingview.com/chart/?symbol=NSE:COFORGE","Chart 📈")</f>
        <v/>
      </c>
    </row>
    <row r="52" ht="16" customHeight="1">
      <c r="A52" s="20" t="inlineStr">
        <is>
          <t>NIFTY MIDSMALL IT &amp; TELECOM</t>
        </is>
      </c>
      <c r="B52" s="17" t="inlineStr">
        <is>
          <t>HFCL</t>
        </is>
      </c>
      <c r="C52" s="18" t="n">
        <v>226.04</v>
      </c>
      <c r="D52" s="18" t="n">
        <v>203.62</v>
      </c>
      <c r="E52" s="18" t="n">
        <v>174.64</v>
      </c>
      <c r="F52" s="18" t="n">
        <v>115.58</v>
      </c>
      <c r="G52" s="19">
        <f>HYPERLINK("https://www.tradingview.com/chart/?symbol=NSE:HFCL","Chart 📈")</f>
        <v/>
      </c>
    </row>
    <row r="53" ht="16" customHeight="1">
      <c r="A53" s="20" t="inlineStr">
        <is>
          <t>NIFTY MIDSMALL IT &amp; TELECOM</t>
        </is>
      </c>
      <c r="B53" s="17" t="inlineStr">
        <is>
          <t>OFSS</t>
        </is>
      </c>
      <c r="C53" s="18" t="n">
        <v>11097</v>
      </c>
      <c r="D53" s="18" t="n">
        <v>10471.8</v>
      </c>
      <c r="E53" s="18" t="n">
        <v>9751.110000000001</v>
      </c>
      <c r="F53" s="18" t="n">
        <v>8539.299999999999</v>
      </c>
      <c r="G53" s="19">
        <f>HYPERLINK("https://www.tradingview.com/chart/?symbol=NSE:OFSS","Chart 📈")</f>
        <v/>
      </c>
    </row>
    <row r="54" ht="16" customHeight="1">
      <c r="A54" s="20" t="inlineStr">
        <is>
          <t>NIFTY MIDSMALL IT &amp; TELECOM</t>
        </is>
      </c>
      <c r="B54" s="17" t="inlineStr">
        <is>
          <t>TANLA</t>
        </is>
      </c>
      <c r="C54" s="18" t="n">
        <v>547.05</v>
      </c>
      <c r="D54" s="18" t="n">
        <v>528.61</v>
      </c>
      <c r="E54" s="18" t="n">
        <v>517.76</v>
      </c>
      <c r="F54" s="18" t="n">
        <v>527.7</v>
      </c>
      <c r="G54" s="19">
        <f>HYPERLINK("https://www.tradingview.com/chart/?symbol=NSE:TANLA","Chart 📈")</f>
        <v/>
      </c>
    </row>
    <row r="55" ht="16" customHeight="1">
      <c r="A55" s="20" t="inlineStr">
        <is>
          <t>NIFTY MIDSMALL IT &amp; TELECOM</t>
        </is>
      </c>
      <c r="B55" s="17" t="inlineStr">
        <is>
          <t>TATATECH</t>
        </is>
      </c>
      <c r="C55" s="18" t="n">
        <v>726.55</v>
      </c>
      <c r="D55" s="18" t="n">
        <v>720.97</v>
      </c>
      <c r="E55" s="18" t="n">
        <v>691.46</v>
      </c>
      <c r="F55" s="18" t="n">
        <v>652.15</v>
      </c>
      <c r="G55" s="19">
        <f>HYPERLINK("https://www.tradingview.com/chart/?symbol=NSE:TATATECH","Chart 📈")</f>
        <v/>
      </c>
    </row>
    <row r="56" ht="16" customHeight="1">
      <c r="A56" s="12" t="inlineStr">
        <is>
          <t>NIFTY CONSUMER DURABLES</t>
        </is>
      </c>
      <c r="B56" s="13" t="inlineStr">
        <is>
          <t>AMBER</t>
        </is>
      </c>
      <c r="C56" s="14" t="n">
        <v>7625</v>
      </c>
      <c r="D56" s="14" t="n">
        <v>7620</v>
      </c>
      <c r="E56" s="14" t="n">
        <v>7621.09</v>
      </c>
      <c r="F56" s="14" t="n">
        <v>7423.48</v>
      </c>
      <c r="G56" s="15">
        <f>HYPERLINK("https://www.tradingview.com/chart/?symbol=NSE:AMBER","Chart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CENTURYPLY</t>
        </is>
      </c>
      <c r="C57" s="14" t="n">
        <v>772.25</v>
      </c>
      <c r="D57" s="14" t="n">
        <v>758.63</v>
      </c>
      <c r="E57" s="14" t="n">
        <v>758.03</v>
      </c>
      <c r="F57" s="14" t="n">
        <v>758.45</v>
      </c>
      <c r="G57" s="15">
        <f>HYPERLINK("https://www.tradingview.com/chart/?symbol=NSE:CENTURYPLY","Chart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CERA</t>
        </is>
      </c>
      <c r="C58" s="14" t="n">
        <v>6377.5</v>
      </c>
      <c r="D58" s="14" t="n">
        <v>6223.93</v>
      </c>
      <c r="E58" s="14" t="n">
        <v>5888.66</v>
      </c>
      <c r="F58" s="14" t="n">
        <v>5635.9</v>
      </c>
      <c r="G58" s="15">
        <f>HYPERLINK("https://www.tradingview.com/chart/?symbol=NSE:CERA","Chart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DIXON</t>
        </is>
      </c>
      <c r="C59" s="14" t="n">
        <v>13242</v>
      </c>
      <c r="D59" s="14" t="n">
        <v>12235.45</v>
      </c>
      <c r="E59" s="14" t="n">
        <v>11789.11</v>
      </c>
      <c r="F59" s="14" t="n">
        <v>12450.15</v>
      </c>
      <c r="G59" s="15">
        <f>HYPERLINK("https://www.tradingview.com/chart/?symbol=NSE:DIXON","Chart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KAJARIACER</t>
        </is>
      </c>
      <c r="C60" s="14" t="n">
        <v>1211.2</v>
      </c>
      <c r="D60" s="14" t="n">
        <v>1175.61</v>
      </c>
      <c r="E60" s="14" t="n">
        <v>1132.47</v>
      </c>
      <c r="F60" s="14" t="n">
        <v>1092.41</v>
      </c>
      <c r="G60" s="15">
        <f>HYPERLINK("https://www.tradingview.com/chart/?symbol=NSE:KAJARIACER","Chart 📈")</f>
        <v/>
      </c>
    </row>
    <row r="61" ht="16" customHeight="1">
      <c r="A61" s="16" t="inlineStr">
        <is>
          <t>NIFTY CONSUMER DURABLES</t>
        </is>
      </c>
      <c r="B61" s="13" t="inlineStr">
        <is>
          <t>TITAN</t>
        </is>
      </c>
      <c r="C61" s="14" t="n">
        <v>4604.2</v>
      </c>
      <c r="D61" s="14" t="n">
        <v>4363.41</v>
      </c>
      <c r="E61" s="14" t="n">
        <v>4288.56</v>
      </c>
      <c r="F61" s="14" t="n">
        <v>4088.68</v>
      </c>
      <c r="G61" s="15">
        <f>HYPERLINK("https://www.tradingview.com/chart/?symbol=NSE:TITAN","Chart 📈")</f>
        <v/>
      </c>
    </row>
    <row r="62" ht="16" customHeight="1">
      <c r="A62" s="8" t="inlineStr">
        <is>
          <t>NIFTY MEDIA</t>
        </is>
      </c>
      <c r="B62" s="17" t="inlineStr">
        <is>
          <t>NAZARA</t>
        </is>
      </c>
      <c r="C62" s="18" t="n">
        <v>301.25</v>
      </c>
      <c r="D62" s="18" t="n">
        <v>296.71</v>
      </c>
      <c r="E62" s="18" t="n">
        <v>286.26</v>
      </c>
      <c r="F62" s="18" t="n">
        <v>279.27</v>
      </c>
      <c r="G62" s="19">
        <f>HYPERLINK("https://www.tradingview.com/chart/?symbol=NSE:NAZARA","Chart 📈")</f>
        <v/>
      </c>
    </row>
    <row r="63" ht="16" customHeight="1">
      <c r="A63" s="20" t="inlineStr">
        <is>
          <t>NIFTY MEDIA</t>
        </is>
      </c>
      <c r="B63" s="17" t="inlineStr">
        <is>
          <t>TIPSMUSIC</t>
        </is>
      </c>
      <c r="C63" s="18" t="n">
        <v>681.2</v>
      </c>
      <c r="D63" s="18" t="n">
        <v>657.15</v>
      </c>
      <c r="E63" s="18" t="n">
        <v>641.53</v>
      </c>
      <c r="F63" s="18" t="n">
        <v>597.67</v>
      </c>
      <c r="G63" s="19">
        <f>HYPERLINK("https://www.tradingview.com/chart/?symbol=NSE:TIPSMUSIC","Chart 📈")</f>
        <v/>
      </c>
    </row>
    <row r="64" ht="16" customHeight="1">
      <c r="A64" s="12" t="inlineStr">
        <is>
          <t>NIFTY OIL &amp; GAS</t>
        </is>
      </c>
      <c r="B64" s="13" t="inlineStr">
        <is>
          <t>AEGISLOG</t>
        </is>
      </c>
      <c r="C64" s="14" t="n">
        <v>1383.7</v>
      </c>
      <c r="D64" s="14" t="n">
        <v>1134.05</v>
      </c>
      <c r="E64" s="14" t="n">
        <v>949.38</v>
      </c>
      <c r="F64" s="14" t="n">
        <v>785.99</v>
      </c>
      <c r="G64" s="15">
        <f>HYPERLINK("https://www.tradingview.com/chart/?symbol=NSE:AEGISLOG","Chart 📈")</f>
        <v/>
      </c>
    </row>
    <row r="65" ht="16" customHeight="1">
      <c r="A65" s="16" t="inlineStr">
        <is>
          <t>NIFTY OIL &amp; GAS</t>
        </is>
      </c>
      <c r="B65" s="13" t="inlineStr">
        <is>
          <t>GAIL</t>
        </is>
      </c>
      <c r="C65" s="14" t="n">
        <v>174.01</v>
      </c>
      <c r="D65" s="14" t="n">
        <v>172.71</v>
      </c>
      <c r="E65" s="14" t="n">
        <v>168.45</v>
      </c>
      <c r="F65" s="14" t="n">
        <v>166.65</v>
      </c>
      <c r="G65" s="15">
        <f>HYPERLINK("https://www.tradingview.com/chart/?symbol=NSE:GAIL","Chart 📈")</f>
        <v/>
      </c>
    </row>
    <row r="66" ht="16" customHeight="1">
      <c r="A66" s="16" t="inlineStr">
        <is>
          <t>NIFTY OIL &amp; GAS</t>
        </is>
      </c>
      <c r="B66" s="13" t="inlineStr">
        <is>
          <t>PETRONET</t>
        </is>
      </c>
      <c r="C66" s="14" t="n">
        <v>279.6</v>
      </c>
      <c r="D66" s="14" t="n">
        <v>278.77</v>
      </c>
      <c r="E66" s="14" t="n">
        <v>276.21</v>
      </c>
      <c r="F66" s="14" t="n">
        <v>277.2</v>
      </c>
      <c r="G66" s="15">
        <f>HYPERLINK("https://www.tradingview.com/chart/?symbol=NSE:PETRONET","Chart 📈")</f>
        <v/>
      </c>
    </row>
    <row r="67" ht="16" customHeight="1">
      <c r="A67" s="8" t="inlineStr">
        <is>
          <t>NIFTY METAL</t>
        </is>
      </c>
      <c r="B67" s="17" t="inlineStr">
        <is>
          <t>ADANIENT</t>
        </is>
      </c>
      <c r="C67" s="18" t="n">
        <v>3107.2</v>
      </c>
      <c r="D67" s="18" t="n">
        <v>3045.09</v>
      </c>
      <c r="E67" s="18" t="n">
        <v>2841.71</v>
      </c>
      <c r="F67" s="18" t="n">
        <v>2498.99</v>
      </c>
      <c r="G67" s="19">
        <f>HYPERLINK("https://www.tradingview.com/chart/?symbol=NSE:ADANIENT","Chart 📈")</f>
        <v/>
      </c>
    </row>
    <row r="68" ht="16" customHeight="1">
      <c r="A68" s="20" t="inlineStr">
        <is>
          <t>NIFTY METAL</t>
        </is>
      </c>
      <c r="B68" s="17" t="inlineStr">
        <is>
          <t>RATNAMANI</t>
        </is>
      </c>
      <c r="C68" s="18" t="n">
        <v>2603</v>
      </c>
      <c r="D68" s="18" t="n">
        <v>2590.16</v>
      </c>
      <c r="E68" s="18" t="n">
        <v>2574.76</v>
      </c>
      <c r="F68" s="18" t="n">
        <v>2507.48</v>
      </c>
      <c r="G68" s="19">
        <f>HYPERLINK("https://www.tradingview.com/chart/?symbol=NSE:RATNAMANI","Chart 📈")</f>
        <v/>
      </c>
    </row>
    <row r="69" ht="16" customHeight="1">
      <c r="A69" s="20" t="inlineStr">
        <is>
          <t>NIFTY METAL</t>
        </is>
      </c>
      <c r="B69" s="17" t="inlineStr">
        <is>
          <t>WELCORP</t>
        </is>
      </c>
      <c r="C69" s="18" t="n">
        <v>1541</v>
      </c>
      <c r="D69" s="18" t="n">
        <v>1448.37</v>
      </c>
      <c r="E69" s="18" t="n">
        <v>1343.87</v>
      </c>
      <c r="F69" s="18" t="n">
        <v>1070.61</v>
      </c>
      <c r="G69" s="19">
        <f>HYPERLINK("https://www.tradingview.com/chart/?symbol=NSE:WELCORP","Chart 📈")</f>
        <v/>
      </c>
    </row>
    <row r="70" ht="16" customHeight="1">
      <c r="A70" s="12" t="inlineStr">
        <is>
          <t>NIFTY BANK</t>
        </is>
      </c>
      <c r="B70" s="13" t="inlineStr">
        <is>
          <t>AUBANK</t>
        </is>
      </c>
      <c r="C70" s="14" t="n">
        <v>1066.9</v>
      </c>
      <c r="D70" s="14" t="n">
        <v>1035.2</v>
      </c>
      <c r="E70" s="14" t="n">
        <v>1012.34</v>
      </c>
      <c r="F70" s="14" t="n">
        <v>949.84</v>
      </c>
      <c r="G70" s="15">
        <f>HYPERLINK("https://www.tradingview.com/chart/?symbol=NSE:AUBANK","Chart 📈")</f>
        <v/>
      </c>
    </row>
    <row r="71" ht="16" customHeight="1">
      <c r="A71" s="16" t="inlineStr">
        <is>
          <t>NIFTY BANK</t>
        </is>
      </c>
      <c r="B71" s="13" t="inlineStr">
        <is>
          <t>FEDERALBNK</t>
        </is>
      </c>
      <c r="C71" s="14" t="n">
        <v>331.55</v>
      </c>
      <c r="D71" s="14" t="n">
        <v>321.95</v>
      </c>
      <c r="E71" s="14" t="n">
        <v>308.57</v>
      </c>
      <c r="F71" s="14" t="n">
        <v>274.73</v>
      </c>
      <c r="G71" s="15">
        <f>HYPERLINK("https://www.tradingview.com/chart/?symbol=NSE:FEDERALBNK","Chart 📈")</f>
        <v/>
      </c>
    </row>
    <row r="72" ht="16" customHeight="1">
      <c r="A72" s="16" t="inlineStr">
        <is>
          <t>NIFTY BANK</t>
        </is>
      </c>
      <c r="B72" s="13" t="inlineStr">
        <is>
          <t>IDFCFIRSTB</t>
        </is>
      </c>
      <c r="C72" s="14" t="n">
        <v>80.43000000000001</v>
      </c>
      <c r="D72" s="14" t="n">
        <v>78.06999999999999</v>
      </c>
      <c r="E72" s="14" t="n">
        <v>74.81999999999999</v>
      </c>
      <c r="F72" s="14" t="n">
        <v>74.34999999999999</v>
      </c>
      <c r="G72" s="15">
        <f>HYPERLINK("https://www.tradingview.com/chart/?symbol=NSE:IDFCFIRSTB","Chart 📈")</f>
        <v/>
      </c>
    </row>
    <row r="73" ht="16" customHeight="1">
      <c r="A73" s="16" t="inlineStr">
        <is>
          <t>NIFTY BANK</t>
        </is>
      </c>
      <c r="B73" s="13" t="inlineStr">
        <is>
          <t>INDUSINDBK</t>
        </is>
      </c>
      <c r="C73" s="14" t="n">
        <v>1022.25</v>
      </c>
      <c r="D73" s="14" t="n">
        <v>943.1900000000001</v>
      </c>
      <c r="E73" s="14" t="n">
        <v>918.91</v>
      </c>
      <c r="F73" s="14" t="n">
        <v>877.51</v>
      </c>
      <c r="G73" s="15">
        <f>HYPERLINK("https://www.tradingview.com/chart/?symbol=NSE:INDUSINDBK","Chart 📈")</f>
        <v/>
      </c>
    </row>
    <row r="74" ht="16" customHeight="1">
      <c r="A74" s="8" t="inlineStr">
        <is>
          <t>NIFTY PSU BANK</t>
        </is>
      </c>
      <c r="B74" s="17" t="inlineStr">
        <is>
          <t>SBIN</t>
        </is>
      </c>
      <c r="C74" s="18" t="n">
        <v>1038.1</v>
      </c>
      <c r="D74" s="18" t="n">
        <v>1028.69</v>
      </c>
      <c r="E74" s="18" t="n">
        <v>1020.32</v>
      </c>
      <c r="F74" s="18" t="n">
        <v>986.27</v>
      </c>
      <c r="G74" s="19">
        <f>HYPERLINK("https://www.tradingview.com/chart/?symbol=NSE:SBIN","Chart 📈")</f>
        <v/>
      </c>
    </row>
    <row r="75" ht="16" customHeight="1">
      <c r="A75" s="12" t="inlineStr">
        <is>
          <t>NIFTY ENERGY</t>
        </is>
      </c>
      <c r="B75" s="13" t="inlineStr">
        <is>
          <t>ADANIENSOL</t>
        </is>
      </c>
      <c r="C75" s="14" t="n">
        <v>1651</v>
      </c>
      <c r="D75" s="14" t="n">
        <v>1531.99</v>
      </c>
      <c r="E75" s="14" t="n">
        <v>1445.97</v>
      </c>
      <c r="F75" s="14" t="n">
        <v>1177.12</v>
      </c>
      <c r="G75" s="15">
        <f>HYPERLINK("https://www.tradingview.com/chart/?symbol=NSE:ADANIENSOL","Chart 📈")</f>
        <v/>
      </c>
    </row>
    <row r="76" ht="16" customHeight="1">
      <c r="A76" s="16" t="inlineStr">
        <is>
          <t>NIFTY ENERGY</t>
        </is>
      </c>
      <c r="B76" s="13" t="inlineStr">
        <is>
          <t>ADANIGREEN</t>
        </is>
      </c>
      <c r="C76" s="14" t="n">
        <v>1519</v>
      </c>
      <c r="D76" s="14" t="n">
        <v>1509.07</v>
      </c>
      <c r="E76" s="14" t="n">
        <v>1415.48</v>
      </c>
      <c r="F76" s="14" t="n">
        <v>1169.74</v>
      </c>
      <c r="G76" s="15">
        <f>HYPERLINK("https://www.tradingview.com/chart/?symbol=NSE:ADANIGREEN","Chart 📈")</f>
        <v/>
      </c>
    </row>
    <row r="77" ht="16" customHeight="1">
      <c r="A77" s="16" t="inlineStr">
        <is>
          <t>NIFTY ENERGY</t>
        </is>
      </c>
      <c r="B77" s="13" t="inlineStr">
        <is>
          <t>NHPC</t>
        </is>
      </c>
      <c r="C77" s="14" t="n">
        <v>78.89</v>
      </c>
      <c r="D77" s="14" t="n">
        <v>78.59</v>
      </c>
      <c r="E77" s="14" t="n">
        <v>78.11</v>
      </c>
      <c r="F77" s="14" t="n">
        <v>78.70999999999999</v>
      </c>
      <c r="G77" s="15">
        <f>HYPERLINK("https://www.tradingview.com/chart/?symbol=NSE:NHPC","Chart 📈")</f>
        <v/>
      </c>
    </row>
    <row r="78" ht="16" customHeight="1">
      <c r="A78" s="16" t="inlineStr">
        <is>
          <t>NIFTY ENERGY</t>
        </is>
      </c>
      <c r="B78" s="13" t="inlineStr">
        <is>
          <t>SCHNEIDER</t>
        </is>
      </c>
      <c r="C78" s="14" t="n">
        <v>1492.6</v>
      </c>
      <c r="D78" s="14" t="n">
        <v>1366.94</v>
      </c>
      <c r="E78" s="14" t="n">
        <v>1267.86</v>
      </c>
      <c r="F78" s="14" t="n">
        <v>1023.29</v>
      </c>
      <c r="G78" s="15">
        <f>HYPERLINK("https://www.tradingview.com/chart/?symbol=NSE:SCHNEIDER","Chart 📈")</f>
        <v/>
      </c>
    </row>
    <row r="79" ht="16" customHeight="1">
      <c r="A79" s="8" t="inlineStr">
        <is>
          <t>NIFTY IT</t>
        </is>
      </c>
      <c r="B79" s="17" t="inlineStr">
        <is>
          <t>TECHM</t>
        </is>
      </c>
      <c r="C79" s="18" t="n">
        <v>1447.5</v>
      </c>
      <c r="D79" s="18" t="n">
        <v>1404.27</v>
      </c>
      <c r="E79" s="18" t="n">
        <v>1409.73</v>
      </c>
      <c r="F79" s="18" t="n">
        <v>1445.78</v>
      </c>
      <c r="G7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2026-07-07T13:27:51Z</dcterms:created>
  <dcterms:modified xsi:type="dcterms:W3CDTF">2026-07-07T13:27:51Z</dcterms:modified>
</cp:coreProperties>
</file>