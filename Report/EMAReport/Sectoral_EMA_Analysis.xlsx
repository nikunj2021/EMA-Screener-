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06-Aug-2026  13:04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15</v>
      </c>
      <c r="D4" s="5" t="n">
        <v>14</v>
      </c>
      <c r="E4" s="5" t="n">
        <v>13</v>
      </c>
      <c r="F4" s="6" t="n">
        <v>1</v>
      </c>
      <c r="G4" s="6" t="n">
        <v>0.9329999999999999</v>
      </c>
      <c r="H4" s="6" t="n">
        <v>0.867</v>
      </c>
      <c r="I4" s="7" t="n">
        <v>0.9333</v>
      </c>
    </row>
    <row r="5" ht="17" customHeight="1">
      <c r="A5" s="8" t="inlineStr">
        <is>
          <t>NIFTY METAL</t>
        </is>
      </c>
      <c r="B5" s="9" t="n">
        <v>15</v>
      </c>
      <c r="C5" s="9" t="n">
        <v>13</v>
      </c>
      <c r="D5" s="9" t="n">
        <v>12</v>
      </c>
      <c r="E5" s="9" t="n">
        <v>11</v>
      </c>
      <c r="F5" s="10" t="n">
        <v>0.867</v>
      </c>
      <c r="G5" s="10" t="n">
        <v>0.8</v>
      </c>
      <c r="H5" s="10" t="n">
        <v>0.733</v>
      </c>
      <c r="I5" s="11" t="n">
        <v>0.8</v>
      </c>
    </row>
    <row r="6" ht="17" customHeight="1">
      <c r="A6" s="4" t="inlineStr">
        <is>
          <t>NIFTY PHARMA</t>
        </is>
      </c>
      <c r="B6" s="5" t="n">
        <v>20</v>
      </c>
      <c r="C6" s="5" t="n">
        <v>12</v>
      </c>
      <c r="D6" s="5" t="n">
        <v>17</v>
      </c>
      <c r="E6" s="5" t="n">
        <v>18</v>
      </c>
      <c r="F6" s="6" t="n">
        <v>0.6</v>
      </c>
      <c r="G6" s="6" t="n">
        <v>0.85</v>
      </c>
      <c r="H6" s="6" t="n">
        <v>0.9</v>
      </c>
      <c r="I6" s="7" t="n">
        <v>0.7833</v>
      </c>
    </row>
    <row r="7" ht="17" customHeight="1">
      <c r="A7" s="8" t="inlineStr">
        <is>
          <t>NIFTY REALTY</t>
        </is>
      </c>
      <c r="B7" s="9" t="n">
        <v>10</v>
      </c>
      <c r="C7" s="9" t="n">
        <v>5</v>
      </c>
      <c r="D7" s="9" t="n">
        <v>7</v>
      </c>
      <c r="E7" s="9" t="n">
        <v>8</v>
      </c>
      <c r="F7" s="10" t="n">
        <v>0.5</v>
      </c>
      <c r="G7" s="10" t="n">
        <v>0.7</v>
      </c>
      <c r="H7" s="10" t="n">
        <v>0.8</v>
      </c>
      <c r="I7" s="11" t="n">
        <v>0.6667000000000001</v>
      </c>
    </row>
    <row r="8" ht="17" customHeight="1">
      <c r="A8" s="4" t="inlineStr">
        <is>
          <t>NIFTY PSU BANK</t>
        </is>
      </c>
      <c r="B8" s="5" t="n">
        <v>12</v>
      </c>
      <c r="C8" s="5" t="n">
        <v>9</v>
      </c>
      <c r="D8" s="5" t="n">
        <v>7</v>
      </c>
      <c r="E8" s="5" t="n">
        <v>7</v>
      </c>
      <c r="F8" s="6" t="n">
        <v>0.75</v>
      </c>
      <c r="G8" s="6" t="n">
        <v>0.583</v>
      </c>
      <c r="H8" s="6" t="n">
        <v>0.583</v>
      </c>
      <c r="I8" s="7" t="n">
        <v>0.6386999999999999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10</v>
      </c>
      <c r="D9" s="9" t="n">
        <v>11</v>
      </c>
      <c r="E9" s="9" t="n">
        <v>7</v>
      </c>
      <c r="F9" s="10" t="n">
        <v>0.667</v>
      </c>
      <c r="G9" s="10" t="n">
        <v>0.733</v>
      </c>
      <c r="H9" s="10" t="n">
        <v>0.467</v>
      </c>
      <c r="I9" s="11" t="n">
        <v>0.6223</v>
      </c>
    </row>
    <row r="10" ht="17" customHeight="1">
      <c r="A10" s="4" t="inlineStr">
        <is>
          <t>NIFTY MIDSMALL IT &amp; TELECOM</t>
        </is>
      </c>
      <c r="B10" s="5" t="n">
        <v>20</v>
      </c>
      <c r="C10" s="5" t="n">
        <v>14</v>
      </c>
      <c r="D10" s="5" t="n">
        <v>12</v>
      </c>
      <c r="E10" s="5" t="n">
        <v>11</v>
      </c>
      <c r="F10" s="6" t="n">
        <v>0.7</v>
      </c>
      <c r="G10" s="6" t="n">
        <v>0.6</v>
      </c>
      <c r="H10" s="6" t="n">
        <v>0.55</v>
      </c>
      <c r="I10" s="7" t="n">
        <v>0.6167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10</v>
      </c>
      <c r="D11" s="9" t="n">
        <v>9</v>
      </c>
      <c r="E11" s="9" t="n">
        <v>6</v>
      </c>
      <c r="F11" s="10" t="n">
        <v>0.667</v>
      </c>
      <c r="G11" s="10" t="n">
        <v>0.6</v>
      </c>
      <c r="H11" s="10" t="n">
        <v>0.4</v>
      </c>
      <c r="I11" s="11" t="n">
        <v>0.5557</v>
      </c>
    </row>
    <row r="12" ht="17" customHeight="1">
      <c r="A12" s="4" t="inlineStr">
        <is>
          <t>NIFTY FMCG</t>
        </is>
      </c>
      <c r="B12" s="5" t="n">
        <v>15</v>
      </c>
      <c r="C12" s="5" t="n">
        <v>8</v>
      </c>
      <c r="D12" s="5" t="n">
        <v>8</v>
      </c>
      <c r="E12" s="5" t="n">
        <v>5</v>
      </c>
      <c r="F12" s="6" t="n">
        <v>0.5329999999999999</v>
      </c>
      <c r="G12" s="6" t="n">
        <v>0.5329999999999999</v>
      </c>
      <c r="H12" s="6" t="n">
        <v>0.333</v>
      </c>
      <c r="I12" s="7" t="n">
        <v>0.4663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9</v>
      </c>
      <c r="D13" s="9" t="n">
        <v>9</v>
      </c>
      <c r="E13" s="9" t="n">
        <v>9</v>
      </c>
      <c r="F13" s="10" t="n">
        <v>0.45</v>
      </c>
      <c r="G13" s="10" t="n">
        <v>0.45</v>
      </c>
      <c r="H13" s="10" t="n">
        <v>0.45</v>
      </c>
      <c r="I13" s="11" t="n">
        <v>0.45</v>
      </c>
    </row>
    <row r="14" ht="17" customHeight="1">
      <c r="A14" s="4" t="inlineStr">
        <is>
          <t>NIFTY IT</t>
        </is>
      </c>
      <c r="B14" s="5" t="n">
        <v>10</v>
      </c>
      <c r="C14" s="5" t="n">
        <v>5</v>
      </c>
      <c r="D14" s="5" t="n">
        <v>5</v>
      </c>
      <c r="E14" s="5" t="n">
        <v>2</v>
      </c>
      <c r="F14" s="6" t="n">
        <v>0.5</v>
      </c>
      <c r="G14" s="6" t="n">
        <v>0.5</v>
      </c>
      <c r="H14" s="6" t="n">
        <v>0.2</v>
      </c>
      <c r="I14" s="7" t="n">
        <v>0.4</v>
      </c>
    </row>
    <row r="15" ht="17" customHeight="1">
      <c r="A15" s="8" t="inlineStr">
        <is>
          <t>NIFTY MEDIA</t>
        </is>
      </c>
      <c r="B15" s="9" t="n">
        <v>10</v>
      </c>
      <c r="C15" s="9" t="n">
        <v>4</v>
      </c>
      <c r="D15" s="9" t="n">
        <v>3</v>
      </c>
      <c r="E15" s="9" t="n">
        <v>4</v>
      </c>
      <c r="F15" s="10" t="n">
        <v>0.4</v>
      </c>
      <c r="G15" s="10" t="n">
        <v>0.3</v>
      </c>
      <c r="H15" s="10" t="n">
        <v>0.4</v>
      </c>
      <c r="I15" s="11" t="n">
        <v>0.3667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7</v>
      </c>
      <c r="D17" s="9" t="n">
        <v>8</v>
      </c>
      <c r="E17" s="9" t="n">
        <v>15</v>
      </c>
      <c r="F17" s="10" t="n">
        <v>0.175</v>
      </c>
      <c r="G17" s="10" t="n">
        <v>0.2</v>
      </c>
      <c r="H17" s="10" t="n">
        <v>0.375</v>
      </c>
      <c r="I17" s="11" t="n">
        <v>0.25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APOLLOTYRE</t>
        </is>
      </c>
      <c r="C3" s="14" t="n">
        <v>450.6</v>
      </c>
      <c r="D3" s="14" t="n">
        <v>431.99</v>
      </c>
      <c r="E3" s="14" t="n">
        <v>425.48</v>
      </c>
      <c r="F3" s="14" t="n">
        <v>437.64</v>
      </c>
      <c r="G3" s="15">
        <f>HYPERLINK("https://www.tradingview.com/chart/?symbol=NSE:APOLLOTYRE","Chart 📈")</f>
        <v/>
      </c>
    </row>
    <row r="4" ht="16" customHeight="1">
      <c r="A4" s="16" t="inlineStr">
        <is>
          <t>NIFTY AUTO</t>
        </is>
      </c>
      <c r="B4" s="13" t="inlineStr">
        <is>
          <t>ASHOKLEY</t>
        </is>
      </c>
      <c r="C4" s="14" t="n">
        <v>176.86</v>
      </c>
      <c r="D4" s="14" t="n">
        <v>163.01</v>
      </c>
      <c r="E4" s="14" t="n">
        <v>159.99</v>
      </c>
      <c r="F4" s="14" t="n">
        <v>158.44</v>
      </c>
      <c r="G4" s="15">
        <f>HYPERLINK("https://www.tradingview.com/chart/?symbol=NSE:ASHOKLEY","Chart 📈")</f>
        <v/>
      </c>
    </row>
    <row r="5" ht="16" customHeight="1">
      <c r="A5" s="16" t="inlineStr">
        <is>
          <t>NIFTY AUTO</t>
        </is>
      </c>
      <c r="B5" s="13" t="inlineStr">
        <is>
          <t>BAJAJ-AUTO</t>
        </is>
      </c>
      <c r="C5" s="14" t="n">
        <v>11607</v>
      </c>
      <c r="D5" s="14" t="n">
        <v>11059.7</v>
      </c>
      <c r="E5" s="14" t="n">
        <v>10566.95</v>
      </c>
      <c r="F5" s="14" t="n">
        <v>9714.42</v>
      </c>
      <c r="G5" s="15">
        <f>HYPERLINK("https://www.tradingview.com/chart/?symbol=NSE:BAJAJ-AUTO","Chart 📈")</f>
        <v/>
      </c>
    </row>
    <row r="6" ht="16" customHeight="1">
      <c r="A6" s="16" t="inlineStr">
        <is>
          <t>NIFTY AUTO</t>
        </is>
      </c>
      <c r="B6" s="13" t="inlineStr">
        <is>
          <t>BALKRISIND</t>
        </is>
      </c>
      <c r="C6" s="14" t="n">
        <v>2485.4</v>
      </c>
      <c r="D6" s="14" t="n">
        <v>2260.79</v>
      </c>
      <c r="E6" s="14" t="n">
        <v>2209.49</v>
      </c>
      <c r="F6" s="14" t="n">
        <v>2258.16</v>
      </c>
      <c r="G6" s="15">
        <f>HYPERLINK("https://www.tradingview.com/chart/?symbol=NSE:BALKRISIND","Chart 📈")</f>
        <v/>
      </c>
    </row>
    <row r="7" ht="16" customHeight="1">
      <c r="A7" s="16" t="inlineStr">
        <is>
          <t>NIFTY AUTO</t>
        </is>
      </c>
      <c r="B7" s="13" t="inlineStr">
        <is>
          <t>BHARATFORG</t>
        </is>
      </c>
      <c r="C7" s="14" t="n">
        <v>2207.5</v>
      </c>
      <c r="D7" s="14" t="n">
        <v>2168.82</v>
      </c>
      <c r="E7" s="14" t="n">
        <v>2095.13</v>
      </c>
      <c r="F7" s="14" t="n">
        <v>1781.95</v>
      </c>
      <c r="G7" s="15">
        <f>HYPERLINK("https://www.tradingview.com/chart/?symbol=NSE:BHARATFORG","Chart 📈")</f>
        <v/>
      </c>
    </row>
    <row r="8" ht="16" customHeight="1">
      <c r="A8" s="16" t="inlineStr">
        <is>
          <t>NIFTY AUTO</t>
        </is>
      </c>
      <c r="B8" s="13" t="inlineStr">
        <is>
          <t>BOSCHLTD</t>
        </is>
      </c>
      <c r="C8" s="14" t="n">
        <v>42265</v>
      </c>
      <c r="D8" s="14" t="n">
        <v>41249.64</v>
      </c>
      <c r="E8" s="14" t="n">
        <v>40007.72</v>
      </c>
      <c r="F8" s="14" t="n">
        <v>37706.99</v>
      </c>
      <c r="G8" s="15">
        <f>HYPERLINK("https://www.tradingview.com/chart/?symbol=NSE:BOSCHLTD","Chart 📈")</f>
        <v/>
      </c>
    </row>
    <row r="9" ht="16" customHeight="1">
      <c r="A9" s="16" t="inlineStr">
        <is>
          <t>NIFTY AUTO</t>
        </is>
      </c>
      <c r="B9" s="13" t="inlineStr">
        <is>
          <t>EICHERMOT</t>
        </is>
      </c>
      <c r="C9" s="14" t="n">
        <v>7929.5</v>
      </c>
      <c r="D9" s="14" t="n">
        <v>7692.56</v>
      </c>
      <c r="E9" s="14" t="n">
        <v>7480.04</v>
      </c>
      <c r="F9" s="14" t="n">
        <v>7098.1</v>
      </c>
      <c r="G9" s="15">
        <f>HYPERLINK("https://www.tradingview.com/chart/?symbol=NSE:EICHERMOT","Chart 📈")</f>
        <v/>
      </c>
    </row>
    <row r="10" ht="16" customHeight="1">
      <c r="A10" s="16" t="inlineStr">
        <is>
          <t>NIFTY AUTO</t>
        </is>
      </c>
      <c r="B10" s="13" t="inlineStr">
        <is>
          <t>EXIDEIND</t>
        </is>
      </c>
      <c r="C10" s="14" t="n">
        <v>472.8</v>
      </c>
      <c r="D10" s="14" t="n">
        <v>438.76</v>
      </c>
      <c r="E10" s="14" t="n">
        <v>413.13</v>
      </c>
      <c r="F10" s="14" t="n">
        <v>376.16</v>
      </c>
      <c r="G10" s="15">
        <f>HYPERLINK("https://www.tradingview.com/chart/?symbol=NSE:EXIDEIND","Chart 📈")</f>
        <v/>
      </c>
    </row>
    <row r="11" ht="16" customHeight="1">
      <c r="A11" s="16" t="inlineStr">
        <is>
          <t>NIFTY AUTO</t>
        </is>
      </c>
      <c r="B11" s="13" t="inlineStr">
        <is>
          <t>HEROMOTOCO</t>
        </is>
      </c>
      <c r="C11" s="14" t="n">
        <v>5611</v>
      </c>
      <c r="D11" s="14" t="n">
        <v>5214.09</v>
      </c>
      <c r="E11" s="14" t="n">
        <v>5059.26</v>
      </c>
      <c r="F11" s="14" t="n">
        <v>5078.56</v>
      </c>
      <c r="G11" s="15">
        <f>HYPERLINK("https://www.tradingview.com/chart/?symbol=NSE:HEROMOTOCO","Chart 📈")</f>
        <v/>
      </c>
    </row>
    <row r="12" ht="16" customHeight="1">
      <c r="A12" s="16" t="inlineStr">
        <is>
          <t>NIFTY AUTO</t>
        </is>
      </c>
      <c r="B12" s="13" t="inlineStr">
        <is>
          <t>M&amp;M</t>
        </is>
      </c>
      <c r="C12" s="14" t="n">
        <v>3421.3</v>
      </c>
      <c r="D12" s="14" t="n">
        <v>3277.04</v>
      </c>
      <c r="E12" s="14" t="n">
        <v>3190.36</v>
      </c>
      <c r="F12" s="14" t="n">
        <v>3238.87</v>
      </c>
      <c r="G12" s="15">
        <f>HYPERLINK("https://www.tradingview.com/chart/?symbol=NSE:M&amp;M","Chart 📈")</f>
        <v/>
      </c>
    </row>
    <row r="13" ht="16" customHeight="1">
      <c r="A13" s="16" t="inlineStr">
        <is>
          <t>NIFTY AUTO</t>
        </is>
      </c>
      <c r="B13" s="13" t="inlineStr">
        <is>
          <t>MARUTI</t>
        </is>
      </c>
      <c r="C13" s="14" t="n">
        <v>14018</v>
      </c>
      <c r="D13" s="14" t="n">
        <v>13878.55</v>
      </c>
      <c r="E13" s="14" t="n">
        <v>13726.92</v>
      </c>
      <c r="F13" s="14" t="n">
        <v>13966.28</v>
      </c>
      <c r="G13" s="15">
        <f>HYPERLINK("https://www.tradingview.com/chart/?symbol=NSE:MARUTI","Chart 📈")</f>
        <v/>
      </c>
    </row>
    <row r="14" ht="16" customHeight="1">
      <c r="A14" s="16" t="inlineStr">
        <is>
          <t>NIFTY AUTO</t>
        </is>
      </c>
      <c r="B14" s="13" t="inlineStr">
        <is>
          <t>MOTHERSON</t>
        </is>
      </c>
      <c r="C14" s="14" t="n">
        <v>154</v>
      </c>
      <c r="D14" s="14" t="n">
        <v>148.35</v>
      </c>
      <c r="E14" s="14" t="n">
        <v>144.01</v>
      </c>
      <c r="F14" s="14" t="n">
        <v>127.62</v>
      </c>
      <c r="G14" s="15">
        <f>HYPERLINK("https://www.tradingview.com/chart/?symbol=NSE:MOTHERSON","Chart 📈")</f>
        <v/>
      </c>
    </row>
    <row r="15" ht="16" customHeight="1">
      <c r="A15" s="16" t="inlineStr">
        <is>
          <t>NIFTY AUTO</t>
        </is>
      </c>
      <c r="B15" s="13" t="inlineStr">
        <is>
          <t>TVSMOTOR</t>
        </is>
      </c>
      <c r="C15" s="14" t="n">
        <v>4386.3</v>
      </c>
      <c r="D15" s="14" t="n">
        <v>3997.4</v>
      </c>
      <c r="E15" s="14" t="n">
        <v>3762.54</v>
      </c>
      <c r="F15" s="14" t="n">
        <v>3562.55</v>
      </c>
      <c r="G15" s="15">
        <f>HYPERLINK("https://www.tradingview.com/chart/?symbol=NSE:TVSMOTOR","Chart 📈")</f>
        <v/>
      </c>
    </row>
    <row r="16" ht="16" customHeight="1">
      <c r="A16" s="8" t="inlineStr">
        <is>
          <t>NIFTY METAL</t>
        </is>
      </c>
      <c r="B16" s="17" t="inlineStr">
        <is>
          <t>APLAPOLLO</t>
        </is>
      </c>
      <c r="C16" s="18" t="n">
        <v>1971.8</v>
      </c>
      <c r="D16" s="18" t="n">
        <v>1869.22</v>
      </c>
      <c r="E16" s="18" t="n">
        <v>1857.29</v>
      </c>
      <c r="F16" s="18" t="n">
        <v>1861.84</v>
      </c>
      <c r="G16" s="19">
        <f>HYPERLINK("https://www.tradingview.com/chart/?symbol=NSE:APLAPOLLO","Chart 📈")</f>
        <v/>
      </c>
    </row>
    <row r="17" ht="16" customHeight="1">
      <c r="A17" s="20" t="inlineStr">
        <is>
          <t>NIFTY METAL</t>
        </is>
      </c>
      <c r="B17" s="17" t="inlineStr">
        <is>
          <t>HINDALCO</t>
        </is>
      </c>
      <c r="C17" s="18" t="n">
        <v>1018.9</v>
      </c>
      <c r="D17" s="18" t="n">
        <v>979.7</v>
      </c>
      <c r="E17" s="18" t="n">
        <v>987.23</v>
      </c>
      <c r="F17" s="18" t="n">
        <v>933.63</v>
      </c>
      <c r="G17" s="19">
        <f>HYPERLINK("https://www.tradingview.com/chart/?symbol=NSE:HINDALCO","Chart 📈")</f>
        <v/>
      </c>
    </row>
    <row r="18" ht="16" customHeight="1">
      <c r="A18" s="20" t="inlineStr">
        <is>
          <t>NIFTY METAL</t>
        </is>
      </c>
      <c r="B18" s="17" t="inlineStr">
        <is>
          <t>HINDCOPPER</t>
        </is>
      </c>
      <c r="C18" s="18" t="n">
        <v>529.75</v>
      </c>
      <c r="D18" s="18" t="n">
        <v>497.5</v>
      </c>
      <c r="E18" s="18" t="n">
        <v>504.56</v>
      </c>
      <c r="F18" s="18" t="n">
        <v>475.61</v>
      </c>
      <c r="G18" s="19">
        <f>HYPERLINK("https://www.tradingview.com/chart/?symbol=NSE:HINDCOPPER","Chart 📈")</f>
        <v/>
      </c>
    </row>
    <row r="19" ht="16" customHeight="1">
      <c r="A19" s="20" t="inlineStr">
        <is>
          <t>NIFTY METAL</t>
        </is>
      </c>
      <c r="B19" s="17" t="inlineStr">
        <is>
          <t>HINDZINC</t>
        </is>
      </c>
      <c r="C19" s="18" t="n">
        <v>593.05</v>
      </c>
      <c r="D19" s="18" t="n">
        <v>548.52</v>
      </c>
      <c r="E19" s="18" t="n">
        <v>553.65</v>
      </c>
      <c r="F19" s="18" t="n">
        <v>547.34</v>
      </c>
      <c r="G19" s="19">
        <f>HYPERLINK("https://www.tradingview.com/chart/?symbol=NSE:HINDZINC","Chart 📈")</f>
        <v/>
      </c>
    </row>
    <row r="20" ht="16" customHeight="1">
      <c r="A20" s="20" t="inlineStr">
        <is>
          <t>NIFTY METAL</t>
        </is>
      </c>
      <c r="B20" s="17" t="inlineStr">
        <is>
          <t>JSWSTEEL</t>
        </is>
      </c>
      <c r="C20" s="18" t="n">
        <v>1315.3</v>
      </c>
      <c r="D20" s="18" t="n">
        <v>1271.21</v>
      </c>
      <c r="E20" s="18" t="n">
        <v>1258.34</v>
      </c>
      <c r="F20" s="18" t="n">
        <v>1208.02</v>
      </c>
      <c r="G20" s="19">
        <f>HYPERLINK("https://www.tradingview.com/chart/?symbol=NSE:JSWSTEEL","Chart 📈")</f>
        <v/>
      </c>
    </row>
    <row r="21" ht="16" customHeight="1">
      <c r="A21" s="20" t="inlineStr">
        <is>
          <t>NIFTY METAL</t>
        </is>
      </c>
      <c r="B21" s="17" t="inlineStr">
        <is>
          <t>NATIONALUM</t>
        </is>
      </c>
      <c r="C21" s="18" t="n">
        <v>377.45</v>
      </c>
      <c r="D21" s="18" t="n">
        <v>357.44</v>
      </c>
      <c r="E21" s="18" t="n">
        <v>363.52</v>
      </c>
      <c r="F21" s="18" t="n">
        <v>340</v>
      </c>
      <c r="G21" s="19">
        <f>HYPERLINK("https://www.tradingview.com/chart/?symbol=NSE:NATIONALUM","Chart 📈")</f>
        <v/>
      </c>
    </row>
    <row r="22" ht="16" customHeight="1">
      <c r="A22" s="20" t="inlineStr">
        <is>
          <t>NIFTY METAL</t>
        </is>
      </c>
      <c r="B22" s="17" t="inlineStr">
        <is>
          <t>NMDC</t>
        </is>
      </c>
      <c r="C22" s="18" t="n">
        <v>86.02</v>
      </c>
      <c r="D22" s="18" t="n">
        <v>84.77</v>
      </c>
      <c r="E22" s="18" t="n">
        <v>85.59</v>
      </c>
      <c r="F22" s="18" t="n">
        <v>82.18000000000001</v>
      </c>
      <c r="G22" s="19">
        <f>HYPERLINK("https://www.tradingview.com/chart/?symbol=NSE:NMDC","Chart 📈")</f>
        <v/>
      </c>
    </row>
    <row r="23" ht="16" customHeight="1">
      <c r="A23" s="20" t="inlineStr">
        <is>
          <t>NIFTY METAL</t>
        </is>
      </c>
      <c r="B23" s="17" t="inlineStr">
        <is>
          <t>SAIL</t>
        </is>
      </c>
      <c r="C23" s="18" t="n">
        <v>177.26</v>
      </c>
      <c r="D23" s="18" t="n">
        <v>169.14</v>
      </c>
      <c r="E23" s="18" t="n">
        <v>172</v>
      </c>
      <c r="F23" s="18" t="n">
        <v>161.92</v>
      </c>
      <c r="G23" s="19">
        <f>HYPERLINK("https://www.tradingview.com/chart/?symbol=NSE:SAIL","Chart 📈")</f>
        <v/>
      </c>
    </row>
    <row r="24" ht="16" customHeight="1">
      <c r="A24" s="20" t="inlineStr">
        <is>
          <t>NIFTY METAL</t>
        </is>
      </c>
      <c r="B24" s="17" t="inlineStr">
        <is>
          <t>WELCORP</t>
        </is>
      </c>
      <c r="C24" s="18" t="n">
        <v>1828.5</v>
      </c>
      <c r="D24" s="18" t="n">
        <v>1659.45</v>
      </c>
      <c r="E24" s="18" t="n">
        <v>1532.27</v>
      </c>
      <c r="F24" s="18" t="n">
        <v>1182.75</v>
      </c>
      <c r="G24" s="19">
        <f>HYPERLINK("https://www.tradingview.com/chart/?symbol=NSE:WELCORP","Chart 📈")</f>
        <v/>
      </c>
    </row>
    <row r="25" ht="16" customHeight="1">
      <c r="A25" s="12" t="inlineStr">
        <is>
          <t>NIFTY PHARMA</t>
        </is>
      </c>
      <c r="B25" s="13" t="inlineStr">
        <is>
          <t>ABBOTINDIA</t>
        </is>
      </c>
      <c r="C25" s="14" t="n">
        <v>27855</v>
      </c>
      <c r="D25" s="14" t="n">
        <v>27407.04</v>
      </c>
      <c r="E25" s="14" t="n">
        <v>26738.6</v>
      </c>
      <c r="F25" s="14" t="n">
        <v>27150.41</v>
      </c>
      <c r="G25" s="15">
        <f>HYPERLINK("https://www.tradingview.com/chart/?symbol=NSE:ABBOTINDIA","Chart 📈")</f>
        <v/>
      </c>
    </row>
    <row r="26" ht="16" customHeight="1">
      <c r="A26" s="16" t="inlineStr">
        <is>
          <t>NIFTY PHARMA</t>
        </is>
      </c>
      <c r="B26" s="13" t="inlineStr">
        <is>
          <t>AJANTPHARM</t>
        </is>
      </c>
      <c r="C26" s="14" t="n">
        <v>3474.1</v>
      </c>
      <c r="D26" s="14" t="n">
        <v>3395.54</v>
      </c>
      <c r="E26" s="14" t="n">
        <v>3274.62</v>
      </c>
      <c r="F26" s="14" t="n">
        <v>2952.12</v>
      </c>
      <c r="G26" s="15">
        <f>HYPERLINK("https://www.tradingview.com/chart/?symbol=NSE:AJANTPHARM","Chart 📈")</f>
        <v/>
      </c>
    </row>
    <row r="27" ht="16" customHeight="1">
      <c r="A27" s="16" t="inlineStr">
        <is>
          <t>NIFTY PHARMA</t>
        </is>
      </c>
      <c r="B27" s="13" t="inlineStr">
        <is>
          <t>AUROPHARMA</t>
        </is>
      </c>
      <c r="C27" s="14" t="n">
        <v>1603.1</v>
      </c>
      <c r="D27" s="14" t="n">
        <v>1564.68</v>
      </c>
      <c r="E27" s="14" t="n">
        <v>1526.21</v>
      </c>
      <c r="F27" s="14" t="n">
        <v>1358</v>
      </c>
      <c r="G27" s="15">
        <f>HYPERLINK("https://www.tradingview.com/chart/?symbol=NSE:AUROPHARMA","Chart 📈")</f>
        <v/>
      </c>
    </row>
    <row r="28" ht="16" customHeight="1">
      <c r="A28" s="16" t="inlineStr">
        <is>
          <t>NIFTY PHARMA</t>
        </is>
      </c>
      <c r="B28" s="13" t="inlineStr">
        <is>
          <t>BIOCON</t>
        </is>
      </c>
      <c r="C28" s="14" t="n">
        <v>441.6</v>
      </c>
      <c r="D28" s="14" t="n">
        <v>428.97</v>
      </c>
      <c r="E28" s="14" t="n">
        <v>420.79</v>
      </c>
      <c r="F28" s="14" t="n">
        <v>395.15</v>
      </c>
      <c r="G28" s="15">
        <f>HYPERLINK("https://www.tradingview.com/chart/?symbol=NSE:BIOCON","Chart 📈")</f>
        <v/>
      </c>
    </row>
    <row r="29" ht="16" customHeight="1">
      <c r="A29" s="16" t="inlineStr">
        <is>
          <t>NIFTY PHARMA</t>
        </is>
      </c>
      <c r="B29" s="13" t="inlineStr">
        <is>
          <t>CIPLA</t>
        </is>
      </c>
      <c r="C29" s="14" t="n">
        <v>1477.5</v>
      </c>
      <c r="D29" s="14" t="n">
        <v>1447.33</v>
      </c>
      <c r="E29" s="14" t="n">
        <v>1421.04</v>
      </c>
      <c r="F29" s="14" t="n">
        <v>1400.54</v>
      </c>
      <c r="G29" s="15">
        <f>HYPERLINK("https://www.tradingview.com/chart/?symbol=NSE:CIPLA","Chart 📈")</f>
        <v/>
      </c>
    </row>
    <row r="30" ht="16" customHeight="1">
      <c r="A30" s="16" t="inlineStr">
        <is>
          <t>NIFTY PHARMA</t>
        </is>
      </c>
      <c r="B30" s="13" t="inlineStr">
        <is>
          <t>DIVISLAB</t>
        </is>
      </c>
      <c r="C30" s="14" t="n">
        <v>8397</v>
      </c>
      <c r="D30" s="14" t="n">
        <v>7685.07</v>
      </c>
      <c r="E30" s="14" t="n">
        <v>7200.38</v>
      </c>
      <c r="F30" s="14" t="n">
        <v>6610.93</v>
      </c>
      <c r="G30" s="15">
        <f>HYPERLINK("https://www.tradingview.com/chart/?symbol=NSE:DIVISLAB","Chart 📈")</f>
        <v/>
      </c>
    </row>
    <row r="31" ht="16" customHeight="1">
      <c r="A31" s="16" t="inlineStr">
        <is>
          <t>NIFTY PHARMA</t>
        </is>
      </c>
      <c r="B31" s="13" t="inlineStr">
        <is>
          <t>GLAND</t>
        </is>
      </c>
      <c r="C31" s="14" t="n">
        <v>2600</v>
      </c>
      <c r="D31" s="14" t="n">
        <v>2487.61</v>
      </c>
      <c r="E31" s="14" t="n">
        <v>2367.55</v>
      </c>
      <c r="F31" s="14" t="n">
        <v>2062.03</v>
      </c>
      <c r="G31" s="15">
        <f>HYPERLINK("https://www.tradingview.com/chart/?symbol=NSE:GLAND","Chart 📈")</f>
        <v/>
      </c>
    </row>
    <row r="32" ht="16" customHeight="1">
      <c r="A32" s="16" t="inlineStr">
        <is>
          <t>NIFTY PHARMA</t>
        </is>
      </c>
      <c r="B32" s="13" t="inlineStr">
        <is>
          <t>GLENMARK</t>
        </is>
      </c>
      <c r="C32" s="14" t="n">
        <v>2268.7</v>
      </c>
      <c r="D32" s="14" t="n">
        <v>2232.07</v>
      </c>
      <c r="E32" s="14" t="n">
        <v>2229.79</v>
      </c>
      <c r="F32" s="14" t="n">
        <v>2151.04</v>
      </c>
      <c r="G32" s="15">
        <f>HYPERLINK("https://www.tradingview.com/chart/?symbol=NSE:GLENMARK","Chart 📈")</f>
        <v/>
      </c>
    </row>
    <row r="33" ht="16" customHeight="1">
      <c r="A33" s="16" t="inlineStr">
        <is>
          <t>NIFTY PHARMA</t>
        </is>
      </c>
      <c r="B33" s="13" t="inlineStr">
        <is>
          <t>JBCHEPHARM</t>
        </is>
      </c>
      <c r="C33" s="14" t="n">
        <v>2408.9</v>
      </c>
      <c r="D33" s="14" t="n">
        <v>2383.66</v>
      </c>
      <c r="E33" s="14" t="n">
        <v>2287.69</v>
      </c>
      <c r="F33" s="14" t="n">
        <v>2037.04</v>
      </c>
      <c r="G33" s="15">
        <f>HYPERLINK("https://www.tradingview.com/chart/?symbol=NSE:JBCHEPHARM","Chart 📈")</f>
        <v/>
      </c>
    </row>
    <row r="34" ht="16" customHeight="1">
      <c r="A34" s="16" t="inlineStr">
        <is>
          <t>NIFTY PHARMA</t>
        </is>
      </c>
      <c r="B34" s="13" t="inlineStr">
        <is>
          <t>LAURUSLABS</t>
        </is>
      </c>
      <c r="C34" s="14" t="n">
        <v>1835.5</v>
      </c>
      <c r="D34" s="14" t="n">
        <v>1696.2</v>
      </c>
      <c r="E34" s="14" t="n">
        <v>1551.56</v>
      </c>
      <c r="F34" s="14" t="n">
        <v>1241.09</v>
      </c>
      <c r="G34" s="15">
        <f>HYPERLINK("https://www.tradingview.com/chart/?symbol=NSE:LAURUSLABS","Chart 📈")</f>
        <v/>
      </c>
    </row>
    <row r="35" ht="16" customHeight="1">
      <c r="A35" s="16" t="inlineStr">
        <is>
          <t>NIFTY PHARMA</t>
        </is>
      </c>
      <c r="B35" s="13" t="inlineStr">
        <is>
          <t>SUNPHARMA</t>
        </is>
      </c>
      <c r="C35" s="14" t="n">
        <v>1952.3</v>
      </c>
      <c r="D35" s="14" t="n">
        <v>1949</v>
      </c>
      <c r="E35" s="14" t="n">
        <v>1901.84</v>
      </c>
      <c r="F35" s="14" t="n">
        <v>1784.89</v>
      </c>
      <c r="G35" s="15">
        <f>HYPERLINK("https://www.tradingview.com/chart/?symbol=NSE:SUNPHARMA","Chart 📈")</f>
        <v/>
      </c>
    </row>
    <row r="36" ht="16" customHeight="1">
      <c r="A36" s="16" t="inlineStr">
        <is>
          <t>NIFTY PHARMA</t>
        </is>
      </c>
      <c r="B36" s="13" t="inlineStr">
        <is>
          <t>TORNTPHARM</t>
        </is>
      </c>
      <c r="C36" s="14" t="n">
        <v>4964</v>
      </c>
      <c r="D36" s="14" t="n">
        <v>4940.71</v>
      </c>
      <c r="E36" s="14" t="n">
        <v>4766.62</v>
      </c>
      <c r="F36" s="14" t="n">
        <v>4286.94</v>
      </c>
      <c r="G36" s="15">
        <f>HYPERLINK("https://www.tradingview.com/chart/?symbol=NSE:TORNTPHARM","Chart 📈")</f>
        <v/>
      </c>
    </row>
    <row r="37" ht="16" customHeight="1">
      <c r="A37" s="8" t="inlineStr">
        <is>
          <t>NIFTY REALTY</t>
        </is>
      </c>
      <c r="B37" s="17" t="inlineStr">
        <is>
          <t>GODREJPROP</t>
        </is>
      </c>
      <c r="C37" s="18" t="n">
        <v>2081.5</v>
      </c>
      <c r="D37" s="18" t="n">
        <v>2063.77</v>
      </c>
      <c r="E37" s="18" t="n">
        <v>1967.37</v>
      </c>
      <c r="F37" s="18" t="n">
        <v>1889.76</v>
      </c>
      <c r="G37" s="19">
        <f>HYPERLINK("https://www.tradingview.com/chart/?symbol=NSE:GODREJPROP","Chart 📈")</f>
        <v/>
      </c>
    </row>
    <row r="38" ht="16" customHeight="1">
      <c r="A38" s="20" t="inlineStr">
        <is>
          <t>NIFTY REALTY</t>
        </is>
      </c>
      <c r="B38" s="17" t="inlineStr">
        <is>
          <t>LODHA</t>
        </is>
      </c>
      <c r="C38" s="18" t="n">
        <v>1224.2</v>
      </c>
      <c r="D38" s="18" t="n">
        <v>1196.68</v>
      </c>
      <c r="E38" s="18" t="n">
        <v>1097.51</v>
      </c>
      <c r="F38" s="18" t="n">
        <v>1036.56</v>
      </c>
      <c r="G38" s="19">
        <f>HYPERLINK("https://www.tradingview.com/chart/?symbol=NSE:LODHA","Chart 📈")</f>
        <v/>
      </c>
    </row>
    <row r="39" ht="16" customHeight="1">
      <c r="A39" s="20" t="inlineStr">
        <is>
          <t>NIFTY REALTY</t>
        </is>
      </c>
      <c r="B39" s="17" t="inlineStr">
        <is>
          <t>MAHLIFE</t>
        </is>
      </c>
      <c r="C39" s="18" t="n">
        <v>382.45</v>
      </c>
      <c r="D39" s="18" t="n">
        <v>380.13</v>
      </c>
      <c r="E39" s="18" t="n">
        <v>366.18</v>
      </c>
      <c r="F39" s="18" t="n">
        <v>356.62</v>
      </c>
      <c r="G39" s="19">
        <f>HYPERLINK("https://www.tradingview.com/chart/?symbol=NSE:MAHLIFE","Chart 📈")</f>
        <v/>
      </c>
    </row>
    <row r="40" ht="16" customHeight="1">
      <c r="A40" s="20" t="inlineStr">
        <is>
          <t>NIFTY REALTY</t>
        </is>
      </c>
      <c r="B40" s="17" t="inlineStr">
        <is>
          <t>RAYMOND</t>
        </is>
      </c>
      <c r="C40" s="18" t="n">
        <v>633</v>
      </c>
      <c r="D40" s="18" t="n">
        <v>602.86</v>
      </c>
      <c r="E40" s="18" t="n">
        <v>579.1900000000001</v>
      </c>
      <c r="F40" s="18" t="n">
        <v>524.29</v>
      </c>
      <c r="G40" s="19">
        <f>HYPERLINK("https://www.tradingview.com/chart/?symbol=NSE:RAYMOND","Chart 📈")</f>
        <v/>
      </c>
    </row>
    <row r="41" ht="16" customHeight="1">
      <c r="A41" s="12" t="inlineStr">
        <is>
          <t>NIFTY PSU BANK</t>
        </is>
      </c>
      <c r="B41" s="13" t="inlineStr">
        <is>
          <t>CANBK</t>
        </is>
      </c>
      <c r="C41" s="14" t="n">
        <v>129.68</v>
      </c>
      <c r="D41" s="14" t="n">
        <v>126.92</v>
      </c>
      <c r="E41" s="14" t="n">
        <v>127.82</v>
      </c>
      <c r="F41" s="14" t="n">
        <v>129.24</v>
      </c>
      <c r="G41" s="15">
        <f>HYPERLINK("https://www.tradingview.com/chart/?symbol=NSE:CANBK","Chart 📈")</f>
        <v/>
      </c>
    </row>
    <row r="42" ht="16" customHeight="1">
      <c r="A42" s="16" t="inlineStr">
        <is>
          <t>NIFTY PSU BANK</t>
        </is>
      </c>
      <c r="B42" s="13" t="inlineStr">
        <is>
          <t>INDIANB</t>
        </is>
      </c>
      <c r="C42" s="14" t="n">
        <v>861.7</v>
      </c>
      <c r="D42" s="14" t="n">
        <v>837.13</v>
      </c>
      <c r="E42" s="14" t="n">
        <v>835.36</v>
      </c>
      <c r="F42" s="14" t="n">
        <v>817.89</v>
      </c>
      <c r="G42" s="15">
        <f>HYPERLINK("https://www.tradingview.com/chart/?symbol=NSE:INDIANB","Chart 📈")</f>
        <v/>
      </c>
    </row>
    <row r="43" ht="16" customHeight="1">
      <c r="A43" s="16" t="inlineStr">
        <is>
          <t>NIFTY PSU BANK</t>
        </is>
      </c>
      <c r="B43" s="13" t="inlineStr">
        <is>
          <t>PNB</t>
        </is>
      </c>
      <c r="C43" s="14" t="n">
        <v>114.11</v>
      </c>
      <c r="D43" s="14" t="n">
        <v>110.73</v>
      </c>
      <c r="E43" s="14" t="n">
        <v>108.52</v>
      </c>
      <c r="F43" s="14" t="n">
        <v>109.1</v>
      </c>
      <c r="G43" s="15">
        <f>HYPERLINK("https://www.tradingview.com/chart/?symbol=NSE:PNB","Chart 📈")</f>
        <v/>
      </c>
    </row>
    <row r="44" ht="16" customHeight="1">
      <c r="A44" s="16" t="inlineStr">
        <is>
          <t>NIFTY PSU BANK</t>
        </is>
      </c>
      <c r="B44" s="13" t="inlineStr">
        <is>
          <t>SBIN</t>
        </is>
      </c>
      <c r="C44" s="14" t="n">
        <v>1063.1</v>
      </c>
      <c r="D44" s="14" t="n">
        <v>1034.62</v>
      </c>
      <c r="E44" s="14" t="n">
        <v>1027.7</v>
      </c>
      <c r="F44" s="14" t="n">
        <v>995.1</v>
      </c>
      <c r="G44" s="15">
        <f>HYPERLINK("https://www.tradingview.com/chart/?symbol=NSE:SBIN","Chart 📈")</f>
        <v/>
      </c>
    </row>
    <row r="45" ht="16" customHeight="1">
      <c r="A45" s="16" t="inlineStr">
        <is>
          <t>NIFTY PSU BANK</t>
        </is>
      </c>
      <c r="B45" s="13" t="inlineStr">
        <is>
          <t>UNIONBANK</t>
        </is>
      </c>
      <c r="C45" s="14" t="n">
        <v>178.91</v>
      </c>
      <c r="D45" s="14" t="n">
        <v>171.33</v>
      </c>
      <c r="E45" s="14" t="n">
        <v>168.8</v>
      </c>
      <c r="F45" s="14" t="n">
        <v>161.61</v>
      </c>
      <c r="G45" s="15">
        <f>HYPERLINK("https://www.tradingview.com/chart/?symbol=NSE:UNIONBANK","Chart 📈")</f>
        <v/>
      </c>
    </row>
    <row r="46" ht="16" customHeight="1">
      <c r="A46" s="8" t="inlineStr">
        <is>
          <t>NIFTY CONSUMER DURABLES</t>
        </is>
      </c>
      <c r="B46" s="17" t="inlineStr">
        <is>
          <t>CENTURYPLY</t>
        </is>
      </c>
      <c r="C46" s="18" t="n">
        <v>783.4</v>
      </c>
      <c r="D46" s="18" t="n">
        <v>781.03</v>
      </c>
      <c r="E46" s="18" t="n">
        <v>773.76</v>
      </c>
      <c r="F46" s="18" t="n">
        <v>764.8099999999999</v>
      </c>
      <c r="G46" s="19">
        <f>HYPERLINK("https://www.tradingview.com/chart/?symbol=NSE:CENTURYPLY","Chart 📈")</f>
        <v/>
      </c>
    </row>
    <row r="47" ht="16" customHeight="1">
      <c r="A47" s="20" t="inlineStr">
        <is>
          <t>NIFTY CONSUMER DURABLES</t>
        </is>
      </c>
      <c r="B47" s="17" t="inlineStr">
        <is>
          <t>CERA</t>
        </is>
      </c>
      <c r="C47" s="18" t="n">
        <v>6371.5</v>
      </c>
      <c r="D47" s="18" t="n">
        <v>6213</v>
      </c>
      <c r="E47" s="18" t="n">
        <v>6063.83</v>
      </c>
      <c r="F47" s="18" t="n">
        <v>5702.67</v>
      </c>
      <c r="G47" s="19">
        <f>HYPERLINK("https://www.tradingview.com/chart/?symbol=NSE:CERA","Chart 📈")</f>
        <v/>
      </c>
    </row>
    <row r="48" ht="16" customHeight="1">
      <c r="A48" s="20" t="inlineStr">
        <is>
          <t>NIFTY CONSUMER DURABLES</t>
        </is>
      </c>
      <c r="B48" s="17" t="inlineStr">
        <is>
          <t>CROMPTON</t>
        </is>
      </c>
      <c r="C48" s="18" t="n">
        <v>268.65</v>
      </c>
      <c r="D48" s="18" t="n">
        <v>260.61</v>
      </c>
      <c r="E48" s="18" t="n">
        <v>262.24</v>
      </c>
      <c r="F48" s="18" t="n">
        <v>267.2</v>
      </c>
      <c r="G48" s="19">
        <f>HYPERLINK("https://www.tradingview.com/chart/?symbol=NSE:CROMPTON","Chart 📈")</f>
        <v/>
      </c>
    </row>
    <row r="49" ht="16" customHeight="1">
      <c r="A49" s="20" t="inlineStr">
        <is>
          <t>NIFTY CONSUMER DURABLES</t>
        </is>
      </c>
      <c r="B49" s="17" t="inlineStr">
        <is>
          <t>DIXON</t>
        </is>
      </c>
      <c r="C49" s="18" t="n">
        <v>14222</v>
      </c>
      <c r="D49" s="18" t="n">
        <v>13836.77</v>
      </c>
      <c r="E49" s="18" t="n">
        <v>13067.72</v>
      </c>
      <c r="F49" s="18" t="n">
        <v>12817.39</v>
      </c>
      <c r="G49" s="19">
        <f>HYPERLINK("https://www.tradingview.com/chart/?symbol=NSE:DIXON","Chart 📈")</f>
        <v/>
      </c>
    </row>
    <row r="50" ht="16" customHeight="1">
      <c r="A50" s="20" t="inlineStr">
        <is>
          <t>NIFTY CONSUMER DURABLES</t>
        </is>
      </c>
      <c r="B50" s="17" t="inlineStr">
        <is>
          <t>KALYANKJIL</t>
        </is>
      </c>
      <c r="C50" s="18" t="n">
        <v>571.85</v>
      </c>
      <c r="D50" s="18" t="n">
        <v>557.9299999999999</v>
      </c>
      <c r="E50" s="18" t="n">
        <v>489.68</v>
      </c>
      <c r="F50" s="18" t="n">
        <v>455.45</v>
      </c>
      <c r="G50" s="19">
        <f>HYPERLINK("https://www.tradingview.com/chart/?symbol=NSE:KALYANKJIL","Chart 📈")</f>
        <v/>
      </c>
    </row>
    <row r="51" ht="16" customHeight="1">
      <c r="A51" s="20" t="inlineStr">
        <is>
          <t>NIFTY CONSUMER DURABLES</t>
        </is>
      </c>
      <c r="B51" s="17" t="inlineStr">
        <is>
          <t>TITAN</t>
        </is>
      </c>
      <c r="C51" s="18" t="n">
        <v>4975.1</v>
      </c>
      <c r="D51" s="18" t="n">
        <v>4765.17</v>
      </c>
      <c r="E51" s="18" t="n">
        <v>4563.45</v>
      </c>
      <c r="F51" s="18" t="n">
        <v>4191.36</v>
      </c>
      <c r="G51" s="19">
        <f>HYPERLINK("https://www.tradingview.com/chart/?symbol=NSE:TITAN","Chart 📈")</f>
        <v/>
      </c>
    </row>
    <row r="52" ht="16" customHeight="1">
      <c r="A52" s="12" t="inlineStr">
        <is>
          <t>NIFTY MIDSMALL IT &amp; TELECOM</t>
        </is>
      </c>
      <c r="B52" s="13" t="inlineStr">
        <is>
          <t>AFFLE</t>
        </is>
      </c>
      <c r="C52" s="14" t="n">
        <v>1686</v>
      </c>
      <c r="D52" s="14" t="n">
        <v>1578.41</v>
      </c>
      <c r="E52" s="14" t="n">
        <v>1524.67</v>
      </c>
      <c r="F52" s="14" t="n">
        <v>1581.08</v>
      </c>
      <c r="G52" s="15">
        <f>HYPERLINK("https://www.tradingview.com/chart/?symbol=NSE:AFFLE","Chart 📈")</f>
        <v/>
      </c>
    </row>
    <row r="53" ht="16" customHeight="1">
      <c r="A53" s="16" t="inlineStr">
        <is>
          <t>NIFTY MIDSMALL IT &amp; TELECOM</t>
        </is>
      </c>
      <c r="B53" s="13" t="inlineStr">
        <is>
          <t>COFORGE</t>
        </is>
      </c>
      <c r="C53" s="14" t="n">
        <v>1774.4</v>
      </c>
      <c r="D53" s="14" t="n">
        <v>1626.69</v>
      </c>
      <c r="E53" s="14" t="n">
        <v>1523.17</v>
      </c>
      <c r="F53" s="14" t="n">
        <v>1486.08</v>
      </c>
      <c r="G53" s="15">
        <f>HYPERLINK("https://www.tradingview.com/chart/?symbol=NSE:COFORGE","Chart 📈")</f>
        <v/>
      </c>
    </row>
    <row r="54" ht="16" customHeight="1">
      <c r="A54" s="16" t="inlineStr">
        <is>
          <t>NIFTY MIDSMALL IT &amp; TELECOM</t>
        </is>
      </c>
      <c r="B54" s="13" t="inlineStr">
        <is>
          <t>HFCL</t>
        </is>
      </c>
      <c r="C54" s="14" t="n">
        <v>207.33</v>
      </c>
      <c r="D54" s="14" t="n">
        <v>204.42</v>
      </c>
      <c r="E54" s="14" t="n">
        <v>192.67</v>
      </c>
      <c r="F54" s="14" t="n">
        <v>132.19</v>
      </c>
      <c r="G54" s="15">
        <f>HYPERLINK("https://www.tradingview.com/chart/?symbol=NSE:HFCL","Chart 📈")</f>
        <v/>
      </c>
    </row>
    <row r="55" ht="16" customHeight="1">
      <c r="A55" s="16" t="inlineStr">
        <is>
          <t>NIFTY MIDSMALL IT &amp; TELECOM</t>
        </is>
      </c>
      <c r="B55" s="13" t="inlineStr">
        <is>
          <t>MPHASIS</t>
        </is>
      </c>
      <c r="C55" s="14" t="n">
        <v>2417.9</v>
      </c>
      <c r="D55" s="14" t="n">
        <v>2351.72</v>
      </c>
      <c r="E55" s="14" t="n">
        <v>2297.55</v>
      </c>
      <c r="F55" s="14" t="n">
        <v>2376.4</v>
      </c>
      <c r="G55" s="15">
        <f>HYPERLINK("https://www.tradingview.com/chart/?symbol=NSE:MPHASIS","Chart 📈")</f>
        <v/>
      </c>
    </row>
    <row r="56" ht="16" customHeight="1">
      <c r="A56" s="16" t="inlineStr">
        <is>
          <t>NIFTY MIDSMALL IT &amp; TELECOM</t>
        </is>
      </c>
      <c r="B56" s="13" t="inlineStr">
        <is>
          <t>OFSS</t>
        </is>
      </c>
      <c r="C56" s="14" t="n">
        <v>11721</v>
      </c>
      <c r="D56" s="14" t="n">
        <v>11296.47</v>
      </c>
      <c r="E56" s="14" t="n">
        <v>10706.99</v>
      </c>
      <c r="F56" s="14" t="n">
        <v>9067.01</v>
      </c>
      <c r="G56" s="15">
        <f>HYPERLINK("https://www.tradingview.com/chart/?symbol=NSE:OFSS","Chart 📈")</f>
        <v/>
      </c>
    </row>
    <row r="57" ht="16" customHeight="1">
      <c r="A57" s="16" t="inlineStr">
        <is>
          <t>NIFTY MIDSMALL IT &amp; TELECOM</t>
        </is>
      </c>
      <c r="B57" s="13" t="inlineStr">
        <is>
          <t>PERSISTENT</t>
        </is>
      </c>
      <c r="C57" s="14" t="n">
        <v>5495.5</v>
      </c>
      <c r="D57" s="14" t="n">
        <v>5263.97</v>
      </c>
      <c r="E57" s="14" t="n">
        <v>5101.83</v>
      </c>
      <c r="F57" s="14" t="n">
        <v>5213.16</v>
      </c>
      <c r="G57" s="15">
        <f>HYPERLINK("https://www.tradingview.com/chart/?symbol=NSE:PERSISTENT","Chart 📈")</f>
        <v/>
      </c>
    </row>
    <row r="58" ht="16" customHeight="1">
      <c r="A58" s="16" t="inlineStr">
        <is>
          <t>NIFTY MIDSMALL IT &amp; TELECOM</t>
        </is>
      </c>
      <c r="B58" s="13" t="inlineStr">
        <is>
          <t>SONATSOFTW</t>
        </is>
      </c>
      <c r="C58" s="14" t="n">
        <v>336.2</v>
      </c>
      <c r="D58" s="14" t="n">
        <v>310.46</v>
      </c>
      <c r="E58" s="14" t="n">
        <v>292.74</v>
      </c>
      <c r="F58" s="14" t="n">
        <v>295.04</v>
      </c>
      <c r="G58" s="15">
        <f>HYPERLINK("https://www.tradingview.com/chart/?symbol=NSE:SONATSOFTW","Chart 📈")</f>
        <v/>
      </c>
    </row>
    <row r="59" ht="16" customHeight="1">
      <c r="A59" s="16" t="inlineStr">
        <is>
          <t>NIFTY MIDSMALL IT &amp; TELECOM</t>
        </is>
      </c>
      <c r="B59" s="13" t="inlineStr">
        <is>
          <t>TANLA</t>
        </is>
      </c>
      <c r="C59" s="14" t="n">
        <v>610.8</v>
      </c>
      <c r="D59" s="14" t="n">
        <v>586.61</v>
      </c>
      <c r="E59" s="14" t="n">
        <v>557.27</v>
      </c>
      <c r="F59" s="14" t="n">
        <v>539.4</v>
      </c>
      <c r="G59" s="15">
        <f>HYPERLINK("https://www.tradingview.com/chart/?symbol=NSE:TANLA","Chart 📈")</f>
        <v/>
      </c>
    </row>
    <row r="60" ht="16" customHeight="1">
      <c r="A60" s="16" t="inlineStr">
        <is>
          <t>NIFTY MIDSMALL IT &amp; TELECOM</t>
        </is>
      </c>
      <c r="B60" s="13" t="inlineStr">
        <is>
          <t>TATATECH</t>
        </is>
      </c>
      <c r="C60" s="14" t="n">
        <v>800.45</v>
      </c>
      <c r="D60" s="14" t="n">
        <v>745.58</v>
      </c>
      <c r="E60" s="14" t="n">
        <v>722.15</v>
      </c>
      <c r="F60" s="14" t="n">
        <v>666.87</v>
      </c>
      <c r="G60" s="15">
        <f>HYPERLINK("https://www.tradingview.com/chart/?symbol=NSE:TATATECH","Chart 📈")</f>
        <v/>
      </c>
    </row>
    <row r="61" ht="16" customHeight="1">
      <c r="A61" s="8" t="inlineStr">
        <is>
          <t>NIFTY OIL &amp; GAS</t>
        </is>
      </c>
      <c r="B61" s="17" t="inlineStr">
        <is>
          <t>AEGISLOG</t>
        </is>
      </c>
      <c r="C61" s="18" t="n">
        <v>1418.2</v>
      </c>
      <c r="D61" s="18" t="n">
        <v>1310.95</v>
      </c>
      <c r="E61" s="18" t="n">
        <v>1165.77</v>
      </c>
      <c r="F61" s="18" t="n">
        <v>884.42</v>
      </c>
      <c r="G61" s="19">
        <f>HYPERLINK("https://www.tradingview.com/chart/?symbol=NSE:AEGISLOG","Chart 📈")</f>
        <v/>
      </c>
    </row>
    <row r="62" ht="16" customHeight="1">
      <c r="A62" s="20" t="inlineStr">
        <is>
          <t>NIFTY OIL &amp; GAS</t>
        </is>
      </c>
      <c r="B62" s="17" t="inlineStr">
        <is>
          <t>BPCL</t>
        </is>
      </c>
      <c r="C62" s="18" t="n">
        <v>325.25</v>
      </c>
      <c r="D62" s="18" t="n">
        <v>317.59</v>
      </c>
      <c r="E62" s="18" t="n">
        <v>312.17</v>
      </c>
      <c r="F62" s="18" t="n">
        <v>317.19</v>
      </c>
      <c r="G62" s="19">
        <f>HYPERLINK("https://www.tradingview.com/chart/?symbol=NSE:BPCL","Chart 📈")</f>
        <v/>
      </c>
    </row>
    <row r="63" ht="16" customHeight="1">
      <c r="A63" s="20" t="inlineStr">
        <is>
          <t>NIFTY OIL &amp; GAS</t>
        </is>
      </c>
      <c r="B63" s="17" t="inlineStr">
        <is>
          <t>CASTROLIND</t>
        </is>
      </c>
      <c r="C63" s="18" t="n">
        <v>193.73</v>
      </c>
      <c r="D63" s="18" t="n">
        <v>186.31</v>
      </c>
      <c r="E63" s="18" t="n">
        <v>184.96</v>
      </c>
      <c r="F63" s="18" t="n">
        <v>185.89</v>
      </c>
      <c r="G63" s="19">
        <f>HYPERLINK("https://www.tradingview.com/chart/?symbol=NSE:CASTROLIND","Chart 📈")</f>
        <v/>
      </c>
    </row>
    <row r="64" ht="16" customHeight="1">
      <c r="A64" s="20" t="inlineStr">
        <is>
          <t>NIFTY OIL &amp; GAS</t>
        </is>
      </c>
      <c r="B64" s="17" t="inlineStr">
        <is>
          <t>GAIL</t>
        </is>
      </c>
      <c r="C64" s="18" t="n">
        <v>176.06</v>
      </c>
      <c r="D64" s="18" t="n">
        <v>174.41</v>
      </c>
      <c r="E64" s="18" t="n">
        <v>171.69</v>
      </c>
      <c r="F64" s="18" t="n">
        <v>166.43</v>
      </c>
      <c r="G64" s="19">
        <f>HYPERLINK("https://www.tradingview.com/chart/?symbol=NSE:GAIL","Chart 📈")</f>
        <v/>
      </c>
    </row>
    <row r="65" ht="16" customHeight="1">
      <c r="A65" s="20" t="inlineStr">
        <is>
          <t>NIFTY OIL &amp; GAS</t>
        </is>
      </c>
      <c r="B65" s="17" t="inlineStr">
        <is>
          <t>PETRONET</t>
        </is>
      </c>
      <c r="C65" s="18" t="n">
        <v>279.95</v>
      </c>
      <c r="D65" s="18" t="n">
        <v>278.78</v>
      </c>
      <c r="E65" s="18" t="n">
        <v>277.24</v>
      </c>
      <c r="F65" s="18" t="n">
        <v>274.64</v>
      </c>
      <c r="G65" s="19">
        <f>HYPERLINK("https://www.tradingview.com/chart/?symbol=NSE:PETRONET","Chart 📈")</f>
        <v/>
      </c>
    </row>
    <row r="66" ht="16" customHeight="1">
      <c r="A66" s="12" t="inlineStr">
        <is>
          <t>NIFTY FMCG</t>
        </is>
      </c>
      <c r="B66" s="13" t="inlineStr">
        <is>
          <t>BALRAMCHIN</t>
        </is>
      </c>
      <c r="C66" s="14" t="n">
        <v>627.45</v>
      </c>
      <c r="D66" s="14" t="n">
        <v>608.65</v>
      </c>
      <c r="E66" s="14" t="n">
        <v>578.08</v>
      </c>
      <c r="F66" s="14" t="n">
        <v>524.63</v>
      </c>
      <c r="G66" s="15">
        <f>HYPERLINK("https://www.tradingview.com/chart/?symbol=NSE:BALRAMCHIN","Chart 📈")</f>
        <v/>
      </c>
    </row>
    <row r="67" ht="16" customHeight="1">
      <c r="A67" s="16" t="inlineStr">
        <is>
          <t>NIFTY FMCG</t>
        </is>
      </c>
      <c r="B67" s="13" t="inlineStr">
        <is>
          <t>MARICO</t>
        </is>
      </c>
      <c r="C67" s="14" t="n">
        <v>858</v>
      </c>
      <c r="D67" s="14" t="n">
        <v>856.95</v>
      </c>
      <c r="E67" s="14" t="n">
        <v>838.6</v>
      </c>
      <c r="F67" s="14" t="n">
        <v>787.15</v>
      </c>
      <c r="G67" s="15">
        <f>HYPERLINK("https://www.tradingview.com/chart/?symbol=NSE:MARICO","Chart 📈")</f>
        <v/>
      </c>
    </row>
    <row r="68" ht="16" customHeight="1">
      <c r="A68" s="16" t="inlineStr">
        <is>
          <t>NIFTY FMCG</t>
        </is>
      </c>
      <c r="B68" s="13" t="inlineStr">
        <is>
          <t>NESTLEIND</t>
        </is>
      </c>
      <c r="C68" s="14" t="n">
        <v>1519.8</v>
      </c>
      <c r="D68" s="14" t="n">
        <v>1481.51</v>
      </c>
      <c r="E68" s="14" t="n">
        <v>1443.77</v>
      </c>
      <c r="F68" s="14" t="n">
        <v>1335.73</v>
      </c>
      <c r="G68" s="15">
        <f>HYPERLINK("https://www.tradingview.com/chart/?symbol=NSE:NESTLEIND","Chart 📈")</f>
        <v/>
      </c>
    </row>
    <row r="69" ht="16" customHeight="1">
      <c r="A69" s="16" t="inlineStr">
        <is>
          <t>NIFTY FMCG</t>
        </is>
      </c>
      <c r="B69" s="13" t="inlineStr">
        <is>
          <t>RADICO</t>
        </is>
      </c>
      <c r="C69" s="14" t="n">
        <v>4466.2</v>
      </c>
      <c r="D69" s="14" t="n">
        <v>4230.8</v>
      </c>
      <c r="E69" s="14" t="n">
        <v>3952.47</v>
      </c>
      <c r="F69" s="14" t="n">
        <v>3384.03</v>
      </c>
      <c r="G69" s="15">
        <f>HYPERLINK("https://www.tradingview.com/chart/?symbol=NSE:RADICO","Chart 📈")</f>
        <v/>
      </c>
    </row>
    <row r="70" ht="16" customHeight="1">
      <c r="A70" s="16" t="inlineStr">
        <is>
          <t>NIFTY FMCG</t>
        </is>
      </c>
      <c r="B70" s="13" t="inlineStr">
        <is>
          <t>UNITDSPR</t>
        </is>
      </c>
      <c r="C70" s="14" t="n">
        <v>1520.1</v>
      </c>
      <c r="D70" s="14" t="n">
        <v>1458.36</v>
      </c>
      <c r="E70" s="14" t="n">
        <v>1394.75</v>
      </c>
      <c r="F70" s="14" t="n">
        <v>1343.84</v>
      </c>
      <c r="G70" s="15">
        <f>HYPERLINK("https://www.tradingview.com/chart/?symbol=NSE:UNITDSPR","Chart 📈")</f>
        <v/>
      </c>
    </row>
    <row r="71" ht="16" customHeight="1">
      <c r="A71" s="8" t="inlineStr">
        <is>
          <t>NIFTY FINANCIAL SERVICES</t>
        </is>
      </c>
      <c r="B71" s="17" t="inlineStr">
        <is>
          <t>BAJAJFINSV</t>
        </is>
      </c>
      <c r="C71" s="18" t="n">
        <v>2084.1</v>
      </c>
      <c r="D71" s="18" t="n">
        <v>1956.94</v>
      </c>
      <c r="E71" s="18" t="n">
        <v>1879.88</v>
      </c>
      <c r="F71" s="18" t="n">
        <v>1880.97</v>
      </c>
      <c r="G71" s="19">
        <f>HYPERLINK("https://www.tradingview.com/chart/?symbol=NSE:BAJAJFINSV","Chart 📈")</f>
        <v/>
      </c>
    </row>
    <row r="72" ht="16" customHeight="1">
      <c r="A72" s="20" t="inlineStr">
        <is>
          <t>NIFTY FINANCIAL SERVICES</t>
        </is>
      </c>
      <c r="B72" s="17" t="inlineStr">
        <is>
          <t>BAJFINANCE</t>
        </is>
      </c>
      <c r="C72" s="18" t="n">
        <v>1150.7</v>
      </c>
      <c r="D72" s="18" t="n">
        <v>1078.38</v>
      </c>
      <c r="E72" s="18" t="n">
        <v>1021.33</v>
      </c>
      <c r="F72" s="18" t="n">
        <v>962.24</v>
      </c>
      <c r="G72" s="19">
        <f>HYPERLINK("https://www.tradingview.com/chart/?symbol=NSE:BAJFINANCE","Chart 📈")</f>
        <v/>
      </c>
    </row>
    <row r="73" ht="16" customHeight="1">
      <c r="A73" s="20" t="inlineStr">
        <is>
          <t>NIFTY FINANCIAL SERVICES</t>
        </is>
      </c>
      <c r="B73" s="17" t="inlineStr">
        <is>
          <t>CHOLAFIN</t>
        </is>
      </c>
      <c r="C73" s="18" t="n">
        <v>1943.3</v>
      </c>
      <c r="D73" s="18" t="n">
        <v>1813.76</v>
      </c>
      <c r="E73" s="18" t="n">
        <v>1744.41</v>
      </c>
      <c r="F73" s="18" t="n">
        <v>1644.33</v>
      </c>
      <c r="G73" s="19">
        <f>HYPERLINK("https://www.tradingview.com/chart/?symbol=NSE:CHOLAFIN","Chart 📈")</f>
        <v/>
      </c>
    </row>
    <row r="74" ht="16" customHeight="1">
      <c r="A74" s="20" t="inlineStr">
        <is>
          <t>NIFTY FINANCIAL SERVICES</t>
        </is>
      </c>
      <c r="B74" s="17" t="inlineStr">
        <is>
          <t>ICICIBANK</t>
        </is>
      </c>
      <c r="C74" s="18" t="n">
        <v>1454.4</v>
      </c>
      <c r="D74" s="18" t="n">
        <v>1424.5</v>
      </c>
      <c r="E74" s="18" t="n">
        <v>1381.56</v>
      </c>
      <c r="F74" s="18" t="n">
        <v>1349.75</v>
      </c>
      <c r="G74" s="19">
        <f>HYPERLINK("https://www.tradingview.com/chart/?symbol=NSE:ICICIBANK","Chart 📈")</f>
        <v/>
      </c>
    </row>
    <row r="75" ht="16" customHeight="1">
      <c r="A75" s="20" t="inlineStr">
        <is>
          <t>NIFTY FINANCIAL SERVICES</t>
        </is>
      </c>
      <c r="B75" s="17" t="inlineStr">
        <is>
          <t>KOTAKBANK</t>
        </is>
      </c>
      <c r="C75" s="18" t="n">
        <v>396.15</v>
      </c>
      <c r="D75" s="18" t="n">
        <v>389.83</v>
      </c>
      <c r="E75" s="18" t="n">
        <v>388.52</v>
      </c>
      <c r="F75" s="18" t="n">
        <v>395.14</v>
      </c>
      <c r="G75" s="19">
        <f>HYPERLINK("https://www.tradingview.com/chart/?symbol=NSE:KOTAKBANK","Chart 📈")</f>
        <v/>
      </c>
    </row>
    <row r="76" ht="16" customHeight="1">
      <c r="A76" s="20" t="inlineStr">
        <is>
          <t>NIFTY FINANCIAL SERVICES</t>
        </is>
      </c>
      <c r="B76" s="17" t="inlineStr">
        <is>
          <t>RECLTD</t>
        </is>
      </c>
      <c r="C76" s="18" t="n">
        <v>363.15</v>
      </c>
      <c r="D76" s="18" t="n">
        <v>361.7</v>
      </c>
      <c r="E76" s="18" t="n">
        <v>355.64</v>
      </c>
      <c r="F76" s="18" t="n">
        <v>351.36</v>
      </c>
      <c r="G76" s="19">
        <f>HYPERLINK("https://www.tradingview.com/chart/?symbol=NSE:RECLTD","Chart 📈")</f>
        <v/>
      </c>
    </row>
    <row r="77" ht="16" customHeight="1">
      <c r="A77" s="20" t="inlineStr">
        <is>
          <t>NIFTY FINANCIAL SERVICES</t>
        </is>
      </c>
      <c r="B77" s="17" t="inlineStr">
        <is>
          <t>SHRIRAMFIN</t>
        </is>
      </c>
      <c r="C77" s="18" t="n">
        <v>1144.3</v>
      </c>
      <c r="D77" s="18" t="n">
        <v>1059.39</v>
      </c>
      <c r="E77" s="18" t="n">
        <v>1026.03</v>
      </c>
      <c r="F77" s="18" t="n">
        <v>934.54</v>
      </c>
      <c r="G77" s="19">
        <f>HYPERLINK("https://www.tradingview.com/chart/?symbol=NSE:SHRIRAMFIN","Chart 📈")</f>
        <v/>
      </c>
    </row>
    <row r="78" ht="16" customHeight="1">
      <c r="A78" s="12" t="inlineStr">
        <is>
          <t>NIFTY IT</t>
        </is>
      </c>
      <c r="B78" s="13" t="inlineStr">
        <is>
          <t>HCLTECH</t>
        </is>
      </c>
      <c r="C78" s="14" t="n">
        <v>1340</v>
      </c>
      <c r="D78" s="14" t="n">
        <v>1280.81</v>
      </c>
      <c r="E78" s="14" t="n">
        <v>1226.93</v>
      </c>
      <c r="F78" s="14" t="n">
        <v>1306.92</v>
      </c>
      <c r="G78" s="15">
        <f>HYPERLINK("https://www.tradingview.com/chart/?symbol=NSE:HCLTECH","Chart 📈")</f>
        <v/>
      </c>
    </row>
    <row r="79" ht="16" customHeight="1">
      <c r="A79" s="16" t="inlineStr">
        <is>
          <t>NIFTY IT</t>
        </is>
      </c>
      <c r="B79" s="13" t="inlineStr">
        <is>
          <t>TECHM</t>
        </is>
      </c>
      <c r="C79" s="14" t="n">
        <v>1646.7</v>
      </c>
      <c r="D79" s="14" t="n">
        <v>1584.56</v>
      </c>
      <c r="E79" s="14" t="n">
        <v>1512.12</v>
      </c>
      <c r="F79" s="14" t="n">
        <v>1459.03</v>
      </c>
      <c r="G79" s="15">
        <f>HYPERLINK("https://www.tradingview.com/chart/?symbol=NSE:TECHM","Chart 📈")</f>
        <v/>
      </c>
    </row>
    <row r="80" ht="16" customHeight="1">
      <c r="A80" s="8" t="inlineStr">
        <is>
          <t>NIFTY MEDIA</t>
        </is>
      </c>
      <c r="B80" s="17" t="inlineStr">
        <is>
          <t>NAZARA</t>
        </is>
      </c>
      <c r="C80" s="18" t="n">
        <v>355.5</v>
      </c>
      <c r="D80" s="18" t="n">
        <v>318.61</v>
      </c>
      <c r="E80" s="18" t="n">
        <v>303.43</v>
      </c>
      <c r="F80" s="18" t="n">
        <v>286.37</v>
      </c>
      <c r="G80" s="19">
        <f>HYPERLINK("https://www.tradingview.com/chart/?symbol=NSE:NAZARA","Chart 📈")</f>
        <v/>
      </c>
    </row>
    <row r="81" ht="16" customHeight="1">
      <c r="A81" s="20" t="inlineStr">
        <is>
          <t>NIFTY MEDIA</t>
        </is>
      </c>
      <c r="B81" s="17" t="inlineStr">
        <is>
          <t>PVRINOX</t>
        </is>
      </c>
      <c r="C81" s="18" t="n">
        <v>1162.9</v>
      </c>
      <c r="D81" s="18" t="n">
        <v>1084.06</v>
      </c>
      <c r="E81" s="18" t="n">
        <v>1036.15</v>
      </c>
      <c r="F81" s="18" t="n">
        <v>1024.37</v>
      </c>
      <c r="G81" s="19">
        <f>HYPERLINK("https://www.tradingview.com/chart/?symbol=NSE:PVRINOX","Chart 📈")</f>
        <v/>
      </c>
    </row>
    <row r="82" ht="16" customHeight="1">
      <c r="A82" s="20" t="inlineStr">
        <is>
          <t>NIFTY MEDIA</t>
        </is>
      </c>
      <c r="B82" s="17" t="inlineStr">
        <is>
          <t>SAREGAMA</t>
        </is>
      </c>
      <c r="C82" s="18" t="n">
        <v>531.75</v>
      </c>
      <c r="D82" s="18" t="n">
        <v>511.5</v>
      </c>
      <c r="E82" s="18" t="n">
        <v>478.22</v>
      </c>
      <c r="F82" s="18" t="n">
        <v>424.15</v>
      </c>
      <c r="G82" s="19">
        <f>HYPERLINK("https://www.tradingview.com/chart/?symbol=NSE:SAREGAMA","Chart 📈")</f>
        <v/>
      </c>
    </row>
    <row r="83" ht="16" customHeight="1">
      <c r="A83" s="12" t="inlineStr">
        <is>
          <t>NIFTY BANK</t>
        </is>
      </c>
      <c r="B83" s="13" t="inlineStr">
        <is>
          <t>AUBANK</t>
        </is>
      </c>
      <c r="C83" s="14" t="n">
        <v>1087.8</v>
      </c>
      <c r="D83" s="14" t="n">
        <v>1041.03</v>
      </c>
      <c r="E83" s="14" t="n">
        <v>1026.65</v>
      </c>
      <c r="F83" s="14" t="n">
        <v>960.36</v>
      </c>
      <c r="G83" s="15">
        <f>HYPERLINK("https://www.tradingview.com/chart/?symbol=NSE:AUBANK","Chart 📈")</f>
        <v/>
      </c>
    </row>
    <row r="84" ht="16" customHeight="1">
      <c r="A84" s="16" t="inlineStr">
        <is>
          <t>NIFTY BANK</t>
        </is>
      </c>
      <c r="B84" s="13" t="inlineStr">
        <is>
          <t>FEDERALBNK</t>
        </is>
      </c>
      <c r="C84" s="14" t="n">
        <v>353.35</v>
      </c>
      <c r="D84" s="14" t="n">
        <v>349.39</v>
      </c>
      <c r="E84" s="14" t="n">
        <v>331.99</v>
      </c>
      <c r="F84" s="14" t="n">
        <v>287.21</v>
      </c>
      <c r="G84" s="15">
        <f>HYPERLINK("https://www.tradingview.com/chart/?symbol=NSE:FEDERALBNK","Chart 📈")</f>
        <v/>
      </c>
    </row>
    <row r="85" ht="16" customHeight="1">
      <c r="A85" s="16" t="inlineStr">
        <is>
          <t>NIFTY BANK</t>
        </is>
      </c>
      <c r="B85" s="13" t="inlineStr">
        <is>
          <t>IDFCFIRSTB</t>
        </is>
      </c>
      <c r="C85" s="14" t="n">
        <v>85.06</v>
      </c>
      <c r="D85" s="14" t="n">
        <v>83.03</v>
      </c>
      <c r="E85" s="14" t="n">
        <v>79.51000000000001</v>
      </c>
      <c r="F85" s="14" t="n">
        <v>75.3</v>
      </c>
      <c r="G85" s="15">
        <f>HYPERLINK("https://www.tradingview.com/chart/?symbol=NSE:IDFCFIRSTB","Chart 📈")</f>
        <v/>
      </c>
    </row>
    <row r="86" ht="16" customHeight="1">
      <c r="A86" s="16" t="inlineStr">
        <is>
          <t>NIFTY BANK</t>
        </is>
      </c>
      <c r="B86" s="13" t="inlineStr">
        <is>
          <t>INDUSINDBK</t>
        </is>
      </c>
      <c r="C86" s="14" t="n">
        <v>1024.4</v>
      </c>
      <c r="D86" s="14" t="n">
        <v>1009.63</v>
      </c>
      <c r="E86" s="14" t="n">
        <v>975.4299999999999</v>
      </c>
      <c r="F86" s="14" t="n">
        <v>900.16</v>
      </c>
      <c r="G86" s="15">
        <f>HYPERLINK("https://www.tradingview.com/chart/?symbol=NSE:INDUSINDBK","Chart 📈")</f>
        <v/>
      </c>
    </row>
    <row r="87" ht="16" customHeight="1">
      <c r="A87" s="8" t="inlineStr">
        <is>
          <t>NIFTY ENERGY</t>
        </is>
      </c>
      <c r="B87" s="17" t="inlineStr">
        <is>
          <t>ABB</t>
        </is>
      </c>
      <c r="C87" s="18" t="n">
        <v>7733</v>
      </c>
      <c r="D87" s="18" t="n">
        <v>7397.21</v>
      </c>
      <c r="E87" s="18" t="n">
        <v>7174.22</v>
      </c>
      <c r="F87" s="18" t="n">
        <v>6376.06</v>
      </c>
      <c r="G87" s="19">
        <f>HYPERLINK("https://www.tradingview.com/chart/?symbol=NSE:ABB","Chart 📈")</f>
        <v/>
      </c>
    </row>
    <row r="88" ht="16" customHeight="1">
      <c r="A88" s="20" t="inlineStr">
        <is>
          <t>NIFTY ENERGY</t>
        </is>
      </c>
      <c r="B88" s="17" t="inlineStr">
        <is>
          <t>BHEL</t>
        </is>
      </c>
      <c r="C88" s="18" t="n">
        <v>408.55</v>
      </c>
      <c r="D88" s="18" t="n">
        <v>408.42</v>
      </c>
      <c r="E88" s="18" t="n">
        <v>397.78</v>
      </c>
      <c r="F88" s="18" t="n">
        <v>333.63</v>
      </c>
      <c r="G88" s="19">
        <f>HYPERLINK("https://www.tradingview.com/chart/?symbol=NSE:BHEL","Chart 📈")</f>
        <v/>
      </c>
    </row>
    <row r="89" ht="16" customHeight="1">
      <c r="A89" s="20" t="inlineStr">
        <is>
          <t>NIFTY ENERGY</t>
        </is>
      </c>
      <c r="B89" s="17" t="inlineStr">
        <is>
          <t>JPPOWER</t>
        </is>
      </c>
      <c r="C89" s="18" t="n">
        <v>18.36</v>
      </c>
      <c r="D89" s="18" t="n">
        <v>17.74</v>
      </c>
      <c r="E89" s="18" t="n">
        <v>17.79</v>
      </c>
      <c r="F89" s="18" t="n">
        <v>17.7</v>
      </c>
      <c r="G89" s="19">
        <f>HYPERLINK("https://www.tradingview.com/chart/?symbol=NSE:JPPOWER","Chart 📈")</f>
        <v/>
      </c>
    </row>
    <row r="90" ht="16" customHeight="1">
      <c r="A90" s="20" t="inlineStr">
        <is>
          <t>NIFTY ENERGY</t>
        </is>
      </c>
      <c r="B90" s="17" t="inlineStr">
        <is>
          <t>JSWENERGY</t>
        </is>
      </c>
      <c r="C90" s="18" t="n">
        <v>562.75</v>
      </c>
      <c r="D90" s="18" t="n">
        <v>557.49</v>
      </c>
      <c r="E90" s="18" t="n">
        <v>556.03</v>
      </c>
      <c r="F90" s="18" t="n">
        <v>533.29</v>
      </c>
      <c r="G90" s="19">
        <f>HYPERLINK("https://www.tradingview.com/chart/?symbol=NSE:JSWENERGY","Chart 📈")</f>
        <v/>
      </c>
    </row>
    <row r="91" ht="16" customHeight="1">
      <c r="A91" s="20" t="inlineStr">
        <is>
          <t>NIFTY ENERGY</t>
        </is>
      </c>
      <c r="B91" s="17" t="inlineStr">
        <is>
          <t>SIEMENS</t>
        </is>
      </c>
      <c r="C91" s="18" t="n">
        <v>3964.3</v>
      </c>
      <c r="D91" s="18" t="n">
        <v>3734.17</v>
      </c>
      <c r="E91" s="18" t="n">
        <v>3653.38</v>
      </c>
      <c r="F91" s="18" t="n">
        <v>3424.51</v>
      </c>
      <c r="G91" s="19">
        <f>HYPERLINK("https://www.tradingview.com/chart/?symbol=NSE:SIEMENS","Chart 📈")</f>
        <v/>
      </c>
    </row>
    <row r="92" ht="16" customHeight="1">
      <c r="A92" s="20" t="inlineStr">
        <is>
          <t>NIFTY ENERGY</t>
        </is>
      </c>
      <c r="B92" s="17" t="inlineStr">
        <is>
          <t>TRITURBINE</t>
        </is>
      </c>
      <c r="C92" s="18" t="n">
        <v>648</v>
      </c>
      <c r="D92" s="18" t="n">
        <v>625.3099999999999</v>
      </c>
      <c r="E92" s="18" t="n">
        <v>628.63</v>
      </c>
      <c r="F92" s="18" t="n">
        <v>575.85</v>
      </c>
      <c r="G92" s="19">
        <f>HYPERLINK("https://www.tradingview.com/chart/?symbol=NSE:TRITURBINE","Chart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2026-08-06T13:04:51Z</dcterms:created>
  <dcterms:modified xsi:type="dcterms:W3CDTF">2026-08-06T13:04:51Z</dcterms:modified>
</cp:coreProperties>
</file>