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06-May-2026  16:38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20</v>
      </c>
      <c r="D4" s="5" t="n">
        <v>20</v>
      </c>
      <c r="E4" s="5" t="n">
        <v>18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METAL</t>
        </is>
      </c>
      <c r="B5" s="9" t="n">
        <v>15</v>
      </c>
      <c r="C5" s="9" t="n">
        <v>11</v>
      </c>
      <c r="D5" s="9" t="n">
        <v>13</v>
      </c>
      <c r="E5" s="9" t="n">
        <v>14</v>
      </c>
      <c r="F5" s="10" t="n">
        <v>0.733</v>
      </c>
      <c r="G5" s="10" t="n">
        <v>0.867</v>
      </c>
      <c r="H5" s="10" t="n">
        <v>0.9329999999999999</v>
      </c>
      <c r="I5" s="11" t="n">
        <v>0.8443000000000001</v>
      </c>
    </row>
    <row r="6" ht="17" customHeight="1">
      <c r="A6" s="4" t="inlineStr">
        <is>
          <t>NIFTY OIL &amp; GAS</t>
        </is>
      </c>
      <c r="B6" s="5" t="n">
        <v>15</v>
      </c>
      <c r="C6" s="5" t="n">
        <v>13</v>
      </c>
      <c r="D6" s="5" t="n">
        <v>12</v>
      </c>
      <c r="E6" s="5" t="n">
        <v>9</v>
      </c>
      <c r="F6" s="6" t="n">
        <v>0.867</v>
      </c>
      <c r="G6" s="6" t="n">
        <v>0.8</v>
      </c>
      <c r="H6" s="6" t="n">
        <v>0.6</v>
      </c>
      <c r="I6" s="7" t="n">
        <v>0.7556999999999999</v>
      </c>
    </row>
    <row r="7" ht="17" customHeight="1">
      <c r="A7" s="8" t="inlineStr">
        <is>
          <t>NIFTY REALTY</t>
        </is>
      </c>
      <c r="B7" s="9" t="n">
        <v>10</v>
      </c>
      <c r="C7" s="9" t="n">
        <v>10</v>
      </c>
      <c r="D7" s="9" t="n">
        <v>9</v>
      </c>
      <c r="E7" s="9" t="n">
        <v>3</v>
      </c>
      <c r="F7" s="10" t="n">
        <v>1</v>
      </c>
      <c r="G7" s="10" t="n">
        <v>0.9</v>
      </c>
      <c r="H7" s="10" t="n">
        <v>0.3</v>
      </c>
      <c r="I7" s="11" t="n">
        <v>0.7333</v>
      </c>
    </row>
    <row r="8" ht="17" customHeight="1">
      <c r="A8" s="4" t="inlineStr">
        <is>
          <t>NIFTY MEDIA</t>
        </is>
      </c>
      <c r="B8" s="5" t="n">
        <v>10</v>
      </c>
      <c r="C8" s="5" t="n">
        <v>9</v>
      </c>
      <c r="D8" s="5" t="n">
        <v>9</v>
      </c>
      <c r="E8" s="5" t="n">
        <v>3</v>
      </c>
      <c r="F8" s="6" t="n">
        <v>0.9</v>
      </c>
      <c r="G8" s="6" t="n">
        <v>0.9</v>
      </c>
      <c r="H8" s="6" t="n">
        <v>0.3</v>
      </c>
      <c r="I8" s="7" t="n">
        <v>0.7</v>
      </c>
    </row>
    <row r="9" ht="17" customHeight="1">
      <c r="A9" s="8" t="inlineStr">
        <is>
          <t>NIFTY FMCG</t>
        </is>
      </c>
      <c r="B9" s="9" t="n">
        <v>15</v>
      </c>
      <c r="C9" s="9" t="n">
        <v>12</v>
      </c>
      <c r="D9" s="9" t="n">
        <v>11</v>
      </c>
      <c r="E9" s="9" t="n">
        <v>7</v>
      </c>
      <c r="F9" s="10" t="n">
        <v>0.8</v>
      </c>
      <c r="G9" s="10" t="n">
        <v>0.733</v>
      </c>
      <c r="H9" s="10" t="n">
        <v>0.467</v>
      </c>
      <c r="I9" s="11" t="n">
        <v>0.6667000000000001</v>
      </c>
    </row>
    <row r="10" ht="17" customHeight="1">
      <c r="A10" s="4" t="inlineStr">
        <is>
          <t>NIFTY AUTO</t>
        </is>
      </c>
      <c r="B10" s="5" t="n">
        <v>15</v>
      </c>
      <c r="C10" s="5" t="n">
        <v>12</v>
      </c>
      <c r="D10" s="5" t="n">
        <v>10</v>
      </c>
      <c r="E10" s="5" t="n">
        <v>7</v>
      </c>
      <c r="F10" s="6" t="n">
        <v>0.8</v>
      </c>
      <c r="G10" s="6" t="n">
        <v>0.667</v>
      </c>
      <c r="H10" s="6" t="n">
        <v>0.467</v>
      </c>
      <c r="I10" s="7" t="n">
        <v>0.6446999999999999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11</v>
      </c>
      <c r="D11" s="9" t="n">
        <v>11</v>
      </c>
      <c r="E11" s="9" t="n">
        <v>6</v>
      </c>
      <c r="F11" s="10" t="n">
        <v>0.733</v>
      </c>
      <c r="G11" s="10" t="n">
        <v>0.733</v>
      </c>
      <c r="H11" s="10" t="n">
        <v>0.4</v>
      </c>
      <c r="I11" s="11" t="n">
        <v>0.622</v>
      </c>
    </row>
    <row r="12" ht="17" customHeight="1">
      <c r="A12" s="4" t="inlineStr">
        <is>
          <t>NIFTY ENERGY</t>
        </is>
      </c>
      <c r="B12" s="5" t="n">
        <v>40</v>
      </c>
      <c r="C12" s="5" t="n">
        <v>25</v>
      </c>
      <c r="D12" s="5" t="n">
        <v>25</v>
      </c>
      <c r="E12" s="5" t="n">
        <v>24</v>
      </c>
      <c r="F12" s="6" t="n">
        <v>0.625</v>
      </c>
      <c r="G12" s="6" t="n">
        <v>0.625</v>
      </c>
      <c r="H12" s="6" t="n">
        <v>0.6</v>
      </c>
      <c r="I12" s="7" t="n">
        <v>0.6167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15</v>
      </c>
      <c r="D13" s="9" t="n">
        <v>10</v>
      </c>
      <c r="E13" s="9" t="n">
        <v>10</v>
      </c>
      <c r="F13" s="10" t="n">
        <v>0.75</v>
      </c>
      <c r="G13" s="10" t="n">
        <v>0.5</v>
      </c>
      <c r="H13" s="10" t="n">
        <v>0.5</v>
      </c>
      <c r="I13" s="11" t="n">
        <v>0.5832999999999999</v>
      </c>
    </row>
    <row r="14" ht="17" customHeight="1">
      <c r="A14" s="4" t="inlineStr">
        <is>
          <t>NIFTY PSU BANK</t>
        </is>
      </c>
      <c r="B14" s="5" t="n">
        <v>12</v>
      </c>
      <c r="C14" s="5" t="n">
        <v>7</v>
      </c>
      <c r="D14" s="5" t="n">
        <v>6</v>
      </c>
      <c r="E14" s="5" t="n">
        <v>7</v>
      </c>
      <c r="F14" s="6" t="n">
        <v>0.583</v>
      </c>
      <c r="G14" s="6" t="n">
        <v>0.5</v>
      </c>
      <c r="H14" s="6" t="n">
        <v>0.583</v>
      </c>
      <c r="I14" s="7" t="n">
        <v>0.5553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17</v>
      </c>
      <c r="D15" s="9" t="n">
        <v>11</v>
      </c>
      <c r="E15" s="9" t="n">
        <v>4</v>
      </c>
      <c r="F15" s="10" t="n">
        <v>0.85</v>
      </c>
      <c r="G15" s="10" t="n">
        <v>0.55</v>
      </c>
      <c r="H15" s="10" t="n">
        <v>0.2</v>
      </c>
      <c r="I15" s="11" t="n">
        <v>0.5333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3096.3</v>
      </c>
      <c r="D3" s="14" t="n">
        <v>2852.86</v>
      </c>
      <c r="E3" s="14" t="n">
        <v>2846.88</v>
      </c>
      <c r="F3" s="14" t="n">
        <v>2721.23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5557</v>
      </c>
      <c r="D4" s="14" t="n">
        <v>5431.78</v>
      </c>
      <c r="E4" s="14" t="n">
        <v>5448.25</v>
      </c>
      <c r="F4" s="14" t="n">
        <v>5403.87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1484</v>
      </c>
      <c r="D5" s="14" t="n">
        <v>1389.49</v>
      </c>
      <c r="E5" s="14" t="n">
        <v>1327.39</v>
      </c>
      <c r="F5" s="14" t="n">
        <v>1223.96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380.6</v>
      </c>
      <c r="D6" s="14" t="n">
        <v>362.39</v>
      </c>
      <c r="E6" s="14" t="n">
        <v>366.58</v>
      </c>
      <c r="F6" s="14" t="n">
        <v>369.4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6702</v>
      </c>
      <c r="D7" s="14" t="n">
        <v>6378.3</v>
      </c>
      <c r="E7" s="14" t="n">
        <v>6270.59</v>
      </c>
      <c r="F7" s="14" t="n">
        <v>6281.55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1311</v>
      </c>
      <c r="D8" s="14" t="n">
        <v>1285.23</v>
      </c>
      <c r="E8" s="14" t="n">
        <v>1272.02</v>
      </c>
      <c r="F8" s="14" t="n">
        <v>1252.46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1811.5</v>
      </c>
      <c r="D9" s="14" t="n">
        <v>1760.71</v>
      </c>
      <c r="E9" s="14" t="n">
        <v>1747.46</v>
      </c>
      <c r="F9" s="14" t="n">
        <v>1744.5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2377.6</v>
      </c>
      <c r="D10" s="14" t="n">
        <v>2311.99</v>
      </c>
      <c r="E10" s="14" t="n">
        <v>2213.21</v>
      </c>
      <c r="F10" s="14" t="n">
        <v>2002.29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736</v>
      </c>
      <c r="D11" s="14" t="n">
        <v>678.16</v>
      </c>
      <c r="E11" s="14" t="n">
        <v>639.51</v>
      </c>
      <c r="F11" s="14" t="n">
        <v>573.28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1564.4</v>
      </c>
      <c r="D12" s="14" t="n">
        <v>1519.4</v>
      </c>
      <c r="E12" s="14" t="n">
        <v>1504.87</v>
      </c>
      <c r="F12" s="14" t="n">
        <v>1449.55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2141.5</v>
      </c>
      <c r="D13" s="14" t="n">
        <v>2044.25</v>
      </c>
      <c r="E13" s="14" t="n">
        <v>2015.89</v>
      </c>
      <c r="F13" s="14" t="n">
        <v>1856.99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1177.6</v>
      </c>
      <c r="D14" s="14" t="n">
        <v>1112.28</v>
      </c>
      <c r="E14" s="14" t="n">
        <v>1074.61</v>
      </c>
      <c r="F14" s="14" t="n">
        <v>966.24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2442.9</v>
      </c>
      <c r="D15" s="14" t="n">
        <v>2329.23</v>
      </c>
      <c r="E15" s="14" t="n">
        <v>2296.32</v>
      </c>
      <c r="F15" s="14" t="n">
        <v>2157.15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2361</v>
      </c>
      <c r="D16" s="14" t="n">
        <v>2213.02</v>
      </c>
      <c r="E16" s="14" t="n">
        <v>2162.41</v>
      </c>
      <c r="F16" s="14" t="n">
        <v>2241.86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1150.1</v>
      </c>
      <c r="D17" s="14" t="n">
        <v>1087.1</v>
      </c>
      <c r="E17" s="14" t="n">
        <v>1030.01</v>
      </c>
      <c r="F17" s="14" t="n">
        <v>929.41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1850.2</v>
      </c>
      <c r="D18" s="14" t="n">
        <v>1748.67</v>
      </c>
      <c r="E18" s="14" t="n">
        <v>1735.53</v>
      </c>
      <c r="F18" s="14" t="n">
        <v>1718.85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4358.3</v>
      </c>
      <c r="D19" s="14" t="n">
        <v>4205.6</v>
      </c>
      <c r="E19" s="14" t="n">
        <v>4174.62</v>
      </c>
      <c r="F19" s="14" t="n">
        <v>3881.95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938.8</v>
      </c>
      <c r="D20" s="14" t="n">
        <v>916.0700000000001</v>
      </c>
      <c r="E20" s="14" t="n">
        <v>910.66</v>
      </c>
      <c r="F20" s="14" t="n">
        <v>921.26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2540.3</v>
      </c>
      <c r="D21" s="18" t="n">
        <v>2300.54</v>
      </c>
      <c r="E21" s="18" t="n">
        <v>2186.81</v>
      </c>
      <c r="F21" s="18" t="n">
        <v>2246.49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1045.8</v>
      </c>
      <c r="D22" s="18" t="n">
        <v>1023.12</v>
      </c>
      <c r="E22" s="18" t="n">
        <v>980.1799999999999</v>
      </c>
      <c r="F22" s="18" t="n">
        <v>864.9299999999999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HINDCOPPER</t>
        </is>
      </c>
      <c r="C23" s="18" t="n">
        <v>550.5</v>
      </c>
      <c r="D23" s="18" t="n">
        <v>539.52</v>
      </c>
      <c r="E23" s="18" t="n">
        <v>532.39</v>
      </c>
      <c r="F23" s="18" t="n">
        <v>438.14</v>
      </c>
      <c r="G23" s="19">
        <f>HYPERLINK("https://www.tradingview.com/chart/?symbol=NSE:HINDCOPPER","Chart 📈")</f>
        <v/>
      </c>
    </row>
    <row r="24" ht="16" customHeight="1">
      <c r="A24" s="20" t="inlineStr">
        <is>
          <t>NIFTY METAL</t>
        </is>
      </c>
      <c r="B24" s="17" t="inlineStr">
        <is>
          <t>HINDZINC</t>
        </is>
      </c>
      <c r="C24" s="18" t="n">
        <v>634.6</v>
      </c>
      <c r="D24" s="18" t="n">
        <v>587.62</v>
      </c>
      <c r="E24" s="18" t="n">
        <v>574.24</v>
      </c>
      <c r="F24" s="18" t="n">
        <v>530.67</v>
      </c>
      <c r="G24" s="19">
        <f>HYPERLINK("https://www.tradingview.com/chart/?symbol=NSE:HINDZINC","Chart 📈")</f>
        <v/>
      </c>
    </row>
    <row r="25" ht="16" customHeight="1">
      <c r="A25" s="20" t="inlineStr">
        <is>
          <t>NIFTY METAL</t>
        </is>
      </c>
      <c r="B25" s="17" t="inlineStr">
        <is>
          <t>JINDALSTEL</t>
        </is>
      </c>
      <c r="C25" s="18" t="n">
        <v>1264.3</v>
      </c>
      <c r="D25" s="18" t="n">
        <v>1238.04</v>
      </c>
      <c r="E25" s="18" t="n">
        <v>1203.39</v>
      </c>
      <c r="F25" s="18" t="n">
        <v>1095.05</v>
      </c>
      <c r="G25" s="19">
        <f>HYPERLINK("https://www.tradingview.com/chart/?symbol=NSE:JINDALSTEL","Chart 📈")</f>
        <v/>
      </c>
    </row>
    <row r="26" ht="16" customHeight="1">
      <c r="A26" s="20" t="inlineStr">
        <is>
          <t>NIFTY METAL</t>
        </is>
      </c>
      <c r="B26" s="17" t="inlineStr">
        <is>
          <t>JSWSTEEL</t>
        </is>
      </c>
      <c r="C26" s="18" t="n">
        <v>1273.3</v>
      </c>
      <c r="D26" s="18" t="n">
        <v>1246.31</v>
      </c>
      <c r="E26" s="18" t="n">
        <v>1220.49</v>
      </c>
      <c r="F26" s="18" t="n">
        <v>1154.27</v>
      </c>
      <c r="G26" s="19">
        <f>HYPERLINK("https://www.tradingview.com/chart/?symbol=NSE:JSWSTEEL","Chart 📈")</f>
        <v/>
      </c>
    </row>
    <row r="27" ht="16" customHeight="1">
      <c r="A27" s="20" t="inlineStr">
        <is>
          <t>NIFTY METAL</t>
        </is>
      </c>
      <c r="B27" s="17" t="inlineStr">
        <is>
          <t>NMDC</t>
        </is>
      </c>
      <c r="C27" s="18" t="n">
        <v>89.18000000000001</v>
      </c>
      <c r="D27" s="18" t="n">
        <v>87.72</v>
      </c>
      <c r="E27" s="18" t="n">
        <v>84.29000000000001</v>
      </c>
      <c r="F27" s="18" t="n">
        <v>77.06999999999999</v>
      </c>
      <c r="G27" s="19">
        <f>HYPERLINK("https://www.tradingview.com/chart/?symbol=NSE:NMDC","Chart 📈")</f>
        <v/>
      </c>
    </row>
    <row r="28" ht="16" customHeight="1">
      <c r="A28" s="20" t="inlineStr">
        <is>
          <t>NIFTY METAL</t>
        </is>
      </c>
      <c r="B28" s="17" t="inlineStr">
        <is>
          <t>RATNAMANI</t>
        </is>
      </c>
      <c r="C28" s="18" t="n">
        <v>2737</v>
      </c>
      <c r="D28" s="18" t="n">
        <v>2541.46</v>
      </c>
      <c r="E28" s="18" t="n">
        <v>2420.37</v>
      </c>
      <c r="F28" s="18" t="n">
        <v>2401.09</v>
      </c>
      <c r="G28" s="19">
        <f>HYPERLINK("https://www.tradingview.com/chart/?symbol=NSE:RATNAMANI","Chart 📈")</f>
        <v/>
      </c>
    </row>
    <row r="29" ht="16" customHeight="1">
      <c r="A29" s="20" t="inlineStr">
        <is>
          <t>NIFTY METAL</t>
        </is>
      </c>
      <c r="B29" s="17" t="inlineStr">
        <is>
          <t>SAIL</t>
        </is>
      </c>
      <c r="C29" s="18" t="n">
        <v>186.04</v>
      </c>
      <c r="D29" s="18" t="n">
        <v>177.33</v>
      </c>
      <c r="E29" s="18" t="n">
        <v>167</v>
      </c>
      <c r="F29" s="18" t="n">
        <v>146.77</v>
      </c>
      <c r="G29" s="19">
        <f>HYPERLINK("https://www.tradingview.com/chart/?symbol=NSE:SAIL","Chart 📈")</f>
        <v/>
      </c>
    </row>
    <row r="30" ht="16" customHeight="1">
      <c r="A30" s="20" t="inlineStr">
        <is>
          <t>NIFTY METAL</t>
        </is>
      </c>
      <c r="B30" s="17" t="inlineStr">
        <is>
          <t>TATASTEEL</t>
        </is>
      </c>
      <c r="C30" s="18" t="n">
        <v>215.47</v>
      </c>
      <c r="D30" s="18" t="n">
        <v>209.77</v>
      </c>
      <c r="E30" s="18" t="n">
        <v>203.73</v>
      </c>
      <c r="F30" s="18" t="n">
        <v>184.12</v>
      </c>
      <c r="G30" s="19">
        <f>HYPERLINK("https://www.tradingview.com/chart/?symbol=NSE:TATASTEEL","Chart 📈")</f>
        <v/>
      </c>
    </row>
    <row r="31" ht="16" customHeight="1">
      <c r="A31" s="20" t="inlineStr">
        <is>
          <t>NIFTY METAL</t>
        </is>
      </c>
      <c r="B31" s="17" t="inlineStr">
        <is>
          <t>WELCORP</t>
        </is>
      </c>
      <c r="C31" s="18" t="n">
        <v>1284.7</v>
      </c>
      <c r="D31" s="18" t="n">
        <v>1146.7</v>
      </c>
      <c r="E31" s="18" t="n">
        <v>1006.65</v>
      </c>
      <c r="F31" s="18" t="n">
        <v>880.8200000000001</v>
      </c>
      <c r="G31" s="19">
        <f>HYPERLINK("https://www.tradingview.com/chart/?symbol=NSE:WELCORP","Chart 📈")</f>
        <v/>
      </c>
    </row>
    <row r="32" ht="16" customHeight="1">
      <c r="A32" s="12" t="inlineStr">
        <is>
          <t>NIFTY OIL &amp; GAS</t>
        </is>
      </c>
      <c r="B32" s="13" t="inlineStr">
        <is>
          <t>AEGISLOG</t>
        </is>
      </c>
      <c r="C32" s="14" t="n">
        <v>735.1</v>
      </c>
      <c r="D32" s="14" t="n">
        <v>691.36</v>
      </c>
      <c r="E32" s="14" t="n">
        <v>676.13</v>
      </c>
      <c r="F32" s="14" t="n">
        <v>713.49</v>
      </c>
      <c r="G32" s="15">
        <f>HYPERLINK("https://www.tradingview.com/chart/?symbol=NSE:AEGISLOG","Chart 📈")</f>
        <v/>
      </c>
    </row>
    <row r="33" ht="16" customHeight="1">
      <c r="A33" s="16" t="inlineStr">
        <is>
          <t>NIFTY OIL &amp; GAS</t>
        </is>
      </c>
      <c r="B33" s="13" t="inlineStr">
        <is>
          <t>ATGL</t>
        </is>
      </c>
      <c r="C33" s="14" t="n">
        <v>651</v>
      </c>
      <c r="D33" s="14" t="n">
        <v>616.74</v>
      </c>
      <c r="E33" s="14" t="n">
        <v>582.24</v>
      </c>
      <c r="F33" s="14" t="n">
        <v>585.59</v>
      </c>
      <c r="G33" s="15">
        <f>HYPERLINK("https://www.tradingview.com/chart/?symbol=NSE:ATGL","Chart 📈")</f>
        <v/>
      </c>
    </row>
    <row r="34" ht="16" customHeight="1">
      <c r="A34" s="16" t="inlineStr">
        <is>
          <t>NIFTY OIL &amp; GAS</t>
        </is>
      </c>
      <c r="B34" s="13" t="inlineStr">
        <is>
          <t>GAIL</t>
        </is>
      </c>
      <c r="C34" s="14" t="n">
        <v>165.68</v>
      </c>
      <c r="D34" s="14" t="n">
        <v>160.6</v>
      </c>
      <c r="E34" s="14" t="n">
        <v>157.86</v>
      </c>
      <c r="F34" s="14" t="n">
        <v>164.69</v>
      </c>
      <c r="G34" s="15">
        <f>HYPERLINK("https://www.tradingview.com/chart/?symbol=NSE:GAIL","Chart 📈")</f>
        <v/>
      </c>
    </row>
    <row r="35" ht="16" customHeight="1">
      <c r="A35" s="16" t="inlineStr">
        <is>
          <t>NIFTY OIL &amp; GAS</t>
        </is>
      </c>
      <c r="B35" s="13" t="inlineStr">
        <is>
          <t>GSPL</t>
        </is>
      </c>
      <c r="C35" s="14" t="n">
        <v>296.4</v>
      </c>
      <c r="D35" s="14" t="n">
        <v>276.21</v>
      </c>
      <c r="E35" s="14" t="n">
        <v>274.42</v>
      </c>
      <c r="F35" s="14" t="n">
        <v>292.4</v>
      </c>
      <c r="G35" s="15">
        <f>HYPERLINK("https://www.tradingview.com/chart/?symbol=NSE:GSPL","Chart 📈")</f>
        <v/>
      </c>
    </row>
    <row r="36" ht="16" customHeight="1">
      <c r="A36" s="16" t="inlineStr">
        <is>
          <t>NIFTY OIL &amp; GAS</t>
        </is>
      </c>
      <c r="B36" s="13" t="inlineStr">
        <is>
          <t>MGL</t>
        </is>
      </c>
      <c r="C36" s="14" t="n">
        <v>1166.8</v>
      </c>
      <c r="D36" s="14" t="n">
        <v>1108.78</v>
      </c>
      <c r="E36" s="14" t="n">
        <v>1085.74</v>
      </c>
      <c r="F36" s="14" t="n">
        <v>1161.69</v>
      </c>
      <c r="G36" s="15">
        <f>HYPERLINK("https://www.tradingview.com/chart/?symbol=NSE:MGL","Chart 📈")</f>
        <v/>
      </c>
    </row>
    <row r="37" ht="16" customHeight="1">
      <c r="A37" s="16" t="inlineStr">
        <is>
          <t>NIFTY OIL &amp; GAS</t>
        </is>
      </c>
      <c r="B37" s="13" t="inlineStr">
        <is>
          <t>PETRONET</t>
        </is>
      </c>
      <c r="C37" s="14" t="n">
        <v>283.3</v>
      </c>
      <c r="D37" s="14" t="n">
        <v>275.79</v>
      </c>
      <c r="E37" s="14" t="n">
        <v>276.87</v>
      </c>
      <c r="F37" s="14" t="n">
        <v>281.16</v>
      </c>
      <c r="G37" s="15">
        <f>HYPERLINK("https://www.tradingview.com/chart/?symbol=NSE:PETRONET","Chart 📈")</f>
        <v/>
      </c>
    </row>
    <row r="38" ht="16" customHeight="1">
      <c r="A38" s="16" t="inlineStr">
        <is>
          <t>NIFTY OIL &amp; GAS</t>
        </is>
      </c>
      <c r="B38" s="13" t="inlineStr">
        <is>
          <t>RELIANCE</t>
        </is>
      </c>
      <c r="C38" s="14" t="n">
        <v>1437.9</v>
      </c>
      <c r="D38" s="14" t="n">
        <v>1396.86</v>
      </c>
      <c r="E38" s="14" t="n">
        <v>1395.04</v>
      </c>
      <c r="F38" s="14" t="n">
        <v>1426.57</v>
      </c>
      <c r="G38" s="15">
        <f>HYPERLINK("https://www.tradingview.com/chart/?symbol=NSE:RELIANCE","Chart 📈")</f>
        <v/>
      </c>
    </row>
    <row r="39" ht="16" customHeight="1">
      <c r="A39" s="8" t="inlineStr">
        <is>
          <t>NIFTY REALTY</t>
        </is>
      </c>
      <c r="B39" s="17" t="inlineStr">
        <is>
          <t>OBEROIRLTY</t>
        </is>
      </c>
      <c r="C39" s="18" t="n">
        <v>1673.4</v>
      </c>
      <c r="D39" s="18" t="n">
        <v>1661.23</v>
      </c>
      <c r="E39" s="18" t="n">
        <v>1608.83</v>
      </c>
      <c r="F39" s="18" t="n">
        <v>1613.22</v>
      </c>
      <c r="G39" s="19">
        <f>HYPERLINK("https://www.tradingview.com/chart/?symbol=NSE:OBEROIRLTY","Chart 📈")</f>
        <v/>
      </c>
    </row>
    <row r="40" ht="16" customHeight="1">
      <c r="A40" s="20" t="inlineStr">
        <is>
          <t>NIFTY REALTY</t>
        </is>
      </c>
      <c r="B40" s="17" t="inlineStr">
        <is>
          <t>PHOENIXLTD</t>
        </is>
      </c>
      <c r="C40" s="18" t="n">
        <v>1839.1</v>
      </c>
      <c r="D40" s="18" t="n">
        <v>1754.53</v>
      </c>
      <c r="E40" s="18" t="n">
        <v>1713.54</v>
      </c>
      <c r="F40" s="18" t="n">
        <v>1671.68</v>
      </c>
      <c r="G40" s="19">
        <f>HYPERLINK("https://www.tradingview.com/chart/?symbol=NSE:PHOENIXLTD","Chart 📈")</f>
        <v/>
      </c>
    </row>
    <row r="41" ht="16" customHeight="1">
      <c r="A41" s="20" t="inlineStr">
        <is>
          <t>NIFTY REALTY</t>
        </is>
      </c>
      <c r="B41" s="17" t="inlineStr">
        <is>
          <t>SOBHA</t>
        </is>
      </c>
      <c r="C41" s="18" t="n">
        <v>1451.8</v>
      </c>
      <c r="D41" s="18" t="n">
        <v>1389.61</v>
      </c>
      <c r="E41" s="18" t="n">
        <v>1372.24</v>
      </c>
      <c r="F41" s="18" t="n">
        <v>1422.81</v>
      </c>
      <c r="G41" s="19">
        <f>HYPERLINK("https://www.tradingview.com/chart/?symbol=NSE:SOBHA","Chart 📈")</f>
        <v/>
      </c>
    </row>
    <row r="42" ht="16" customHeight="1">
      <c r="A42" s="12" t="inlineStr">
        <is>
          <t>NIFTY MEDIA</t>
        </is>
      </c>
      <c r="B42" s="13" t="inlineStr">
        <is>
          <t>NAZARA</t>
        </is>
      </c>
      <c r="C42" s="14" t="n">
        <v>271.8</v>
      </c>
      <c r="D42" s="14" t="n">
        <v>263</v>
      </c>
      <c r="E42" s="14" t="n">
        <v>258.8</v>
      </c>
      <c r="F42" s="14" t="n">
        <v>266.58</v>
      </c>
      <c r="G42" s="15">
        <f>HYPERLINK("https://www.tradingview.com/chart/?symbol=NSE:NAZARA","Chart 📈")</f>
        <v/>
      </c>
    </row>
    <row r="43" ht="16" customHeight="1">
      <c r="A43" s="16" t="inlineStr">
        <is>
          <t>NIFTY MEDIA</t>
        </is>
      </c>
      <c r="B43" s="13" t="inlineStr">
        <is>
          <t>PVRINOX</t>
        </is>
      </c>
      <c r="C43" s="14" t="n">
        <v>1068.9</v>
      </c>
      <c r="D43" s="14" t="n">
        <v>1015.46</v>
      </c>
      <c r="E43" s="14" t="n">
        <v>1002.75</v>
      </c>
      <c r="F43" s="14" t="n">
        <v>1021</v>
      </c>
      <c r="G43" s="15">
        <f>HYPERLINK("https://www.tradingview.com/chart/?symbol=NSE:PVRINOX","Chart 📈")</f>
        <v/>
      </c>
    </row>
    <row r="44" ht="16" customHeight="1">
      <c r="A44" s="16" t="inlineStr">
        <is>
          <t>NIFTY MEDIA</t>
        </is>
      </c>
      <c r="B44" s="13" t="inlineStr">
        <is>
          <t>TIPSMUSIC</t>
        </is>
      </c>
      <c r="C44" s="14" t="n">
        <v>652.7</v>
      </c>
      <c r="D44" s="14" t="n">
        <v>616.16</v>
      </c>
      <c r="E44" s="14" t="n">
        <v>577.5</v>
      </c>
      <c r="F44" s="14" t="n">
        <v>561.7</v>
      </c>
      <c r="G44" s="15">
        <f>HYPERLINK("https://www.tradingview.com/chart/?symbol=NSE:TIPSMUSIC","Chart 📈")</f>
        <v/>
      </c>
    </row>
    <row r="45" ht="16" customHeight="1">
      <c r="A45" s="8" t="inlineStr">
        <is>
          <t>NIFTY FMCG</t>
        </is>
      </c>
      <c r="B45" s="17" t="inlineStr">
        <is>
          <t>BALRAMCHIN</t>
        </is>
      </c>
      <c r="C45" s="18" t="n">
        <v>524.85</v>
      </c>
      <c r="D45" s="18" t="n">
        <v>511.66</v>
      </c>
      <c r="E45" s="18" t="n">
        <v>493.66</v>
      </c>
      <c r="F45" s="18" t="n">
        <v>489.31</v>
      </c>
      <c r="G45" s="19">
        <f>HYPERLINK("https://www.tradingview.com/chart/?symbol=NSE:BALRAMCHIN","Chart 📈")</f>
        <v/>
      </c>
    </row>
    <row r="46" ht="16" customHeight="1">
      <c r="A46" s="20" t="inlineStr">
        <is>
          <t>NIFTY FMCG</t>
        </is>
      </c>
      <c r="B46" s="17" t="inlineStr">
        <is>
          <t>BRITANNIA</t>
        </is>
      </c>
      <c r="C46" s="18" t="n">
        <v>5783</v>
      </c>
      <c r="D46" s="18" t="n">
        <v>5714.09</v>
      </c>
      <c r="E46" s="18" t="n">
        <v>5749.47</v>
      </c>
      <c r="F46" s="18" t="n">
        <v>5781.82</v>
      </c>
      <c r="G46" s="19">
        <f>HYPERLINK("https://www.tradingview.com/chart/?symbol=NSE:BRITANNIA","Chart 📈")</f>
        <v/>
      </c>
    </row>
    <row r="47" ht="16" customHeight="1">
      <c r="A47" s="20" t="inlineStr">
        <is>
          <t>NIFTY FMCG</t>
        </is>
      </c>
      <c r="B47" s="17" t="inlineStr">
        <is>
          <t>MARICO</t>
        </is>
      </c>
      <c r="C47" s="18" t="n">
        <v>814.8</v>
      </c>
      <c r="D47" s="18" t="n">
        <v>776.6</v>
      </c>
      <c r="E47" s="18" t="n">
        <v>766.62</v>
      </c>
      <c r="F47" s="18" t="n">
        <v>744.97</v>
      </c>
      <c r="G47" s="19">
        <f>HYPERLINK("https://www.tradingview.com/chart/?symbol=NSE:MARICO","Chart 📈")</f>
        <v/>
      </c>
    </row>
    <row r="48" ht="16" customHeight="1">
      <c r="A48" s="20" t="inlineStr">
        <is>
          <t>NIFTY FMCG</t>
        </is>
      </c>
      <c r="B48" s="17" t="inlineStr">
        <is>
          <t>NESTLEIND</t>
        </is>
      </c>
      <c r="C48" s="18" t="n">
        <v>1486.1</v>
      </c>
      <c r="D48" s="18" t="n">
        <v>1385.25</v>
      </c>
      <c r="E48" s="18" t="n">
        <v>1319.71</v>
      </c>
      <c r="F48" s="18" t="n">
        <v>1256.48</v>
      </c>
      <c r="G48" s="19">
        <f>HYPERLINK("https://www.tradingview.com/chart/?symbol=NSE:NESTLEIND","Chart 📈")</f>
        <v/>
      </c>
    </row>
    <row r="49" ht="16" customHeight="1">
      <c r="A49" s="20" t="inlineStr">
        <is>
          <t>NIFTY FMCG</t>
        </is>
      </c>
      <c r="B49" s="17" t="inlineStr">
        <is>
          <t>RADICO</t>
        </is>
      </c>
      <c r="C49" s="18" t="n">
        <v>3357.2</v>
      </c>
      <c r="D49" s="18" t="n">
        <v>3200.7</v>
      </c>
      <c r="E49" s="18" t="n">
        <v>3017.69</v>
      </c>
      <c r="F49" s="18" t="n">
        <v>2913.13</v>
      </c>
      <c r="G49" s="19">
        <f>HYPERLINK("https://www.tradingview.com/chart/?symbol=NSE:RADICO","Chart 📈")</f>
        <v/>
      </c>
    </row>
    <row r="50" ht="16" customHeight="1">
      <c r="A50" s="20" t="inlineStr">
        <is>
          <t>NIFTY FMCG</t>
        </is>
      </c>
      <c r="B50" s="17" t="inlineStr">
        <is>
          <t>TATACONSUM</t>
        </is>
      </c>
      <c r="C50" s="18" t="n">
        <v>1152.2</v>
      </c>
      <c r="D50" s="18" t="n">
        <v>1135.24</v>
      </c>
      <c r="E50" s="18" t="n">
        <v>1122.67</v>
      </c>
      <c r="F50" s="18" t="n">
        <v>1130.8</v>
      </c>
      <c r="G50" s="19">
        <f>HYPERLINK("https://www.tradingview.com/chart/?symbol=NSE:TATACONSUM","Chart 📈")</f>
        <v/>
      </c>
    </row>
    <row r="51" ht="16" customHeight="1">
      <c r="A51" s="20" t="inlineStr">
        <is>
          <t>NIFTY FMCG</t>
        </is>
      </c>
      <c r="B51" s="17" t="inlineStr">
        <is>
          <t>VBL</t>
        </is>
      </c>
      <c r="C51" s="18" t="n">
        <v>508.95</v>
      </c>
      <c r="D51" s="18" t="n">
        <v>484.54</v>
      </c>
      <c r="E51" s="18" t="n">
        <v>461.95</v>
      </c>
      <c r="F51" s="18" t="n">
        <v>466.28</v>
      </c>
      <c r="G51" s="19">
        <f>HYPERLINK("https://www.tradingview.com/chart/?symbol=NSE:VBL","Chart 📈")</f>
        <v/>
      </c>
    </row>
    <row r="52" ht="16" customHeight="1">
      <c r="A52" s="12" t="inlineStr">
        <is>
          <t>NIFTY AUTO</t>
        </is>
      </c>
      <c r="B52" s="13" t="inlineStr">
        <is>
          <t>BAJAJ-AUTO</t>
        </is>
      </c>
      <c r="C52" s="14" t="n">
        <v>10319</v>
      </c>
      <c r="D52" s="14" t="n">
        <v>9724.91</v>
      </c>
      <c r="E52" s="14" t="n">
        <v>9554.99</v>
      </c>
      <c r="F52" s="14" t="n">
        <v>9130.139999999999</v>
      </c>
      <c r="G52" s="15">
        <f>HYPERLINK("https://www.tradingview.com/chart/?symbol=NSE:BAJAJ-AUTO","Chart 📈")</f>
        <v/>
      </c>
    </row>
    <row r="53" ht="16" customHeight="1">
      <c r="A53" s="16" t="inlineStr">
        <is>
          <t>NIFTY AUTO</t>
        </is>
      </c>
      <c r="B53" s="13" t="inlineStr">
        <is>
          <t>BHARATFORG</t>
        </is>
      </c>
      <c r="C53" s="14" t="n">
        <v>1873.8</v>
      </c>
      <c r="D53" s="14" t="n">
        <v>1847.8</v>
      </c>
      <c r="E53" s="14" t="n">
        <v>1779.67</v>
      </c>
      <c r="F53" s="14" t="n">
        <v>1521.87</v>
      </c>
      <c r="G53" s="15">
        <f>HYPERLINK("https://www.tradingview.com/chart/?symbol=NSE:BHARATFORG","Chart 📈")</f>
        <v/>
      </c>
    </row>
    <row r="54" ht="16" customHeight="1">
      <c r="A54" s="16" t="inlineStr">
        <is>
          <t>NIFTY AUTO</t>
        </is>
      </c>
      <c r="B54" s="13" t="inlineStr">
        <is>
          <t>BOSCHLTD</t>
        </is>
      </c>
      <c r="C54" s="14" t="n">
        <v>36645</v>
      </c>
      <c r="D54" s="14" t="n">
        <v>36012.21</v>
      </c>
      <c r="E54" s="14" t="n">
        <v>35205.37</v>
      </c>
      <c r="F54" s="14" t="n">
        <v>35273.26</v>
      </c>
      <c r="G54" s="15">
        <f>HYPERLINK("https://www.tradingview.com/chart/?symbol=NSE:BOSCHLTD","Chart 📈")</f>
        <v/>
      </c>
    </row>
    <row r="55" ht="16" customHeight="1">
      <c r="A55" s="16" t="inlineStr">
        <is>
          <t>NIFTY AUTO</t>
        </is>
      </c>
      <c r="B55" s="13" t="inlineStr">
        <is>
          <t>EICHERMOT</t>
        </is>
      </c>
      <c r="C55" s="14" t="n">
        <v>7310.5</v>
      </c>
      <c r="D55" s="14" t="n">
        <v>7164.65</v>
      </c>
      <c r="E55" s="14" t="n">
        <v>7181.55</v>
      </c>
      <c r="F55" s="14" t="n">
        <v>6875.15</v>
      </c>
      <c r="G55" s="15">
        <f>HYPERLINK("https://www.tradingview.com/chart/?symbol=NSE:EICHERMOT","Chart 📈")</f>
        <v/>
      </c>
    </row>
    <row r="56" ht="16" customHeight="1">
      <c r="A56" s="16" t="inlineStr">
        <is>
          <t>NIFTY AUTO</t>
        </is>
      </c>
      <c r="B56" s="13" t="inlineStr">
        <is>
          <t>MOTHERSON</t>
        </is>
      </c>
      <c r="C56" s="14" t="n">
        <v>127.41</v>
      </c>
      <c r="D56" s="14" t="n">
        <v>122.17</v>
      </c>
      <c r="E56" s="14" t="n">
        <v>120.46</v>
      </c>
      <c r="F56" s="14" t="n">
        <v>112.96</v>
      </c>
      <c r="G56" s="15">
        <f>HYPERLINK("https://www.tradingview.com/chart/?symbol=NSE:MOTHERSON","Chart 📈")</f>
        <v/>
      </c>
    </row>
    <row r="57" ht="16" customHeight="1">
      <c r="A57" s="16" t="inlineStr">
        <is>
          <t>NIFTY AUTO</t>
        </is>
      </c>
      <c r="B57" s="13" t="inlineStr">
        <is>
          <t>TVSMOTOR</t>
        </is>
      </c>
      <c r="C57" s="14" t="n">
        <v>3617.9</v>
      </c>
      <c r="D57" s="14" t="n">
        <v>3575.31</v>
      </c>
      <c r="E57" s="14" t="n">
        <v>3603.84</v>
      </c>
      <c r="F57" s="14" t="n">
        <v>3467.85</v>
      </c>
      <c r="G57" s="15">
        <f>HYPERLINK("https://www.tradingview.com/chart/?symbol=NSE:TVSMOTOR","Chart 📈")</f>
        <v/>
      </c>
    </row>
    <row r="58" ht="16" customHeight="1">
      <c r="A58" s="8" t="inlineStr">
        <is>
          <t>NIFTY CONSUMER DURABLES</t>
        </is>
      </c>
      <c r="B58" s="17" t="inlineStr">
        <is>
          <t>AMBER</t>
        </is>
      </c>
      <c r="C58" s="18" t="n">
        <v>8661.5</v>
      </c>
      <c r="D58" s="18" t="n">
        <v>7823.09</v>
      </c>
      <c r="E58" s="18" t="n">
        <v>7434.81</v>
      </c>
      <c r="F58" s="18" t="n">
        <v>7101.28</v>
      </c>
      <c r="G58" s="19">
        <f>HYPERLINK("https://www.tradingview.com/chart/?symbol=NSE:AMBER","Chart 📈")</f>
        <v/>
      </c>
    </row>
    <row r="59" ht="16" customHeight="1">
      <c r="A59" s="20" t="inlineStr">
        <is>
          <t>NIFTY CONSUMER DURABLES</t>
        </is>
      </c>
      <c r="B59" s="17" t="inlineStr">
        <is>
          <t>BLUESTARCO</t>
        </is>
      </c>
      <c r="C59" s="18" t="n">
        <v>1806.6</v>
      </c>
      <c r="D59" s="18" t="n">
        <v>1802.55</v>
      </c>
      <c r="E59" s="18" t="n">
        <v>1800.49</v>
      </c>
      <c r="F59" s="18" t="n">
        <v>1800.17</v>
      </c>
      <c r="G59" s="19">
        <f>HYPERLINK("https://www.tradingview.com/chart/?symbol=NSE:BLUESTARCO","Chart 📈")</f>
        <v/>
      </c>
    </row>
    <row r="60" ht="16" customHeight="1">
      <c r="A60" s="20" t="inlineStr">
        <is>
          <t>NIFTY CONSUMER DURABLES</t>
        </is>
      </c>
      <c r="B60" s="17" t="inlineStr">
        <is>
          <t>CENTURYPLY</t>
        </is>
      </c>
      <c r="C60" s="18" t="n">
        <v>798.5</v>
      </c>
      <c r="D60" s="18" t="n">
        <v>772.04</v>
      </c>
      <c r="E60" s="18" t="n">
        <v>752.45</v>
      </c>
      <c r="F60" s="18" t="n">
        <v>755.09</v>
      </c>
      <c r="G60" s="19">
        <f>HYPERLINK("https://www.tradingview.com/chart/?symbol=NSE:CENTURYPLY","Chart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CROMPTON</t>
        </is>
      </c>
      <c r="C61" s="18" t="n">
        <v>284.05</v>
      </c>
      <c r="D61" s="18" t="n">
        <v>262.08</v>
      </c>
      <c r="E61" s="18" t="n">
        <v>255</v>
      </c>
      <c r="F61" s="18" t="n">
        <v>272.87</v>
      </c>
      <c r="G61" s="19">
        <f>HYPERLINK("https://www.tradingview.com/chart/?symbol=NSE:CROMPTON","Chart 📈")</f>
        <v/>
      </c>
    </row>
    <row r="62" ht="16" customHeight="1">
      <c r="A62" s="12" t="inlineStr">
        <is>
          <t>NIFTY ENERGY</t>
        </is>
      </c>
      <c r="B62" s="13" t="inlineStr">
        <is>
          <t>ABB</t>
        </is>
      </c>
      <c r="C62" s="14" t="n">
        <v>7182.5</v>
      </c>
      <c r="D62" s="14" t="n">
        <v>7057.87</v>
      </c>
      <c r="E62" s="14" t="n">
        <v>6587.3</v>
      </c>
      <c r="F62" s="14" t="n">
        <v>5796.93</v>
      </c>
      <c r="G62" s="15">
        <f>HYPERLINK("https://www.tradingview.com/chart/?symbol=NSE:ABB","Chart 📈")</f>
        <v/>
      </c>
    </row>
    <row r="63" ht="16" customHeight="1">
      <c r="A63" s="16" t="inlineStr">
        <is>
          <t>NIFTY ENERGY</t>
        </is>
      </c>
      <c r="B63" s="13" t="inlineStr">
        <is>
          <t>ADANIENSOL</t>
        </is>
      </c>
      <c r="C63" s="14" t="n">
        <v>1407.3</v>
      </c>
      <c r="D63" s="14" t="n">
        <v>1294.03</v>
      </c>
      <c r="E63" s="14" t="n">
        <v>1162.08</v>
      </c>
      <c r="F63" s="14" t="n">
        <v>1008.22</v>
      </c>
      <c r="G63" s="15">
        <f>HYPERLINK("https://www.tradingview.com/chart/?symbol=NSE:ADANIENSOL","Chart 📈")</f>
        <v/>
      </c>
    </row>
    <row r="64" ht="16" customHeight="1">
      <c r="A64" s="16" t="inlineStr">
        <is>
          <t>NIFTY ENERGY</t>
        </is>
      </c>
      <c r="B64" s="13" t="inlineStr">
        <is>
          <t>ADANIGREEN</t>
        </is>
      </c>
      <c r="C64" s="14" t="n">
        <v>1353</v>
      </c>
      <c r="D64" s="14" t="n">
        <v>1183.32</v>
      </c>
      <c r="E64" s="14" t="n">
        <v>1069.44</v>
      </c>
      <c r="F64" s="14" t="n">
        <v>999.61</v>
      </c>
      <c r="G64" s="15">
        <f>HYPERLINK("https://www.tradingview.com/chart/?symbol=NSE:ADANIGREEN","Chart 📈")</f>
        <v/>
      </c>
    </row>
    <row r="65" ht="16" customHeight="1">
      <c r="A65" s="16" t="inlineStr">
        <is>
          <t>NIFTY ENERGY</t>
        </is>
      </c>
      <c r="B65" s="13" t="inlineStr">
        <is>
          <t>ADANIPOWER</t>
        </is>
      </c>
      <c r="C65" s="14" t="n">
        <v>229.12</v>
      </c>
      <c r="D65" s="14" t="n">
        <v>206.77</v>
      </c>
      <c r="E65" s="14" t="n">
        <v>182.09</v>
      </c>
      <c r="F65" s="14" t="n">
        <v>150.87</v>
      </c>
      <c r="G65" s="15">
        <f>HYPERLINK("https://www.tradingview.com/chart/?symbol=NSE:ADANIPOWER","Chart 📈")</f>
        <v/>
      </c>
    </row>
    <row r="66" ht="16" customHeight="1">
      <c r="A66" s="16" t="inlineStr">
        <is>
          <t>NIFTY ENERGY</t>
        </is>
      </c>
      <c r="B66" s="13" t="inlineStr">
        <is>
          <t>BHEL</t>
        </is>
      </c>
      <c r="C66" s="14" t="n">
        <v>385.95</v>
      </c>
      <c r="D66" s="14" t="n">
        <v>334.44</v>
      </c>
      <c r="E66" s="14" t="n">
        <v>302.01</v>
      </c>
      <c r="F66" s="14" t="n">
        <v>268.53</v>
      </c>
      <c r="G66" s="15">
        <f>HYPERLINK("https://www.tradingview.com/chart/?symbol=NSE:BHEL","Chart 📈")</f>
        <v/>
      </c>
    </row>
    <row r="67" ht="16" customHeight="1">
      <c r="A67" s="16" t="inlineStr">
        <is>
          <t>NIFTY ENERGY</t>
        </is>
      </c>
      <c r="B67" s="13" t="inlineStr">
        <is>
          <t>CESC</t>
        </is>
      </c>
      <c r="C67" s="14" t="n">
        <v>185.01</v>
      </c>
      <c r="D67" s="14" t="n">
        <v>179.03</v>
      </c>
      <c r="E67" s="14" t="n">
        <v>168.72</v>
      </c>
      <c r="F67" s="14" t="n">
        <v>163.23</v>
      </c>
      <c r="G67" s="15">
        <f>HYPERLINK("https://www.tradingview.com/chart/?symbol=NSE:CESC","Chart 📈")</f>
        <v/>
      </c>
    </row>
    <row r="68" ht="16" customHeight="1">
      <c r="A68" s="16" t="inlineStr">
        <is>
          <t>NIFTY ENERGY</t>
        </is>
      </c>
      <c r="B68" s="13" t="inlineStr">
        <is>
          <t>CGPOWER</t>
        </is>
      </c>
      <c r="C68" s="14" t="n">
        <v>828.9</v>
      </c>
      <c r="D68" s="14" t="n">
        <v>791.35</v>
      </c>
      <c r="E68" s="14" t="n">
        <v>745.95</v>
      </c>
      <c r="F68" s="14" t="n">
        <v>695.3</v>
      </c>
      <c r="G68" s="15">
        <f>HYPERLINK("https://www.tradingview.com/chart/?symbol=NSE:CGPOWER","Chart 📈")</f>
        <v/>
      </c>
    </row>
    <row r="69" ht="16" customHeight="1">
      <c r="A69" s="16" t="inlineStr">
        <is>
          <t>NIFTY ENERGY</t>
        </is>
      </c>
      <c r="B69" s="13" t="inlineStr">
        <is>
          <t>COALINDIA</t>
        </is>
      </c>
      <c r="C69" s="14" t="n">
        <v>470.2</v>
      </c>
      <c r="D69" s="14" t="n">
        <v>461.31</v>
      </c>
      <c r="E69" s="14" t="n">
        <v>448.86</v>
      </c>
      <c r="F69" s="14" t="n">
        <v>410.46</v>
      </c>
      <c r="G69" s="15">
        <f>HYPERLINK("https://www.tradingview.com/chart/?symbol=NSE:COALINDIA","Chart 📈")</f>
        <v/>
      </c>
    </row>
    <row r="70" ht="16" customHeight="1">
      <c r="A70" s="16" t="inlineStr">
        <is>
          <t>NIFTY ENERGY</t>
        </is>
      </c>
      <c r="B70" s="13" t="inlineStr">
        <is>
          <t>GVT&amp;D</t>
        </is>
      </c>
      <c r="C70" s="14" t="n">
        <v>4563.1</v>
      </c>
      <c r="D70" s="14" t="n">
        <v>4317.88</v>
      </c>
      <c r="E70" s="14" t="n">
        <v>3995.59</v>
      </c>
      <c r="F70" s="14" t="n">
        <v>3235.29</v>
      </c>
      <c r="G70" s="15">
        <f>HYPERLINK("https://www.tradingview.com/chart/?symbol=NSE:GVT&amp;D","Chart 📈")</f>
        <v/>
      </c>
    </row>
    <row r="71" ht="16" customHeight="1">
      <c r="A71" s="16" t="inlineStr">
        <is>
          <t>NIFTY ENERGY</t>
        </is>
      </c>
      <c r="B71" s="13" t="inlineStr">
        <is>
          <t>JPPOWER</t>
        </is>
      </c>
      <c r="C71" s="14" t="n">
        <v>19.31</v>
      </c>
      <c r="D71" s="14" t="n">
        <v>18.71</v>
      </c>
      <c r="E71" s="14" t="n">
        <v>17.34</v>
      </c>
      <c r="F71" s="14" t="n">
        <v>16.85</v>
      </c>
      <c r="G71" s="15">
        <f>HYPERLINK("https://www.tradingview.com/chart/?symbol=NSE:JPPOWER","Chart 📈")</f>
        <v/>
      </c>
    </row>
    <row r="72" ht="16" customHeight="1">
      <c r="A72" s="16" t="inlineStr">
        <is>
          <t>NIFTY ENERGY</t>
        </is>
      </c>
      <c r="B72" s="13" t="inlineStr">
        <is>
          <t>JSWENERGY</t>
        </is>
      </c>
      <c r="C72" s="14" t="n">
        <v>567.9</v>
      </c>
      <c r="D72" s="14" t="n">
        <v>546.23</v>
      </c>
      <c r="E72" s="14" t="n">
        <v>522.04</v>
      </c>
      <c r="F72" s="14" t="n">
        <v>503.45</v>
      </c>
      <c r="G72" s="15">
        <f>HYPERLINK("https://www.tradingview.com/chart/?symbol=NSE:JSWENERGY","Chart 📈")</f>
        <v/>
      </c>
    </row>
    <row r="73" ht="16" customHeight="1">
      <c r="A73" s="16" t="inlineStr">
        <is>
          <t>NIFTY ENERGY</t>
        </is>
      </c>
      <c r="B73" s="13" t="inlineStr">
        <is>
          <t>NHPC</t>
        </is>
      </c>
      <c r="C73" s="14" t="n">
        <v>83.66</v>
      </c>
      <c r="D73" s="14" t="n">
        <v>81.68000000000001</v>
      </c>
      <c r="E73" s="14" t="n">
        <v>79.37</v>
      </c>
      <c r="F73" s="14" t="n">
        <v>79.13</v>
      </c>
      <c r="G73" s="15">
        <f>HYPERLINK("https://www.tradingview.com/chart/?symbol=NSE:NHPC","Chart 📈")</f>
        <v/>
      </c>
    </row>
    <row r="74" ht="16" customHeight="1">
      <c r="A74" s="16" t="inlineStr">
        <is>
          <t>NIFTY ENERGY</t>
        </is>
      </c>
      <c r="B74" s="13" t="inlineStr">
        <is>
          <t>NLCINDIA</t>
        </is>
      </c>
      <c r="C74" s="14" t="n">
        <v>322.3</v>
      </c>
      <c r="D74" s="14" t="n">
        <v>302.82</v>
      </c>
      <c r="E74" s="14" t="n">
        <v>284.23</v>
      </c>
      <c r="F74" s="14" t="n">
        <v>257.75</v>
      </c>
      <c r="G74" s="15">
        <f>HYPERLINK("https://www.tradingview.com/chart/?symbol=NSE:NLCINDIA","Chart 📈")</f>
        <v/>
      </c>
    </row>
    <row r="75" ht="16" customHeight="1">
      <c r="A75" s="16" t="inlineStr">
        <is>
          <t>NIFTY ENERGY</t>
        </is>
      </c>
      <c r="B75" s="13" t="inlineStr">
        <is>
          <t>NTPC</t>
        </is>
      </c>
      <c r="C75" s="14" t="n">
        <v>394.85</v>
      </c>
      <c r="D75" s="14" t="n">
        <v>394.8</v>
      </c>
      <c r="E75" s="14" t="n">
        <v>383.27</v>
      </c>
      <c r="F75" s="14" t="n">
        <v>354.66</v>
      </c>
      <c r="G75" s="15">
        <f>HYPERLINK("https://www.tradingview.com/chart/?symbol=NSE:NTPC","Chart 📈")</f>
        <v/>
      </c>
    </row>
    <row r="76" ht="16" customHeight="1">
      <c r="A76" s="16" t="inlineStr">
        <is>
          <t>NIFTY ENERGY</t>
        </is>
      </c>
      <c r="B76" s="13" t="inlineStr">
        <is>
          <t>POWERGRID</t>
        </is>
      </c>
      <c r="C76" s="14" t="n">
        <v>315.95</v>
      </c>
      <c r="D76" s="14" t="n">
        <v>314.03</v>
      </c>
      <c r="E76" s="14" t="n">
        <v>304.13</v>
      </c>
      <c r="F76" s="14" t="n">
        <v>288.07</v>
      </c>
      <c r="G76" s="15">
        <f>HYPERLINK("https://www.tradingview.com/chart/?symbol=NSE:POWERGRID","Chart 📈")</f>
        <v/>
      </c>
    </row>
    <row r="77" ht="16" customHeight="1">
      <c r="A77" s="16" t="inlineStr">
        <is>
          <t>NIFTY ENERGY</t>
        </is>
      </c>
      <c r="B77" s="13" t="inlineStr">
        <is>
          <t>POWERINDIA</t>
        </is>
      </c>
      <c r="C77" s="14" t="n">
        <v>33380</v>
      </c>
      <c r="D77" s="14" t="n">
        <v>30780.01</v>
      </c>
      <c r="E77" s="14" t="n">
        <v>27498.15</v>
      </c>
      <c r="F77" s="14" t="n">
        <v>22073.55</v>
      </c>
      <c r="G77" s="15">
        <f>HYPERLINK("https://www.tradingview.com/chart/?symbol=NSE:POWERINDIA","Chart 📈")</f>
        <v/>
      </c>
    </row>
    <row r="78" ht="16" customHeight="1">
      <c r="A78" s="16" t="inlineStr">
        <is>
          <t>NIFTY ENERGY</t>
        </is>
      </c>
      <c r="B78" s="13" t="inlineStr">
        <is>
          <t>SCHNEIDER</t>
        </is>
      </c>
      <c r="C78" s="14" t="n">
        <v>1282.5</v>
      </c>
      <c r="D78" s="14" t="n">
        <v>1147</v>
      </c>
      <c r="E78" s="14" t="n">
        <v>1014.05</v>
      </c>
      <c r="F78" s="14" t="n">
        <v>845.6900000000001</v>
      </c>
      <c r="G78" s="15">
        <f>HYPERLINK("https://www.tradingview.com/chart/?symbol=NSE:SCHNEIDER","Chart 📈")</f>
        <v/>
      </c>
    </row>
    <row r="79" ht="16" customHeight="1">
      <c r="A79" s="16" t="inlineStr">
        <is>
          <t>NIFTY ENERGY</t>
        </is>
      </c>
      <c r="B79" s="13" t="inlineStr">
        <is>
          <t>SIEMENS</t>
        </is>
      </c>
      <c r="C79" s="14" t="n">
        <v>3841.8</v>
      </c>
      <c r="D79" s="14" t="n">
        <v>3673.61</v>
      </c>
      <c r="E79" s="14" t="n">
        <v>3455.53</v>
      </c>
      <c r="F79" s="14" t="n">
        <v>3227.11</v>
      </c>
      <c r="G79" s="15">
        <f>HYPERLINK("https://www.tradingview.com/chart/?symbol=NSE:SIEMENS","Chart 📈")</f>
        <v/>
      </c>
    </row>
    <row r="80" ht="16" customHeight="1">
      <c r="A80" s="16" t="inlineStr">
        <is>
          <t>NIFTY ENERGY</t>
        </is>
      </c>
      <c r="B80" s="13" t="inlineStr">
        <is>
          <t>SJVN</t>
        </is>
      </c>
      <c r="C80" s="14" t="n">
        <v>79.94</v>
      </c>
      <c r="D80" s="14" t="n">
        <v>77.31999999999999</v>
      </c>
      <c r="E80" s="14" t="n">
        <v>74.84999999999999</v>
      </c>
      <c r="F80" s="14" t="n">
        <v>79.2</v>
      </c>
      <c r="G80" s="15">
        <f>HYPERLINK("https://www.tradingview.com/chart/?symbol=NSE:SJVN","Chart 📈")</f>
        <v/>
      </c>
    </row>
    <row r="81" ht="16" customHeight="1">
      <c r="A81" s="16" t="inlineStr">
        <is>
          <t>NIFTY ENERGY</t>
        </is>
      </c>
      <c r="B81" s="13" t="inlineStr">
        <is>
          <t>SUZLON</t>
        </is>
      </c>
      <c r="C81" s="14" t="n">
        <v>54.32</v>
      </c>
      <c r="D81" s="14" t="n">
        <v>52.3</v>
      </c>
      <c r="E81" s="14" t="n">
        <v>48.95</v>
      </c>
      <c r="F81" s="14" t="n">
        <v>51.3</v>
      </c>
      <c r="G81" s="15">
        <f>HYPERLINK("https://www.tradingview.com/chart/?symbol=NSE:SUZLON","Chart 📈")</f>
        <v/>
      </c>
    </row>
    <row r="82" ht="16" customHeight="1">
      <c r="A82" s="16" t="inlineStr">
        <is>
          <t>NIFTY ENERGY</t>
        </is>
      </c>
      <c r="B82" s="13" t="inlineStr">
        <is>
          <t>TATAPOWER</t>
        </is>
      </c>
      <c r="C82" s="14" t="n">
        <v>443.25</v>
      </c>
      <c r="D82" s="14" t="n">
        <v>431.66</v>
      </c>
      <c r="E82" s="14" t="n">
        <v>411.01</v>
      </c>
      <c r="F82" s="14" t="n">
        <v>391.36</v>
      </c>
      <c r="G82" s="15">
        <f>HYPERLINK("https://www.tradingview.com/chart/?symbol=NSE:TATAPOWER","Chart 📈")</f>
        <v/>
      </c>
    </row>
    <row r="83" ht="16" customHeight="1">
      <c r="A83" s="16" t="inlineStr">
        <is>
          <t>NIFTY ENERGY</t>
        </is>
      </c>
      <c r="B83" s="13" t="inlineStr">
        <is>
          <t>THERMAX</t>
        </is>
      </c>
      <c r="C83" s="14" t="n">
        <v>4076.9</v>
      </c>
      <c r="D83" s="14" t="n">
        <v>3938.54</v>
      </c>
      <c r="E83" s="14" t="n">
        <v>3619</v>
      </c>
      <c r="F83" s="14" t="n">
        <v>3295.54</v>
      </c>
      <c r="G83" s="15">
        <f>HYPERLINK("https://www.tradingview.com/chart/?symbol=NSE:THERMAX","Chart 📈")</f>
        <v/>
      </c>
    </row>
    <row r="84" ht="16" customHeight="1">
      <c r="A84" s="16" t="inlineStr">
        <is>
          <t>NIFTY ENERGY</t>
        </is>
      </c>
      <c r="B84" s="13" t="inlineStr">
        <is>
          <t>TORNTPOWER</t>
        </is>
      </c>
      <c r="C84" s="14" t="n">
        <v>1734</v>
      </c>
      <c r="D84" s="14" t="n">
        <v>1646.22</v>
      </c>
      <c r="E84" s="14" t="n">
        <v>1544.57</v>
      </c>
      <c r="F84" s="14" t="n">
        <v>1416.51</v>
      </c>
      <c r="G84" s="15">
        <f>HYPERLINK("https://www.tradingview.com/chart/?symbol=NSE:TORNTPOWER","Chart 📈")</f>
        <v/>
      </c>
    </row>
    <row r="85" ht="16" customHeight="1">
      <c r="A85" s="16" t="inlineStr">
        <is>
          <t>NIFTY ENERGY</t>
        </is>
      </c>
      <c r="B85" s="13" t="inlineStr">
        <is>
          <t>TRITURBINE</t>
        </is>
      </c>
      <c r="C85" s="14" t="n">
        <v>557.3</v>
      </c>
      <c r="D85" s="14" t="n">
        <v>542.17</v>
      </c>
      <c r="E85" s="14" t="n">
        <v>514.27</v>
      </c>
      <c r="F85" s="14" t="n">
        <v>515.52</v>
      </c>
      <c r="G85" s="15">
        <f>HYPERLINK("https://www.tradingview.com/chart/?symbol=NSE:TRITURBINE","Chart 📈")</f>
        <v/>
      </c>
    </row>
    <row r="86" ht="16" customHeight="1">
      <c r="A86" s="8" t="inlineStr">
        <is>
          <t>NIFTY FINANCIAL SERVICES</t>
        </is>
      </c>
      <c r="B86" s="17" t="inlineStr">
        <is>
          <t>BAJFINANCE</t>
        </is>
      </c>
      <c r="C86" s="18" t="n">
        <v>980.75</v>
      </c>
      <c r="D86" s="18" t="n">
        <v>927.23</v>
      </c>
      <c r="E86" s="18" t="n">
        <v>923.62</v>
      </c>
      <c r="F86" s="18" t="n">
        <v>944.37</v>
      </c>
      <c r="G86" s="19">
        <f>HYPERLINK("https://www.tradingview.com/chart/?symbol=NSE:BAJFINANCE","Chart 📈")</f>
        <v/>
      </c>
    </row>
    <row r="87" ht="16" customHeight="1">
      <c r="A87" s="20" t="inlineStr">
        <is>
          <t>NIFTY FINANCIAL SERVICES</t>
        </is>
      </c>
      <c r="B87" s="17" t="inlineStr">
        <is>
          <t>CHOLAFIN</t>
        </is>
      </c>
      <c r="C87" s="18" t="n">
        <v>1711.9</v>
      </c>
      <c r="D87" s="18" t="n">
        <v>1574.79</v>
      </c>
      <c r="E87" s="18" t="n">
        <v>1574.53</v>
      </c>
      <c r="F87" s="18" t="n">
        <v>1604.82</v>
      </c>
      <c r="G87" s="19">
        <f>HYPERLINK("https://www.tradingview.com/chart/?symbol=NSE:CHOLAFIN","Chart 📈")</f>
        <v/>
      </c>
    </row>
    <row r="88" ht="16" customHeight="1">
      <c r="A88" s="20" t="inlineStr">
        <is>
          <t>NIFTY FINANCIAL SERVICES</t>
        </is>
      </c>
      <c r="B88" s="17" t="inlineStr">
        <is>
          <t>HDFCAMC</t>
        </is>
      </c>
      <c r="C88" s="18" t="n">
        <v>2815.9</v>
      </c>
      <c r="D88" s="18" t="n">
        <v>2697.26</v>
      </c>
      <c r="E88" s="18" t="n">
        <v>2627.72</v>
      </c>
      <c r="F88" s="18" t="n">
        <v>2595.08</v>
      </c>
      <c r="G88" s="19">
        <f>HYPERLINK("https://www.tradingview.com/chart/?symbol=NSE:HDFCAMC","Chart 📈")</f>
        <v/>
      </c>
    </row>
    <row r="89" ht="16" customHeight="1">
      <c r="A89" s="20" t="inlineStr">
        <is>
          <t>NIFTY FINANCIAL SERVICES</t>
        </is>
      </c>
      <c r="B89" s="17" t="inlineStr">
        <is>
          <t>LICHSGFIN</t>
        </is>
      </c>
      <c r="C89" s="18" t="n">
        <v>582.15</v>
      </c>
      <c r="D89" s="18" t="n">
        <v>546.61</v>
      </c>
      <c r="E89" s="18" t="n">
        <v>532.9</v>
      </c>
      <c r="F89" s="18" t="n">
        <v>543.39</v>
      </c>
      <c r="G89" s="19">
        <f>HYPERLINK("https://www.tradingview.com/chart/?symbol=NSE:LICHSGFIN","Chart 📈")</f>
        <v/>
      </c>
    </row>
    <row r="90" ht="16" customHeight="1">
      <c r="A90" s="20" t="inlineStr">
        <is>
          <t>NIFTY FINANCIAL SERVICES</t>
        </is>
      </c>
      <c r="B90" s="17" t="inlineStr">
        <is>
          <t>MCX</t>
        </is>
      </c>
      <c r="C90" s="18" t="n">
        <v>2973.2</v>
      </c>
      <c r="D90" s="18" t="n">
        <v>2825.64</v>
      </c>
      <c r="E90" s="18" t="n">
        <v>2660.51</v>
      </c>
      <c r="F90" s="18" t="n">
        <v>2178.54</v>
      </c>
      <c r="G90" s="19">
        <f>HYPERLINK("https://www.tradingview.com/chart/?symbol=NSE:MCX","Chart 📈")</f>
        <v/>
      </c>
    </row>
    <row r="91" ht="16" customHeight="1">
      <c r="A91" s="20" t="inlineStr">
        <is>
          <t>NIFTY FINANCIAL SERVICES</t>
        </is>
      </c>
      <c r="B91" s="17" t="inlineStr">
        <is>
          <t>MUTHOOTFIN</t>
        </is>
      </c>
      <c r="C91" s="18" t="n">
        <v>3533.6</v>
      </c>
      <c r="D91" s="18" t="n">
        <v>3467.03</v>
      </c>
      <c r="E91" s="18" t="n">
        <v>3458.24</v>
      </c>
      <c r="F91" s="18" t="n">
        <v>3276.82</v>
      </c>
      <c r="G91" s="19">
        <f>HYPERLINK("https://www.tradingview.com/chart/?symbol=NSE:MUTHOOTFIN","Chart 📈")</f>
        <v/>
      </c>
    </row>
    <row r="92" ht="16" customHeight="1">
      <c r="A92" s="20" t="inlineStr">
        <is>
          <t>NIFTY FINANCIAL SERVICES</t>
        </is>
      </c>
      <c r="B92" s="17" t="inlineStr">
        <is>
          <t>PFC</t>
        </is>
      </c>
      <c r="C92" s="18" t="n">
        <v>463.9</v>
      </c>
      <c r="D92" s="18" t="n">
        <v>451.56</v>
      </c>
      <c r="E92" s="18" t="n">
        <v>430.27</v>
      </c>
      <c r="F92" s="18" t="n">
        <v>397.81</v>
      </c>
      <c r="G92" s="19">
        <f>HYPERLINK("https://www.tradingview.com/chart/?symbol=NSE:PFC","Chart 📈")</f>
        <v/>
      </c>
    </row>
    <row r="93" ht="16" customHeight="1">
      <c r="A93" s="20" t="inlineStr">
        <is>
          <t>NIFTY FINANCIAL SERVICES</t>
        </is>
      </c>
      <c r="B93" s="17" t="inlineStr">
        <is>
          <t>SHRIRAMFIN</t>
        </is>
      </c>
      <c r="C93" s="18" t="n">
        <v>1004.1</v>
      </c>
      <c r="D93" s="18" t="n">
        <v>981.03</v>
      </c>
      <c r="E93" s="18" t="n">
        <v>984.61</v>
      </c>
      <c r="F93" s="18" t="n">
        <v>876.1799999999999</v>
      </c>
      <c r="G93" s="19">
        <f>HYPERLINK("https://www.tradingview.com/chart/?symbol=NSE:SHRIRAMFIN","Chart 📈")</f>
        <v/>
      </c>
    </row>
    <row r="94" ht="16" customHeight="1">
      <c r="A94" s="12" t="inlineStr">
        <is>
          <t>NIFTY PSU BANK</t>
        </is>
      </c>
      <c r="B94" s="13" t="inlineStr">
        <is>
          <t>CENTRALBK</t>
        </is>
      </c>
      <c r="C94" s="14" t="n">
        <v>36.73</v>
      </c>
      <c r="D94" s="14" t="n">
        <v>35.92</v>
      </c>
      <c r="E94" s="14" t="n">
        <v>35.96</v>
      </c>
      <c r="F94" s="14" t="n">
        <v>36.44</v>
      </c>
      <c r="G94" s="15">
        <f>HYPERLINK("https://www.tradingview.com/chart/?symbol=NSE:CENTRALBK","Chart 📈")</f>
        <v/>
      </c>
    </row>
    <row r="95" ht="16" customHeight="1">
      <c r="A95" s="16" t="inlineStr">
        <is>
          <t>NIFTY PSU BANK</t>
        </is>
      </c>
      <c r="B95" s="13" t="inlineStr">
        <is>
          <t>MAHABANK</t>
        </is>
      </c>
      <c r="C95" s="14" t="n">
        <v>83.63</v>
      </c>
      <c r="D95" s="14" t="n">
        <v>76.5</v>
      </c>
      <c r="E95" s="14" t="n">
        <v>71.8</v>
      </c>
      <c r="F95" s="14" t="n">
        <v>62.83</v>
      </c>
      <c r="G95" s="15">
        <f>HYPERLINK("https://www.tradingview.com/chart/?symbol=NSE:MAHABANK","Chart 📈")</f>
        <v/>
      </c>
    </row>
    <row r="96" ht="16" customHeight="1">
      <c r="A96" s="16" t="inlineStr">
        <is>
          <t>NIFTY PSU BANK</t>
        </is>
      </c>
      <c r="B96" s="13" t="inlineStr">
        <is>
          <t>SBIN</t>
        </is>
      </c>
      <c r="C96" s="14" t="n">
        <v>1096</v>
      </c>
      <c r="D96" s="14" t="n">
        <v>1078.94</v>
      </c>
      <c r="E96" s="14" t="n">
        <v>1078.36</v>
      </c>
      <c r="F96" s="14" t="n">
        <v>991.23</v>
      </c>
      <c r="G96" s="15">
        <f>HYPERLINK("https://www.tradingview.com/chart/?symbol=NSE:SBIN","Chart 📈")</f>
        <v/>
      </c>
    </row>
    <row r="97" ht="16" customHeight="1">
      <c r="A97" s="8" t="inlineStr">
        <is>
          <t>NIFTY MIDSMALL IT &amp; TELECOM</t>
        </is>
      </c>
      <c r="B97" s="17" t="inlineStr">
        <is>
          <t>HFCL</t>
        </is>
      </c>
      <c r="C97" s="18" t="n">
        <v>141.46</v>
      </c>
      <c r="D97" s="18" t="n">
        <v>105.67</v>
      </c>
      <c r="E97" s="18" t="n">
        <v>89.66</v>
      </c>
      <c r="F97" s="18" t="n">
        <v>77.59999999999999</v>
      </c>
      <c r="G97" s="19">
        <f>HYPERLINK("https://www.tradingview.com/chart/?symbol=NSE:HFCL","Chart 📈")</f>
        <v/>
      </c>
    </row>
    <row r="98" ht="16" customHeight="1">
      <c r="A98" s="20" t="inlineStr">
        <is>
          <t>NIFTY MIDSMALL IT &amp; TELECOM</t>
        </is>
      </c>
      <c r="B98" s="17" t="inlineStr">
        <is>
          <t>IDEA</t>
        </is>
      </c>
      <c r="C98" s="18" t="n">
        <v>11.3</v>
      </c>
      <c r="D98" s="18" t="n">
        <v>9.99</v>
      </c>
      <c r="E98" s="18" t="n">
        <v>9.9</v>
      </c>
      <c r="F98" s="18" t="n">
        <v>9.449999999999999</v>
      </c>
      <c r="G98" s="19">
        <f>HYPERLINK("https://www.tradingview.com/chart/?symbol=NSE:IDEA","Chart 📈")</f>
        <v/>
      </c>
    </row>
    <row r="99" ht="16" customHeight="1">
      <c r="A99" s="20" t="inlineStr">
        <is>
          <t>NIFTY MIDSMALL IT &amp; TELECOM</t>
        </is>
      </c>
      <c r="B99" s="17" t="inlineStr">
        <is>
          <t>OFSS</t>
        </is>
      </c>
      <c r="C99" s="18" t="n">
        <v>9694.5</v>
      </c>
      <c r="D99" s="18" t="n">
        <v>8764.549999999999</v>
      </c>
      <c r="E99" s="18" t="n">
        <v>7975</v>
      </c>
      <c r="F99" s="18" t="n">
        <v>7887.77</v>
      </c>
      <c r="G99" s="19">
        <f>HYPERLINK("https://www.tradingview.com/chart/?symbol=NSE:OFSS","Chart 📈")</f>
        <v/>
      </c>
    </row>
    <row r="100" ht="16" customHeight="1">
      <c r="A100" s="20" t="inlineStr">
        <is>
          <t>NIFTY MIDSMALL IT &amp; TELECOM</t>
        </is>
      </c>
      <c r="B100" s="17" t="inlineStr">
        <is>
          <t>TANLA</t>
        </is>
      </c>
      <c r="C100" s="18" t="n">
        <v>562.05</v>
      </c>
      <c r="D100" s="18" t="n">
        <v>503.85</v>
      </c>
      <c r="E100" s="18" t="n">
        <v>479.89</v>
      </c>
      <c r="F100" s="18" t="n">
        <v>515.47</v>
      </c>
      <c r="G100" s="19">
        <f>HYPERLINK("https://www.tradingview.com/chart/?symbol=NSE:TANLA","Chart 📈")</f>
        <v/>
      </c>
    </row>
    <row r="101" ht="16" customHeight="1">
      <c r="A101" s="12" t="inlineStr">
        <is>
          <t>NIFTY BANK</t>
        </is>
      </c>
      <c r="B101" s="13" t="inlineStr">
        <is>
          <t>AUBANK</t>
        </is>
      </c>
      <c r="C101" s="14" t="n">
        <v>1024</v>
      </c>
      <c r="D101" s="14" t="n">
        <v>1001.78</v>
      </c>
      <c r="E101" s="14" t="n">
        <v>976.53</v>
      </c>
      <c r="F101" s="14" t="n">
        <v>901.2</v>
      </c>
      <c r="G101" s="15">
        <f>HYPERLINK("https://www.tradingview.com/chart/?symbol=NSE:AUBANK","Chart 📈")</f>
        <v/>
      </c>
    </row>
    <row r="102" ht="16" customHeight="1">
      <c r="A102" s="16" t="inlineStr">
        <is>
          <t>NIFTY BANK</t>
        </is>
      </c>
      <c r="B102" s="13" t="inlineStr">
        <is>
          <t>FEDERALBNK</t>
        </is>
      </c>
      <c r="C102" s="14" t="n">
        <v>293</v>
      </c>
      <c r="D102" s="14" t="n">
        <v>287.93</v>
      </c>
      <c r="E102" s="14" t="n">
        <v>282.59</v>
      </c>
      <c r="F102" s="14" t="n">
        <v>253.64</v>
      </c>
      <c r="G102" s="15">
        <f>HYPERLINK("https://www.tradingview.com/chart/?symbol=NSE:FEDERALBNK","Chart 📈")</f>
        <v/>
      </c>
    </row>
    <row r="103" ht="16" customHeight="1">
      <c r="A103" s="16" t="inlineStr">
        <is>
          <t>NIFTY BANK</t>
        </is>
      </c>
      <c r="B103" s="13" t="inlineStr">
        <is>
          <t>INDUSINDBK</t>
        </is>
      </c>
      <c r="C103" s="14" t="n">
        <v>946.75</v>
      </c>
      <c r="D103" s="14" t="n">
        <v>881.58</v>
      </c>
      <c r="E103" s="14" t="n">
        <v>869.1</v>
      </c>
      <c r="F103" s="14" t="n">
        <v>850.61</v>
      </c>
      <c r="G103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2026-05-06T16:38:02Z</dcterms:created>
  <dcterms:modified xsi:type="dcterms:W3CDTF">2026-05-06T16:38:02Z</dcterms:modified>
</cp:coreProperties>
</file>