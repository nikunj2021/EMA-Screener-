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30-Oct-2026  17:07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15</v>
      </c>
      <c r="D4" s="5" t="n">
        <v>11</v>
      </c>
      <c r="E4" s="5" t="n">
        <v>12</v>
      </c>
      <c r="F4" s="6" t="n">
        <v>0.75</v>
      </c>
      <c r="G4" s="6" t="n">
        <v>0.55</v>
      </c>
      <c r="H4" s="6" t="n">
        <v>0.6</v>
      </c>
      <c r="I4" s="7" t="n">
        <v>0.6333</v>
      </c>
    </row>
    <row r="5" ht="17" customHeight="1">
      <c r="A5" s="8" t="inlineStr">
        <is>
          <t>NIFTY MEDIA</t>
        </is>
      </c>
      <c r="B5" s="9" t="n">
        <v>10</v>
      </c>
      <c r="C5" s="9" t="n">
        <v>5</v>
      </c>
      <c r="D5" s="9" t="n">
        <v>5</v>
      </c>
      <c r="E5" s="9" t="n">
        <v>5</v>
      </c>
      <c r="F5" s="10" t="n">
        <v>0.5</v>
      </c>
      <c r="G5" s="10" t="n">
        <v>0.5</v>
      </c>
      <c r="H5" s="10" t="n">
        <v>0.5</v>
      </c>
      <c r="I5" s="11" t="n">
        <v>0.5</v>
      </c>
    </row>
    <row r="6" ht="17" customHeight="1">
      <c r="A6" s="4" t="inlineStr">
        <is>
          <t>NIFTY IT</t>
        </is>
      </c>
      <c r="B6" s="5" t="n">
        <v>10</v>
      </c>
      <c r="C6" s="5" t="n">
        <v>5</v>
      </c>
      <c r="D6" s="5" t="n">
        <v>5</v>
      </c>
      <c r="E6" s="5" t="n">
        <v>4</v>
      </c>
      <c r="F6" s="6" t="n">
        <v>0.5</v>
      </c>
      <c r="G6" s="6" t="n">
        <v>0.5</v>
      </c>
      <c r="H6" s="6" t="n">
        <v>0.4</v>
      </c>
      <c r="I6" s="7" t="n">
        <v>0.4667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8</v>
      </c>
      <c r="D7" s="9" t="n">
        <v>9</v>
      </c>
      <c r="E7" s="9" t="n">
        <v>10</v>
      </c>
      <c r="F7" s="10" t="n">
        <v>0.4</v>
      </c>
      <c r="G7" s="10" t="n">
        <v>0.45</v>
      </c>
      <c r="H7" s="10" t="n">
        <v>0.5</v>
      </c>
      <c r="I7" s="11" t="n">
        <v>0.45</v>
      </c>
    </row>
    <row r="8" ht="17" customHeight="1">
      <c r="A8" s="4" t="inlineStr">
        <is>
          <t>NIFTY PSU BANK</t>
        </is>
      </c>
      <c r="B8" s="5" t="n">
        <v>12</v>
      </c>
      <c r="C8" s="5" t="n">
        <v>5</v>
      </c>
      <c r="D8" s="5" t="n">
        <v>5</v>
      </c>
      <c r="E8" s="5" t="n">
        <v>4</v>
      </c>
      <c r="F8" s="6" t="n">
        <v>0.417</v>
      </c>
      <c r="G8" s="6" t="n">
        <v>0.417</v>
      </c>
      <c r="H8" s="6" t="n">
        <v>0.333</v>
      </c>
      <c r="I8" s="7" t="n">
        <v>0.389</v>
      </c>
    </row>
    <row r="9" ht="17" customHeight="1">
      <c r="A9" s="8" t="inlineStr">
        <is>
          <t>NIFTY REALTY</t>
        </is>
      </c>
      <c r="B9" s="9" t="n">
        <v>10</v>
      </c>
      <c r="C9" s="9" t="n">
        <v>3</v>
      </c>
      <c r="D9" s="9" t="n">
        <v>3</v>
      </c>
      <c r="E9" s="9" t="n">
        <v>3</v>
      </c>
      <c r="F9" s="10" t="n">
        <v>0.3</v>
      </c>
      <c r="G9" s="10" t="n">
        <v>0.3</v>
      </c>
      <c r="H9" s="10" t="n">
        <v>0.3</v>
      </c>
      <c r="I9" s="11" t="n">
        <v>0.3</v>
      </c>
    </row>
    <row r="10" ht="17" customHeight="1">
      <c r="A10" s="4" t="inlineStr">
        <is>
          <t>NIFTY AUTO</t>
        </is>
      </c>
      <c r="B10" s="5" t="n">
        <v>15</v>
      </c>
      <c r="C10" s="5" t="n">
        <v>4</v>
      </c>
      <c r="D10" s="5" t="n">
        <v>2</v>
      </c>
      <c r="E10" s="5" t="n">
        <v>4</v>
      </c>
      <c r="F10" s="6" t="n">
        <v>0.267</v>
      </c>
      <c r="G10" s="6" t="n">
        <v>0.133</v>
      </c>
      <c r="H10" s="6" t="n">
        <v>0.267</v>
      </c>
      <c r="I10" s="7" t="n">
        <v>0.2223</v>
      </c>
    </row>
    <row r="11" ht="17" customHeight="1">
      <c r="A11" s="8" t="inlineStr">
        <is>
          <t>NIFTY FMCG</t>
        </is>
      </c>
      <c r="B11" s="9" t="n">
        <v>15</v>
      </c>
      <c r="C11" s="9" t="n">
        <v>5</v>
      </c>
      <c r="D11" s="9" t="n">
        <v>1</v>
      </c>
      <c r="E11" s="9" t="n">
        <v>3</v>
      </c>
      <c r="F11" s="10" t="n">
        <v>0.333</v>
      </c>
      <c r="G11" s="10" t="n">
        <v>0.067</v>
      </c>
      <c r="H11" s="10" t="n">
        <v>0.2</v>
      </c>
      <c r="I11" s="11" t="n">
        <v>0.2</v>
      </c>
    </row>
    <row r="12" ht="17" customHeight="1">
      <c r="A12" s="4" t="inlineStr">
        <is>
          <t>NIFTY OIL &amp; GAS</t>
        </is>
      </c>
      <c r="B12" s="5" t="n">
        <v>15</v>
      </c>
      <c r="C12" s="5" t="n">
        <v>3</v>
      </c>
      <c r="D12" s="5" t="n">
        <v>1</v>
      </c>
      <c r="E12" s="5" t="n">
        <v>3</v>
      </c>
      <c r="F12" s="6" t="n">
        <v>0.2</v>
      </c>
      <c r="G12" s="6" t="n">
        <v>0.067</v>
      </c>
      <c r="H12" s="6" t="n">
        <v>0.2</v>
      </c>
      <c r="I12" s="7" t="n">
        <v>0.1557</v>
      </c>
    </row>
    <row r="13" ht="17" customHeight="1">
      <c r="A13" s="8" t="inlineStr">
        <is>
          <t>NIFTY METAL</t>
        </is>
      </c>
      <c r="B13" s="9" t="n">
        <v>15</v>
      </c>
      <c r="C13" s="9" t="n">
        <v>3</v>
      </c>
      <c r="D13" s="9" t="n">
        <v>1</v>
      </c>
      <c r="E13" s="9" t="n">
        <v>3</v>
      </c>
      <c r="F13" s="10" t="n">
        <v>0.2</v>
      </c>
      <c r="G13" s="10" t="n">
        <v>0.067</v>
      </c>
      <c r="H13" s="10" t="n">
        <v>0.2</v>
      </c>
      <c r="I13" s="11" t="n">
        <v>0.1557</v>
      </c>
    </row>
    <row r="14" ht="17" customHeight="1">
      <c r="A14" s="4" t="inlineStr">
        <is>
          <t>NIFTY FINANCIAL SERVICES</t>
        </is>
      </c>
      <c r="B14" s="5" t="n">
        <v>20</v>
      </c>
      <c r="C14" s="5" t="n">
        <v>3</v>
      </c>
      <c r="D14" s="5" t="n">
        <v>3</v>
      </c>
      <c r="E14" s="5" t="n">
        <v>3</v>
      </c>
      <c r="F14" s="6" t="n">
        <v>0.15</v>
      </c>
      <c r="G14" s="6" t="n">
        <v>0.15</v>
      </c>
      <c r="H14" s="6" t="n">
        <v>0.15</v>
      </c>
      <c r="I14" s="7" t="n">
        <v>0.15</v>
      </c>
    </row>
    <row r="15" ht="17" customHeight="1">
      <c r="A15" s="8" t="inlineStr">
        <is>
          <t>NIFTY ENERGY</t>
        </is>
      </c>
      <c r="B15" s="9" t="n">
        <v>40</v>
      </c>
      <c r="C15" s="9" t="n">
        <v>6</v>
      </c>
      <c r="D15" s="9" t="n">
        <v>3</v>
      </c>
      <c r="E15" s="9" t="n">
        <v>4</v>
      </c>
      <c r="F15" s="10" t="n">
        <v>0.15</v>
      </c>
      <c r="G15" s="10" t="n">
        <v>0.075</v>
      </c>
      <c r="H15" s="10" t="n">
        <v>0.1</v>
      </c>
      <c r="I15" s="11" t="n">
        <v>0.1083</v>
      </c>
    </row>
    <row r="16" ht="17" customHeight="1">
      <c r="A16" s="4" t="inlineStr">
        <is>
          <t>NIFTY BANK</t>
        </is>
      </c>
      <c r="B16" s="5" t="n">
        <v>12</v>
      </c>
      <c r="C16" s="5" t="n">
        <v>1</v>
      </c>
      <c r="D16" s="5" t="n">
        <v>1</v>
      </c>
      <c r="E16" s="5" t="n">
        <v>1</v>
      </c>
      <c r="F16" s="6" t="n">
        <v>0.083</v>
      </c>
      <c r="G16" s="6" t="n">
        <v>0.083</v>
      </c>
      <c r="H16" s="6" t="n">
        <v>0.083</v>
      </c>
      <c r="I16" s="7" t="n">
        <v>0.083</v>
      </c>
    </row>
    <row r="17" ht="17" customHeight="1">
      <c r="A17" s="8" t="inlineStr">
        <is>
          <t>NIFTY CONSUMER DURABLES</t>
        </is>
      </c>
      <c r="B17" s="9" t="n">
        <v>15</v>
      </c>
      <c r="C17" s="9" t="n">
        <v>2</v>
      </c>
      <c r="D17" s="9" t="n">
        <v>1</v>
      </c>
      <c r="E17" s="9" t="n">
        <v>0</v>
      </c>
      <c r="F17" s="10" t="n">
        <v>0.133</v>
      </c>
      <c r="G17" s="10" t="n">
        <v>0.067</v>
      </c>
      <c r="H17" s="10" t="n">
        <v>0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3508.8</v>
      </c>
      <c r="D3" s="14" t="n">
        <v>3412.72</v>
      </c>
      <c r="E3" s="14" t="n">
        <v>3438.46</v>
      </c>
      <c r="F3" s="14" t="n">
        <v>3182.72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AUROPHARMA</t>
        </is>
      </c>
      <c r="C4" s="14" t="n">
        <v>1681.4</v>
      </c>
      <c r="D4" s="14" t="n">
        <v>1649.08</v>
      </c>
      <c r="E4" s="14" t="n">
        <v>1645.69</v>
      </c>
      <c r="F4" s="14" t="n">
        <v>1492.48</v>
      </c>
      <c r="G4" s="15">
        <f>HYPERLINK("https://www.tradingview.com/chart/?symbol=NSE:AUROPHARMA","Chart 📈")</f>
        <v/>
      </c>
    </row>
    <row r="5" ht="16" customHeight="1">
      <c r="A5" s="16" t="inlineStr">
        <is>
          <t>NIFTY PHARMA</t>
        </is>
      </c>
      <c r="B5" s="13" t="inlineStr">
        <is>
          <t>DIVISLAB</t>
        </is>
      </c>
      <c r="C5" s="14" t="n">
        <v>9780</v>
      </c>
      <c r="D5" s="14" t="n">
        <v>9344.780000000001</v>
      </c>
      <c r="E5" s="14" t="n">
        <v>9072.82</v>
      </c>
      <c r="F5" s="14" t="n">
        <v>7783.85</v>
      </c>
      <c r="G5" s="15">
        <f>HYPERLINK("https://www.tradingview.com/chart/?symbol=NSE:DIVISLAB","Chart 📈")</f>
        <v/>
      </c>
    </row>
    <row r="6" ht="16" customHeight="1">
      <c r="A6" s="16" t="inlineStr">
        <is>
          <t>NIFTY PHARMA</t>
        </is>
      </c>
      <c r="B6" s="13" t="inlineStr">
        <is>
          <t>DRREDDY</t>
        </is>
      </c>
      <c r="C6" s="14" t="n">
        <v>1352</v>
      </c>
      <c r="D6" s="14" t="n">
        <v>1263.48</v>
      </c>
      <c r="E6" s="14" t="n">
        <v>1229.8</v>
      </c>
      <c r="F6" s="14" t="n">
        <v>1229.37</v>
      </c>
      <c r="G6" s="15">
        <f>HYPERLINK("https://www.tradingview.com/chart/?symbol=NSE:DRREDDY","Chart 📈")</f>
        <v/>
      </c>
    </row>
    <row r="7" ht="16" customHeight="1">
      <c r="A7" s="16" t="inlineStr">
        <is>
          <t>NIFTY PHARMA</t>
        </is>
      </c>
      <c r="B7" s="13" t="inlineStr">
        <is>
          <t>GLAND</t>
        </is>
      </c>
      <c r="C7" s="14" t="n">
        <v>3095.9</v>
      </c>
      <c r="D7" s="14" t="n">
        <v>2987.09</v>
      </c>
      <c r="E7" s="14" t="n">
        <v>2903.19</v>
      </c>
      <c r="F7" s="14" t="n">
        <v>2435.51</v>
      </c>
      <c r="G7" s="15">
        <f>HYPERLINK("https://www.tradingview.com/chart/?symbol=NSE:GLAND","Chart 📈")</f>
        <v/>
      </c>
    </row>
    <row r="8" ht="16" customHeight="1">
      <c r="A8" s="16" t="inlineStr">
        <is>
          <t>NIFTY PHARMA</t>
        </is>
      </c>
      <c r="B8" s="13" t="inlineStr">
        <is>
          <t>GRANULES</t>
        </is>
      </c>
      <c r="C8" s="14" t="n">
        <v>839.75</v>
      </c>
      <c r="D8" s="14" t="n">
        <v>828.0700000000001</v>
      </c>
      <c r="E8" s="14" t="n">
        <v>834.17</v>
      </c>
      <c r="F8" s="14" t="n">
        <v>761.0599999999999</v>
      </c>
      <c r="G8" s="15">
        <f>HYPERLINK("https://www.tradingview.com/chart/?symbol=NSE:GRANULES","Chart 📈")</f>
        <v/>
      </c>
    </row>
    <row r="9" ht="16" customHeight="1">
      <c r="A9" s="16" t="inlineStr">
        <is>
          <t>NIFTY PHARMA</t>
        </is>
      </c>
      <c r="B9" s="13" t="inlineStr">
        <is>
          <t>IPCALAB</t>
        </is>
      </c>
      <c r="C9" s="14" t="n">
        <v>1927.8</v>
      </c>
      <c r="D9" s="14" t="n">
        <v>1925.69</v>
      </c>
      <c r="E9" s="14" t="n">
        <v>1906.1</v>
      </c>
      <c r="F9" s="14" t="n">
        <v>1710.57</v>
      </c>
      <c r="G9" s="15">
        <f>HYPERLINK("https://www.tradingview.com/chart/?symbol=NSE:IPCALAB","Chart 📈")</f>
        <v/>
      </c>
    </row>
    <row r="10" ht="16" customHeight="1">
      <c r="A10" s="16" t="inlineStr">
        <is>
          <t>NIFTY PHARMA</t>
        </is>
      </c>
      <c r="B10" s="13" t="inlineStr">
        <is>
          <t>LAURUSLABS</t>
        </is>
      </c>
      <c r="C10" s="14" t="n">
        <v>2405.5</v>
      </c>
      <c r="D10" s="14" t="n">
        <v>2093.32</v>
      </c>
      <c r="E10" s="14" t="n">
        <v>1979.48</v>
      </c>
      <c r="F10" s="14" t="n">
        <v>1572.01</v>
      </c>
      <c r="G10" s="15">
        <f>HYPERLINK("https://www.tradingview.com/chart/?symbol=NSE:LAURUSLABS","Chart 📈")</f>
        <v/>
      </c>
    </row>
    <row r="11" ht="16" customHeight="1">
      <c r="A11" s="16" t="inlineStr">
        <is>
          <t>NIFTY PHARMA</t>
        </is>
      </c>
      <c r="B11" s="13" t="inlineStr">
        <is>
          <t>MANKIND</t>
        </is>
      </c>
      <c r="C11" s="14" t="n">
        <v>2492.8</v>
      </c>
      <c r="D11" s="14" t="n">
        <v>2392.55</v>
      </c>
      <c r="E11" s="14" t="n">
        <v>2396.25</v>
      </c>
      <c r="F11" s="14" t="n">
        <v>2366.56</v>
      </c>
      <c r="G11" s="15">
        <f>HYPERLINK("https://www.tradingview.com/chart/?symbol=NSE:MANKIND","Chart 📈")</f>
        <v/>
      </c>
    </row>
    <row r="12" ht="16" customHeight="1">
      <c r="A12" s="16" t="inlineStr">
        <is>
          <t>NIFTY PHARMA</t>
        </is>
      </c>
      <c r="B12" s="13" t="inlineStr">
        <is>
          <t>ZYDUSLIFE</t>
        </is>
      </c>
      <c r="C12" s="14" t="n">
        <v>1245.5</v>
      </c>
      <c r="D12" s="14" t="n">
        <v>1158.18</v>
      </c>
      <c r="E12" s="14" t="n">
        <v>1145.97</v>
      </c>
      <c r="F12" s="14" t="n">
        <v>1070.07</v>
      </c>
      <c r="G12" s="15">
        <f>HYPERLINK("https://www.tradingview.com/chart/?symbol=NSE:ZYDUSLIFE","Chart 📈")</f>
        <v/>
      </c>
    </row>
    <row r="13" ht="16" customHeight="1">
      <c r="A13" s="8" t="inlineStr">
        <is>
          <t>NIFTY MEDIA</t>
        </is>
      </c>
      <c r="B13" s="17" t="inlineStr">
        <is>
          <t>NAZARA</t>
        </is>
      </c>
      <c r="C13" s="18" t="n">
        <v>398.8</v>
      </c>
      <c r="D13" s="18" t="n">
        <v>395.26</v>
      </c>
      <c r="E13" s="18" t="n">
        <v>377.95</v>
      </c>
      <c r="F13" s="18" t="n">
        <v>322.99</v>
      </c>
      <c r="G13" s="19">
        <f>HYPERLINK("https://www.tradingview.com/chart/?symbol=NSE:NAZARA","Chart 📈")</f>
        <v/>
      </c>
    </row>
    <row r="14" ht="16" customHeight="1">
      <c r="A14" s="20" t="inlineStr">
        <is>
          <t>NIFTY MEDIA</t>
        </is>
      </c>
      <c r="B14" s="17" t="inlineStr">
        <is>
          <t>PVRINOX</t>
        </is>
      </c>
      <c r="C14" s="18" t="n">
        <v>1495.1</v>
      </c>
      <c r="D14" s="18" t="n">
        <v>1392.38</v>
      </c>
      <c r="E14" s="18" t="n">
        <v>1304.8</v>
      </c>
      <c r="F14" s="18" t="n">
        <v>1157.42</v>
      </c>
      <c r="G14" s="19">
        <f>HYPERLINK("https://www.tradingview.com/chart/?symbol=NSE:PVRINOX","Chart 📈")</f>
        <v/>
      </c>
    </row>
    <row r="15" ht="16" customHeight="1">
      <c r="A15" s="20" t="inlineStr">
        <is>
          <t>NIFTY MEDIA</t>
        </is>
      </c>
      <c r="B15" s="17" t="inlineStr">
        <is>
          <t>SAREGAMA</t>
        </is>
      </c>
      <c r="C15" s="18" t="n">
        <v>548.65</v>
      </c>
      <c r="D15" s="18" t="n">
        <v>509.44</v>
      </c>
      <c r="E15" s="18" t="n">
        <v>501.76</v>
      </c>
      <c r="F15" s="18" t="n">
        <v>457.39</v>
      </c>
      <c r="G15" s="19">
        <f>HYPERLINK("https://www.tradingview.com/chart/?symbol=NSE:SAREGAMA","Chart 📈")</f>
        <v/>
      </c>
    </row>
    <row r="16" ht="16" customHeight="1">
      <c r="A16" s="20" t="inlineStr">
        <is>
          <t>NIFTY MEDIA</t>
        </is>
      </c>
      <c r="B16" s="17" t="inlineStr">
        <is>
          <t>SUNTV</t>
        </is>
      </c>
      <c r="C16" s="18" t="n">
        <v>607.55</v>
      </c>
      <c r="D16" s="18" t="n">
        <v>602.4400000000001</v>
      </c>
      <c r="E16" s="18" t="n">
        <v>562.11</v>
      </c>
      <c r="F16" s="18" t="n">
        <v>538.53</v>
      </c>
      <c r="G16" s="19">
        <f>HYPERLINK("https://www.tradingview.com/chart/?symbol=NSE:SUNTV","Chart 📈")</f>
        <v/>
      </c>
    </row>
    <row r="17" ht="16" customHeight="1">
      <c r="A17" s="20" t="inlineStr">
        <is>
          <t>NIFTY MEDIA</t>
        </is>
      </c>
      <c r="B17" s="17" t="inlineStr">
        <is>
          <t>TIPSMUSIC</t>
        </is>
      </c>
      <c r="C17" s="18" t="n">
        <v>782.05</v>
      </c>
      <c r="D17" s="18" t="n">
        <v>720.47</v>
      </c>
      <c r="E17" s="18" t="n">
        <v>686.91</v>
      </c>
      <c r="F17" s="18" t="n">
        <v>629.4299999999999</v>
      </c>
      <c r="G17" s="19">
        <f>HYPERLINK("https://www.tradingview.com/chart/?symbol=NSE:TIPSMUSIC","Chart 📈")</f>
        <v/>
      </c>
    </row>
    <row r="18" ht="16" customHeight="1">
      <c r="A18" s="12" t="inlineStr">
        <is>
          <t>NIFTY IT</t>
        </is>
      </c>
      <c r="B18" s="13" t="inlineStr">
        <is>
          <t>HCLTECH</t>
        </is>
      </c>
      <c r="C18" s="14" t="n">
        <v>1428.1</v>
      </c>
      <c r="D18" s="14" t="n">
        <v>1352.1</v>
      </c>
      <c r="E18" s="14" t="n">
        <v>1303.11</v>
      </c>
      <c r="F18" s="14" t="n">
        <v>1306.49</v>
      </c>
      <c r="G18" s="15">
        <f>HYPERLINK("https://www.tradingview.com/chart/?symbol=NSE:HCLTECH","Chart 📈")</f>
        <v/>
      </c>
    </row>
    <row r="19" ht="16" customHeight="1">
      <c r="A19" s="16" t="inlineStr">
        <is>
          <t>NIFTY IT</t>
        </is>
      </c>
      <c r="B19" s="13" t="inlineStr">
        <is>
          <t>TCS</t>
        </is>
      </c>
      <c r="C19" s="14" t="n">
        <v>2502.6</v>
      </c>
      <c r="D19" s="14" t="n">
        <v>2375.52</v>
      </c>
      <c r="E19" s="14" t="n">
        <v>2294.15</v>
      </c>
      <c r="F19" s="14" t="n">
        <v>2399.96</v>
      </c>
      <c r="G19" s="15">
        <f>HYPERLINK("https://www.tradingview.com/chart/?symbol=NSE:TCS","Chart 📈")</f>
        <v/>
      </c>
    </row>
    <row r="20" ht="16" customHeight="1">
      <c r="A20" s="16" t="inlineStr">
        <is>
          <t>NIFTY IT</t>
        </is>
      </c>
      <c r="B20" s="13" t="inlineStr">
        <is>
          <t>TECHM</t>
        </is>
      </c>
      <c r="C20" s="14" t="n">
        <v>1790.8</v>
      </c>
      <c r="D20" s="14" t="n">
        <v>1695.41</v>
      </c>
      <c r="E20" s="14" t="n">
        <v>1620.06</v>
      </c>
      <c r="F20" s="14" t="n">
        <v>1515.32</v>
      </c>
      <c r="G20" s="15">
        <f>HYPERLINK("https://www.tradingview.com/chart/?symbol=NSE:TECHM","Chart 📈")</f>
        <v/>
      </c>
    </row>
    <row r="21" ht="16" customHeight="1">
      <c r="A21" s="16" t="inlineStr">
        <is>
          <t>NIFTY IT</t>
        </is>
      </c>
      <c r="B21" s="13" t="inlineStr">
        <is>
          <t>WIPRO</t>
        </is>
      </c>
      <c r="C21" s="14" t="n">
        <v>198.31</v>
      </c>
      <c r="D21" s="14" t="n">
        <v>180.63</v>
      </c>
      <c r="E21" s="14" t="n">
        <v>176.38</v>
      </c>
      <c r="F21" s="14" t="n">
        <v>190.55</v>
      </c>
      <c r="G21" s="15">
        <f>HYPERLINK("https://www.tradingview.com/chart/?symbol=NSE:WIPRO","Chart 📈")</f>
        <v/>
      </c>
    </row>
    <row r="22" ht="16" customHeight="1">
      <c r="A22" s="8" t="inlineStr">
        <is>
          <t>NIFTY MIDSMALL IT &amp; TELECOM</t>
        </is>
      </c>
      <c r="B22" s="17" t="inlineStr">
        <is>
          <t>BSOFT</t>
        </is>
      </c>
      <c r="C22" s="18" t="n">
        <v>323</v>
      </c>
      <c r="D22" s="18" t="n">
        <v>304.92</v>
      </c>
      <c r="E22" s="18" t="n">
        <v>297.89</v>
      </c>
      <c r="F22" s="18" t="n">
        <v>322.94</v>
      </c>
      <c r="G22" s="19">
        <f>HYPERLINK("https://www.tradingview.com/chart/?symbol=NSE:BSOFT","Chart 📈")</f>
        <v/>
      </c>
    </row>
    <row r="23" ht="16" customHeight="1">
      <c r="A23" s="20" t="inlineStr">
        <is>
          <t>NIFTY MIDSMALL IT &amp; TELECOM</t>
        </is>
      </c>
      <c r="B23" s="17" t="inlineStr">
        <is>
          <t>COFORGE</t>
        </is>
      </c>
      <c r="C23" s="18" t="n">
        <v>2045</v>
      </c>
      <c r="D23" s="18" t="n">
        <v>1925.07</v>
      </c>
      <c r="E23" s="18" t="n">
        <v>1855.3</v>
      </c>
      <c r="F23" s="18" t="n">
        <v>1671.83</v>
      </c>
      <c r="G23" s="19">
        <f>HYPERLINK("https://www.tradingview.com/chart/?symbol=NSE:COFORGE","Chart 📈")</f>
        <v/>
      </c>
    </row>
    <row r="24" ht="16" customHeight="1">
      <c r="A24" s="20" t="inlineStr">
        <is>
          <t>NIFTY MIDSMALL IT &amp; TELECOM</t>
        </is>
      </c>
      <c r="B24" s="17" t="inlineStr">
        <is>
          <t>LTTS</t>
        </is>
      </c>
      <c r="C24" s="18" t="n">
        <v>4280.2</v>
      </c>
      <c r="D24" s="18" t="n">
        <v>3780.86</v>
      </c>
      <c r="E24" s="18" t="n">
        <v>3574.54</v>
      </c>
      <c r="F24" s="18" t="n">
        <v>3561.11</v>
      </c>
      <c r="G24" s="19">
        <f>HYPERLINK("https://www.tradingview.com/chart/?symbol=NSE:LTTS","Chart 📈")</f>
        <v/>
      </c>
    </row>
    <row r="25" ht="16" customHeight="1">
      <c r="A25" s="20" t="inlineStr">
        <is>
          <t>NIFTY MIDSMALL IT &amp; TELECOM</t>
        </is>
      </c>
      <c r="B25" s="17" t="inlineStr">
        <is>
          <t>MPHASIS</t>
        </is>
      </c>
      <c r="C25" s="18" t="n">
        <v>2525.6</v>
      </c>
      <c r="D25" s="18" t="n">
        <v>2464.75</v>
      </c>
      <c r="E25" s="18" t="n">
        <v>2404.78</v>
      </c>
      <c r="F25" s="18" t="n">
        <v>2404.96</v>
      </c>
      <c r="G25" s="19">
        <f>HYPERLINK("https://www.tradingview.com/chart/?symbol=NSE:MPHASIS","Chart 📈")</f>
        <v/>
      </c>
    </row>
    <row r="26" ht="16" customHeight="1">
      <c r="A26" s="20" t="inlineStr">
        <is>
          <t>NIFTY MIDSMALL IT &amp; TELECOM</t>
        </is>
      </c>
      <c r="B26" s="17" t="inlineStr">
        <is>
          <t>PERSISTENT</t>
        </is>
      </c>
      <c r="C26" s="18" t="n">
        <v>6048</v>
      </c>
      <c r="D26" s="18" t="n">
        <v>5755.28</v>
      </c>
      <c r="E26" s="18" t="n">
        <v>5603.73</v>
      </c>
      <c r="F26" s="18" t="n">
        <v>5456.73</v>
      </c>
      <c r="G26" s="19">
        <f>HYPERLINK("https://www.tradingview.com/chart/?symbol=NSE:PERSISTENT","Chart 📈")</f>
        <v/>
      </c>
    </row>
    <row r="27" ht="16" customHeight="1">
      <c r="A27" s="20" t="inlineStr">
        <is>
          <t>NIFTY MIDSMALL IT &amp; TELECOM</t>
        </is>
      </c>
      <c r="B27" s="17" t="inlineStr">
        <is>
          <t>TANLA</t>
        </is>
      </c>
      <c r="C27" s="18" t="n">
        <v>627.15</v>
      </c>
      <c r="D27" s="18" t="n">
        <v>559.77</v>
      </c>
      <c r="E27" s="18" t="n">
        <v>542.53</v>
      </c>
      <c r="F27" s="18" t="n">
        <v>536.16</v>
      </c>
      <c r="G27" s="19">
        <f>HYPERLINK("https://www.tradingview.com/chart/?symbol=NSE:TANLA","Chart 📈")</f>
        <v/>
      </c>
    </row>
    <row r="28" ht="16" customHeight="1">
      <c r="A28" s="20" t="inlineStr">
        <is>
          <t>NIFTY MIDSMALL IT &amp; TELECOM</t>
        </is>
      </c>
      <c r="B28" s="17" t="inlineStr">
        <is>
          <t>ZENSARTECH</t>
        </is>
      </c>
      <c r="C28" s="18" t="n">
        <v>535.5</v>
      </c>
      <c r="D28" s="18" t="n">
        <v>492.06</v>
      </c>
      <c r="E28" s="18" t="n">
        <v>477.2</v>
      </c>
      <c r="F28" s="18" t="n">
        <v>526.95</v>
      </c>
      <c r="G28" s="19">
        <f>HYPERLINK("https://www.tradingview.com/chart/?symbol=NSE:ZENSARTECH","Chart 📈")</f>
        <v/>
      </c>
    </row>
    <row r="29" ht="16" customHeight="1">
      <c r="A29" s="12" t="inlineStr">
        <is>
          <t>NIFTY PSU BANK</t>
        </is>
      </c>
      <c r="B29" s="13" t="inlineStr">
        <is>
          <t>INDIANB</t>
        </is>
      </c>
      <c r="C29" s="14" t="n">
        <v>865.5</v>
      </c>
      <c r="D29" s="14" t="n">
        <v>843.14</v>
      </c>
      <c r="E29" s="14" t="n">
        <v>843.76</v>
      </c>
      <c r="F29" s="14" t="n">
        <v>847.03</v>
      </c>
      <c r="G29" s="15">
        <f>HYPERLINK("https://www.tradingview.com/chart/?symbol=NSE:INDIANB","Chart 📈")</f>
        <v/>
      </c>
    </row>
    <row r="30" ht="16" customHeight="1">
      <c r="A30" s="16" t="inlineStr">
        <is>
          <t>NIFTY PSU BANK</t>
        </is>
      </c>
      <c r="B30" s="13" t="inlineStr">
        <is>
          <t>MAHABANK</t>
        </is>
      </c>
      <c r="C30" s="14" t="n">
        <v>81.36</v>
      </c>
      <c r="D30" s="14" t="n">
        <v>80.40000000000001</v>
      </c>
      <c r="E30" s="14" t="n">
        <v>81.14</v>
      </c>
      <c r="F30" s="14" t="n">
        <v>76.28</v>
      </c>
      <c r="G30" s="15">
        <f>HYPERLINK("https://www.tradingview.com/chart/?symbol=NSE:MAHABANK","Chart 📈")</f>
        <v/>
      </c>
    </row>
    <row r="31" ht="16" customHeight="1">
      <c r="A31" s="16" t="inlineStr">
        <is>
          <t>NIFTY PSU BANK</t>
        </is>
      </c>
      <c r="B31" s="13" t="inlineStr">
        <is>
          <t>PNB</t>
        </is>
      </c>
      <c r="C31" s="14" t="n">
        <v>122.85</v>
      </c>
      <c r="D31" s="14" t="n">
        <v>119.27</v>
      </c>
      <c r="E31" s="14" t="n">
        <v>116.79</v>
      </c>
      <c r="F31" s="14" t="n">
        <v>113.67</v>
      </c>
      <c r="G31" s="15">
        <f>HYPERLINK("https://www.tradingview.com/chart/?symbol=NSE:PNB","Chart 📈")</f>
        <v/>
      </c>
    </row>
    <row r="32" ht="16" customHeight="1">
      <c r="A32" s="16" t="inlineStr">
        <is>
          <t>NIFTY PSU BANK</t>
        </is>
      </c>
      <c r="B32" s="13" t="inlineStr">
        <is>
          <t>UNIONBANK</t>
        </is>
      </c>
      <c r="C32" s="14" t="n">
        <v>186</v>
      </c>
      <c r="D32" s="14" t="n">
        <v>179.4</v>
      </c>
      <c r="E32" s="14" t="n">
        <v>177.87</v>
      </c>
      <c r="F32" s="14" t="n">
        <v>170.32</v>
      </c>
      <c r="G32" s="15">
        <f>HYPERLINK("https://www.tradingview.com/chart/?symbol=NSE:UNIONBANK","Chart 📈")</f>
        <v/>
      </c>
    </row>
    <row r="33" ht="16" customHeight="1">
      <c r="A33" s="8" t="inlineStr">
        <is>
          <t>NIFTY REALTY</t>
        </is>
      </c>
      <c r="B33" s="17" t="inlineStr">
        <is>
          <t>DLF</t>
        </is>
      </c>
      <c r="C33" s="18" t="n">
        <v>691.55</v>
      </c>
      <c r="D33" s="18" t="n">
        <v>669.01</v>
      </c>
      <c r="E33" s="18" t="n">
        <v>662.73</v>
      </c>
      <c r="F33" s="18" t="n">
        <v>651.76</v>
      </c>
      <c r="G33" s="19">
        <f>HYPERLINK("https://www.tradingview.com/chart/?symbol=NSE:DLF","Chart 📈")</f>
        <v/>
      </c>
    </row>
    <row r="34" ht="16" customHeight="1">
      <c r="A34" s="20" t="inlineStr">
        <is>
          <t>NIFTY REALTY</t>
        </is>
      </c>
      <c r="B34" s="17" t="inlineStr">
        <is>
          <t>PHOENIXLTD</t>
        </is>
      </c>
      <c r="C34" s="18" t="n">
        <v>1957.2</v>
      </c>
      <c r="D34" s="18" t="n">
        <v>1905.42</v>
      </c>
      <c r="E34" s="18" t="n">
        <v>1906.6</v>
      </c>
      <c r="F34" s="18" t="n">
        <v>1850.5</v>
      </c>
      <c r="G34" s="19">
        <f>HYPERLINK("https://www.tradingview.com/chart/?symbol=NSE:PHOENIXLTD","Chart 📈")</f>
        <v/>
      </c>
    </row>
    <row r="35" ht="16" customHeight="1">
      <c r="A35" s="12" t="inlineStr">
        <is>
          <t>NIFTY AUTO</t>
        </is>
      </c>
      <c r="B35" s="13" t="inlineStr">
        <is>
          <t>BOSCHLTD</t>
        </is>
      </c>
      <c r="C35" s="14" t="n">
        <v>47200</v>
      </c>
      <c r="D35" s="14" t="n">
        <v>45813.87</v>
      </c>
      <c r="E35" s="14" t="n">
        <v>45597.58</v>
      </c>
      <c r="F35" s="14" t="n">
        <v>41502.22</v>
      </c>
      <c r="G35" s="15">
        <f>HYPERLINK("https://www.tradingview.com/chart/?symbol=NSE:BOSCHLTD","Chart 📈")</f>
        <v/>
      </c>
    </row>
    <row r="36" ht="16" customHeight="1">
      <c r="A36" s="16" t="inlineStr">
        <is>
          <t>NIFTY AUTO</t>
        </is>
      </c>
      <c r="B36" s="13" t="inlineStr">
        <is>
          <t>TVSMOTOR</t>
        </is>
      </c>
      <c r="C36" s="14" t="n">
        <v>4195.2</v>
      </c>
      <c r="D36" s="14" t="n">
        <v>4081.74</v>
      </c>
      <c r="E36" s="14" t="n">
        <v>4071.36</v>
      </c>
      <c r="F36" s="14" t="n">
        <v>3851.93</v>
      </c>
      <c r="G36" s="15">
        <f>HYPERLINK("https://www.tradingview.com/chart/?symbol=NSE:TVSMOTOR","Chart 📈")</f>
        <v/>
      </c>
    </row>
    <row r="37" ht="16" customHeight="1">
      <c r="A37" s="8" t="inlineStr">
        <is>
          <t>NIFTY METAL</t>
        </is>
      </c>
      <c r="B37" s="17" t="inlineStr">
        <is>
          <t>APLAPOLLO</t>
        </is>
      </c>
      <c r="C37" s="18" t="n">
        <v>2165.1</v>
      </c>
      <c r="D37" s="18" t="n">
        <v>2140.48</v>
      </c>
      <c r="E37" s="18" t="n">
        <v>2116.25</v>
      </c>
      <c r="F37" s="18" t="n">
        <v>1995.9</v>
      </c>
      <c r="G37" s="19">
        <f>HYPERLINK("https://www.tradingview.com/chart/?symbol=NSE:APLAPOLLO","Chart 📈")</f>
        <v/>
      </c>
    </row>
    <row r="38" ht="16" customHeight="1">
      <c r="A38" s="12" t="inlineStr">
        <is>
          <t>NIFTY FINANCIAL SERVICES</t>
        </is>
      </c>
      <c r="B38" s="13" t="inlineStr">
        <is>
          <t>ICICIBANK</t>
        </is>
      </c>
      <c r="C38" s="14" t="n">
        <v>1398</v>
      </c>
      <c r="D38" s="14" t="n">
        <v>1376.54</v>
      </c>
      <c r="E38" s="14" t="n">
        <v>1374.98</v>
      </c>
      <c r="F38" s="14" t="n">
        <v>1359.09</v>
      </c>
      <c r="G38" s="15">
        <f>HYPERLINK("https://www.tradingview.com/chart/?symbol=NSE:ICICIBANK","Chart 📈")</f>
        <v/>
      </c>
    </row>
    <row r="39" ht="16" customHeight="1">
      <c r="A39" s="16" t="inlineStr">
        <is>
          <t>NIFTY FINANCIAL SERVICES</t>
        </is>
      </c>
      <c r="B39" s="13" t="inlineStr">
        <is>
          <t>KOTAKBANK</t>
        </is>
      </c>
      <c r="C39" s="14" t="n">
        <v>461.6</v>
      </c>
      <c r="D39" s="14" t="n">
        <v>438.93</v>
      </c>
      <c r="E39" s="14" t="n">
        <v>425.21</v>
      </c>
      <c r="F39" s="14" t="n">
        <v>408.74</v>
      </c>
      <c r="G39" s="15">
        <f>HYPERLINK("https://www.tradingview.com/chart/?symbol=NSE:KOTAKBANK","Chart 📈")</f>
        <v/>
      </c>
    </row>
    <row r="40" ht="16" customHeight="1">
      <c r="A40" s="8" t="inlineStr">
        <is>
          <t>NIFTY ENERGY</t>
        </is>
      </c>
      <c r="B40" s="17" t="inlineStr">
        <is>
          <t>ADANIGREEN</t>
        </is>
      </c>
      <c r="C40" s="18" t="n">
        <v>1298.7</v>
      </c>
      <c r="D40" s="18" t="n">
        <v>1279.04</v>
      </c>
      <c r="E40" s="18" t="n">
        <v>1298.29</v>
      </c>
      <c r="F40" s="18" t="n">
        <v>1262.4</v>
      </c>
      <c r="G40" s="19">
        <f>HYPERLINK("https://www.tradingview.com/chart/?symbol=NSE:ADANIGREEN","Chart 📈")</f>
        <v/>
      </c>
    </row>
    <row r="41" ht="16" customHeight="1">
      <c r="A41" s="20" t="inlineStr">
        <is>
          <t>NIFTY ENERGY</t>
        </is>
      </c>
      <c r="B41" s="17" t="inlineStr">
        <is>
          <t>NHPC</t>
        </is>
      </c>
      <c r="C41" s="18" t="n">
        <v>77.73999999999999</v>
      </c>
      <c r="D41" s="18" t="n">
        <v>73.7</v>
      </c>
      <c r="E41" s="18" t="n">
        <v>74.56999999999999</v>
      </c>
      <c r="F41" s="18" t="n">
        <v>77.04000000000001</v>
      </c>
      <c r="G41" s="19">
        <f>HYPERLINK("https://www.tradingview.com/chart/?symbol=NSE:NHPC","Chart 📈")</f>
        <v/>
      </c>
    </row>
    <row r="42" ht="16" customHeight="1">
      <c r="A42" s="12" t="inlineStr">
        <is>
          <t>NIFTY BANK</t>
        </is>
      </c>
      <c r="B42" s="13" t="inlineStr">
        <is>
          <t>FEDERALBNK</t>
        </is>
      </c>
      <c r="C42" s="14" t="n">
        <v>339.7</v>
      </c>
      <c r="D42" s="14" t="n">
        <v>338.65</v>
      </c>
      <c r="E42" s="14" t="n">
        <v>337.29</v>
      </c>
      <c r="F42" s="14" t="n">
        <v>312.78</v>
      </c>
      <c r="G42" s="15">
        <f>HYPERLINK("https://www.tradingview.com/chart/?symbol=NSE:FEDERALBNK","Chart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2026-10-30T17:07:04Z</dcterms:created>
  <dcterms:modified xmlns:dcterms="http://purl.org/dc/terms/" xmlns:xsi="http://www.w3.org/2001/XMLSchema-instance" xsi:type="dcterms:W3CDTF">2026-10-30T17:07:04Z</dcterms:modified>
</cp:coreProperties>
</file>