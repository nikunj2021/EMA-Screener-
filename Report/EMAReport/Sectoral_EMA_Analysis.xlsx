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09-Jun-2026  05:55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12</v>
      </c>
      <c r="D4" s="5" t="n">
        <v>13</v>
      </c>
      <c r="E4" s="5" t="n">
        <v>17</v>
      </c>
      <c r="F4" s="6" t="n">
        <v>0.6</v>
      </c>
      <c r="G4" s="6" t="n">
        <v>0.65</v>
      </c>
      <c r="H4" s="6" t="n">
        <v>0.85</v>
      </c>
      <c r="I4" s="7" t="n">
        <v>0.7</v>
      </c>
    </row>
    <row r="5" ht="17" customHeight="1">
      <c r="A5" s="8" t="inlineStr">
        <is>
          <t>NIFTY PSU BANK</t>
        </is>
      </c>
      <c r="B5" s="9" t="n">
        <v>12</v>
      </c>
      <c r="C5" s="9" t="n">
        <v>10</v>
      </c>
      <c r="D5" s="9" t="n">
        <v>5</v>
      </c>
      <c r="E5" s="9" t="n">
        <v>7</v>
      </c>
      <c r="F5" s="10" t="n">
        <v>0.833</v>
      </c>
      <c r="G5" s="10" t="n">
        <v>0.417</v>
      </c>
      <c r="H5" s="10" t="n">
        <v>0.583</v>
      </c>
      <c r="I5" s="11" t="n">
        <v>0.611</v>
      </c>
    </row>
    <row r="6" ht="17" customHeight="1">
      <c r="A6" s="4" t="inlineStr">
        <is>
          <t>NIFTY MEDIA</t>
        </is>
      </c>
      <c r="B6" s="5" t="n">
        <v>10</v>
      </c>
      <c r="C6" s="5" t="n">
        <v>5</v>
      </c>
      <c r="D6" s="5" t="n">
        <v>5</v>
      </c>
      <c r="E6" s="5" t="n">
        <v>4</v>
      </c>
      <c r="F6" s="6" t="n">
        <v>0.5</v>
      </c>
      <c r="G6" s="6" t="n">
        <v>0.5</v>
      </c>
      <c r="H6" s="6" t="n">
        <v>0.4</v>
      </c>
      <c r="I6" s="7" t="n">
        <v>0.4667</v>
      </c>
    </row>
    <row r="7" ht="17" customHeight="1">
      <c r="A7" s="8" t="inlineStr">
        <is>
          <t>NIFTY METAL</t>
        </is>
      </c>
      <c r="B7" s="9" t="n">
        <v>15</v>
      </c>
      <c r="C7" s="9" t="n">
        <v>2</v>
      </c>
      <c r="D7" s="9" t="n">
        <v>6</v>
      </c>
      <c r="E7" s="9" t="n">
        <v>12</v>
      </c>
      <c r="F7" s="10" t="n">
        <v>0.133</v>
      </c>
      <c r="G7" s="10" t="n">
        <v>0.4</v>
      </c>
      <c r="H7" s="10" t="n">
        <v>0.8</v>
      </c>
      <c r="I7" s="11" t="n">
        <v>0.4443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8</v>
      </c>
      <c r="D8" s="5" t="n">
        <v>11</v>
      </c>
      <c r="E8" s="5" t="n">
        <v>7</v>
      </c>
      <c r="F8" s="6" t="n">
        <v>0.4</v>
      </c>
      <c r="G8" s="6" t="n">
        <v>0.55</v>
      </c>
      <c r="H8" s="6" t="n">
        <v>0.35</v>
      </c>
      <c r="I8" s="7" t="n">
        <v>0.4333</v>
      </c>
    </row>
    <row r="9" ht="17" customHeight="1">
      <c r="A9" s="8" t="inlineStr">
        <is>
          <t>NIFTY AUTO</t>
        </is>
      </c>
      <c r="B9" s="9" t="n">
        <v>15</v>
      </c>
      <c r="C9" s="9" t="n">
        <v>7</v>
      </c>
      <c r="D9" s="9" t="n">
        <v>6</v>
      </c>
      <c r="E9" s="9" t="n">
        <v>6</v>
      </c>
      <c r="F9" s="10" t="n">
        <v>0.467</v>
      </c>
      <c r="G9" s="10" t="n">
        <v>0.4</v>
      </c>
      <c r="H9" s="10" t="n">
        <v>0.4</v>
      </c>
      <c r="I9" s="11" t="n">
        <v>0.4223</v>
      </c>
    </row>
    <row r="10" ht="17" customHeight="1">
      <c r="A10" s="4" t="inlineStr">
        <is>
          <t>NIFTY ENERGY</t>
        </is>
      </c>
      <c r="B10" s="5" t="n">
        <v>40</v>
      </c>
      <c r="C10" s="5" t="n">
        <v>9</v>
      </c>
      <c r="D10" s="5" t="n">
        <v>14</v>
      </c>
      <c r="E10" s="5" t="n">
        <v>20</v>
      </c>
      <c r="F10" s="6" t="n">
        <v>0.225</v>
      </c>
      <c r="G10" s="6" t="n">
        <v>0.35</v>
      </c>
      <c r="H10" s="6" t="n">
        <v>0.5</v>
      </c>
      <c r="I10" s="7" t="n">
        <v>0.3583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5</v>
      </c>
      <c r="D11" s="9" t="n">
        <v>6</v>
      </c>
      <c r="E11" s="9" t="n">
        <v>5</v>
      </c>
      <c r="F11" s="10" t="n">
        <v>0.333</v>
      </c>
      <c r="G11" s="10" t="n">
        <v>0.4</v>
      </c>
      <c r="H11" s="10" t="n">
        <v>0.333</v>
      </c>
      <c r="I11" s="11" t="n">
        <v>0.3553</v>
      </c>
    </row>
    <row r="12" ht="17" customHeight="1">
      <c r="A12" s="4" t="inlineStr">
        <is>
          <t>NIFTY FMCG</t>
        </is>
      </c>
      <c r="B12" s="5" t="n">
        <v>15</v>
      </c>
      <c r="C12" s="5" t="n">
        <v>3</v>
      </c>
      <c r="D12" s="5" t="n">
        <v>5</v>
      </c>
      <c r="E12" s="5" t="n">
        <v>5</v>
      </c>
      <c r="F12" s="6" t="n">
        <v>0.2</v>
      </c>
      <c r="G12" s="6" t="n">
        <v>0.333</v>
      </c>
      <c r="H12" s="6" t="n">
        <v>0.333</v>
      </c>
      <c r="I12" s="7" t="n">
        <v>0.2887</v>
      </c>
    </row>
    <row r="13" ht="17" customHeight="1">
      <c r="A13" s="8" t="inlineStr">
        <is>
          <t>NIFTY BANK</t>
        </is>
      </c>
      <c r="B13" s="9" t="n">
        <v>12</v>
      </c>
      <c r="C13" s="9" t="n">
        <v>2</v>
      </c>
      <c r="D13" s="9" t="n">
        <v>3</v>
      </c>
      <c r="E13" s="9" t="n">
        <v>4</v>
      </c>
      <c r="F13" s="10" t="n">
        <v>0.167</v>
      </c>
      <c r="G13" s="10" t="n">
        <v>0.25</v>
      </c>
      <c r="H13" s="10" t="n">
        <v>0.333</v>
      </c>
      <c r="I13" s="11" t="n">
        <v>0.25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4</v>
      </c>
      <c r="D14" s="5" t="n">
        <v>3</v>
      </c>
      <c r="E14" s="5" t="n">
        <v>4</v>
      </c>
      <c r="F14" s="6" t="n">
        <v>0.267</v>
      </c>
      <c r="G14" s="6" t="n">
        <v>0.2</v>
      </c>
      <c r="H14" s="6" t="n">
        <v>0.267</v>
      </c>
      <c r="I14" s="7" t="n">
        <v>0.2447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6</v>
      </c>
      <c r="D15" s="9" t="n">
        <v>3</v>
      </c>
      <c r="E15" s="9" t="n">
        <v>4</v>
      </c>
      <c r="F15" s="10" t="n">
        <v>0.3</v>
      </c>
      <c r="G15" s="10" t="n">
        <v>0.15</v>
      </c>
      <c r="H15" s="10" t="n">
        <v>0.2</v>
      </c>
      <c r="I15" s="11" t="n">
        <v>0.2167</v>
      </c>
    </row>
    <row r="16" ht="17" customHeight="1">
      <c r="A16" s="4" t="inlineStr">
        <is>
          <t>NIFTY REALTY</t>
        </is>
      </c>
      <c r="B16" s="5" t="n">
        <v>10</v>
      </c>
      <c r="C16" s="5" t="n">
        <v>1</v>
      </c>
      <c r="D16" s="5" t="n">
        <v>2</v>
      </c>
      <c r="E16" s="5" t="n">
        <v>2</v>
      </c>
      <c r="F16" s="6" t="n">
        <v>0.1</v>
      </c>
      <c r="G16" s="6" t="n">
        <v>0.2</v>
      </c>
      <c r="H16" s="6" t="n">
        <v>0.2</v>
      </c>
      <c r="I16" s="7" t="n">
        <v>0.1667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3007.4</v>
      </c>
      <c r="D3" s="14" t="n">
        <v>3003</v>
      </c>
      <c r="E3" s="14" t="n">
        <v>2969.49</v>
      </c>
      <c r="F3" s="14" t="n">
        <v>2800.07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1461</v>
      </c>
      <c r="D4" s="14" t="n">
        <v>1454.42</v>
      </c>
      <c r="E4" s="14" t="n">
        <v>1415.01</v>
      </c>
      <c r="F4" s="14" t="n">
        <v>1274.64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CIPLA</t>
        </is>
      </c>
      <c r="C5" s="14" t="n">
        <v>1388.2</v>
      </c>
      <c r="D5" s="14" t="n">
        <v>1375.29</v>
      </c>
      <c r="E5" s="14" t="n">
        <v>1343.93</v>
      </c>
      <c r="F5" s="14" t="n">
        <v>1385.14</v>
      </c>
      <c r="G5" s="15">
        <f>HYPERLINK("https://www.tradingview.com/chart/?symbol=NSE:CIPLA","Chart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6726.5</v>
      </c>
      <c r="D6" s="14" t="n">
        <v>6656.07</v>
      </c>
      <c r="E6" s="14" t="n">
        <v>6543.35</v>
      </c>
      <c r="F6" s="14" t="n">
        <v>6410.82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2279.2</v>
      </c>
      <c r="D7" s="14" t="n">
        <v>2188.59</v>
      </c>
      <c r="E7" s="14" t="n">
        <v>2023.16</v>
      </c>
      <c r="F7" s="14" t="n">
        <v>1852.39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GRANULES</t>
        </is>
      </c>
      <c r="C8" s="14" t="n">
        <v>772.55</v>
      </c>
      <c r="D8" s="14" t="n">
        <v>763.09</v>
      </c>
      <c r="E8" s="14" t="n">
        <v>718.4299999999999</v>
      </c>
      <c r="F8" s="14" t="n">
        <v>621</v>
      </c>
      <c r="G8" s="15">
        <f>HYPERLINK("https://www.tradingview.com/chart/?symbol=NSE:GRANULES","Chart 📈")</f>
        <v/>
      </c>
    </row>
    <row r="9" ht="16" customHeight="1">
      <c r="A9" s="16" t="inlineStr">
        <is>
          <t>NIFTY PHARMA</t>
        </is>
      </c>
      <c r="B9" s="13" t="inlineStr">
        <is>
          <t>IPCALAB</t>
        </is>
      </c>
      <c r="C9" s="14" t="n">
        <v>1643</v>
      </c>
      <c r="D9" s="14" t="n">
        <v>1583.88</v>
      </c>
      <c r="E9" s="14" t="n">
        <v>1554.7</v>
      </c>
      <c r="F9" s="14" t="n">
        <v>1476.81</v>
      </c>
      <c r="G9" s="15">
        <f>HYPERLINK("https://www.tradingview.com/chart/?symbol=NSE:IPCALAB","Chart 📈")</f>
        <v/>
      </c>
    </row>
    <row r="10" ht="16" customHeight="1">
      <c r="A10" s="16" t="inlineStr">
        <is>
          <t>NIFTY PHARMA</t>
        </is>
      </c>
      <c r="B10" s="13" t="inlineStr">
        <is>
          <t>JBCHEPHARM</t>
        </is>
      </c>
      <c r="C10" s="14" t="n">
        <v>2205</v>
      </c>
      <c r="D10" s="14" t="n">
        <v>2152.26</v>
      </c>
      <c r="E10" s="14" t="n">
        <v>2101.84</v>
      </c>
      <c r="F10" s="14" t="n">
        <v>1926.62</v>
      </c>
      <c r="G10" s="15">
        <f>HYPERLINK("https://www.tradingview.com/chart/?symbol=NSE:JBCHEPHARM","Chart 📈")</f>
        <v/>
      </c>
    </row>
    <row r="11" ht="16" customHeight="1">
      <c r="A11" s="16" t="inlineStr">
        <is>
          <t>NIFTY PHARMA</t>
        </is>
      </c>
      <c r="B11" s="13" t="inlineStr">
        <is>
          <t>LAURUSLABS</t>
        </is>
      </c>
      <c r="C11" s="14" t="n">
        <v>1426.3</v>
      </c>
      <c r="D11" s="14" t="n">
        <v>1357.13</v>
      </c>
      <c r="E11" s="14" t="n">
        <v>1252.01</v>
      </c>
      <c r="F11" s="14" t="n">
        <v>1052.33</v>
      </c>
      <c r="G11" s="15">
        <f>HYPERLINK("https://www.tradingview.com/chart/?symbol=NSE:LAURUSLABS","Chart 📈")</f>
        <v/>
      </c>
    </row>
    <row r="12" ht="16" customHeight="1">
      <c r="A12" s="16" t="inlineStr">
        <is>
          <t>NIFTY PHARMA</t>
        </is>
      </c>
      <c r="B12" s="13" t="inlineStr">
        <is>
          <t>TORNTPHARM</t>
        </is>
      </c>
      <c r="C12" s="14" t="n">
        <v>4469.7</v>
      </c>
      <c r="D12" s="14" t="n">
        <v>4398.43</v>
      </c>
      <c r="E12" s="14" t="n">
        <v>4322.39</v>
      </c>
      <c r="F12" s="14" t="n">
        <v>3984.29</v>
      </c>
      <c r="G12" s="15">
        <f>HYPERLINK("https://www.tradingview.com/chart/?symbol=NSE:TORNTPHARM","Chart 📈")</f>
        <v/>
      </c>
    </row>
    <row r="13" ht="16" customHeight="1">
      <c r="A13" s="16" t="inlineStr">
        <is>
          <t>NIFTY PHARMA</t>
        </is>
      </c>
      <c r="B13" s="13" t="inlineStr">
        <is>
          <t>ZYDUSLIFE</t>
        </is>
      </c>
      <c r="C13" s="14" t="n">
        <v>1108.2</v>
      </c>
      <c r="D13" s="14" t="n">
        <v>1052.79</v>
      </c>
      <c r="E13" s="14" t="n">
        <v>996.21</v>
      </c>
      <c r="F13" s="14" t="n">
        <v>953.23</v>
      </c>
      <c r="G13" s="15">
        <f>HYPERLINK("https://www.tradingview.com/chart/?symbol=NSE:ZYDUSLIFE","Chart 📈")</f>
        <v/>
      </c>
    </row>
    <row r="14" ht="16" customHeight="1">
      <c r="A14" s="8" t="inlineStr">
        <is>
          <t>NIFTY PSU BANK</t>
        </is>
      </c>
      <c r="B14" s="17" t="inlineStr">
        <is>
          <t>BANKBARODA</t>
        </is>
      </c>
      <c r="C14" s="18" t="n">
        <v>266.7</v>
      </c>
      <c r="D14" s="18" t="n">
        <v>260.34</v>
      </c>
      <c r="E14" s="18" t="n">
        <v>262.83</v>
      </c>
      <c r="F14" s="18" t="n">
        <v>265.04</v>
      </c>
      <c r="G14" s="19">
        <f>HYPERLINK("https://www.tradingview.com/chart/?symbol=NSE:BANKBARODA","Chart 📈")</f>
        <v/>
      </c>
    </row>
    <row r="15" ht="16" customHeight="1">
      <c r="A15" s="20" t="inlineStr">
        <is>
          <t>NIFTY PSU BANK</t>
        </is>
      </c>
      <c r="B15" s="17" t="inlineStr">
        <is>
          <t>BANKINDIA</t>
        </is>
      </c>
      <c r="C15" s="18" t="n">
        <v>143.53</v>
      </c>
      <c r="D15" s="18" t="n">
        <v>139.47</v>
      </c>
      <c r="E15" s="18" t="n">
        <v>140.73</v>
      </c>
      <c r="F15" s="18" t="n">
        <v>138.34</v>
      </c>
      <c r="G15" s="19">
        <f>HYPERLINK("https://www.tradingview.com/chart/?symbol=NSE:BANKINDIA","Chart 📈")</f>
        <v/>
      </c>
    </row>
    <row r="16" ht="16" customHeight="1">
      <c r="A16" s="20" t="inlineStr">
        <is>
          <t>NIFTY PSU BANK</t>
        </is>
      </c>
      <c r="B16" s="17" t="inlineStr">
        <is>
          <t>CANBK</t>
        </is>
      </c>
      <c r="C16" s="18" t="n">
        <v>134.86</v>
      </c>
      <c r="D16" s="18" t="n">
        <v>132.29</v>
      </c>
      <c r="E16" s="18" t="n">
        <v>134.51</v>
      </c>
      <c r="F16" s="18" t="n">
        <v>134.8</v>
      </c>
      <c r="G16" s="19">
        <f>HYPERLINK("https://www.tradingview.com/chart/?symbol=NSE:CANBK","Chart 📈")</f>
        <v/>
      </c>
    </row>
    <row r="17" ht="16" customHeight="1">
      <c r="A17" s="20" t="inlineStr">
        <is>
          <t>NIFTY PSU BANK</t>
        </is>
      </c>
      <c r="B17" s="17" t="inlineStr">
        <is>
          <t>INDIANB</t>
        </is>
      </c>
      <c r="C17" s="18" t="n">
        <v>858.25</v>
      </c>
      <c r="D17" s="18" t="n">
        <v>840.02</v>
      </c>
      <c r="E17" s="18" t="n">
        <v>857.02</v>
      </c>
      <c r="F17" s="18" t="n">
        <v>826.4299999999999</v>
      </c>
      <c r="G17" s="19">
        <f>HYPERLINK("https://www.tradingview.com/chart/?symbol=NSE:INDIANB","Chart 📈")</f>
        <v/>
      </c>
    </row>
    <row r="18" ht="16" customHeight="1">
      <c r="A18" s="20" t="inlineStr">
        <is>
          <t>NIFTY PSU BANK</t>
        </is>
      </c>
      <c r="B18" s="17" t="inlineStr">
        <is>
          <t>MAHABANK</t>
        </is>
      </c>
      <c r="C18" s="18" t="n">
        <v>82.65000000000001</v>
      </c>
      <c r="D18" s="18" t="n">
        <v>78.68000000000001</v>
      </c>
      <c r="E18" s="18" t="n">
        <v>75.76000000000001</v>
      </c>
      <c r="F18" s="18" t="n">
        <v>66.11</v>
      </c>
      <c r="G18" s="19">
        <f>HYPERLINK("https://www.tradingview.com/chart/?symbol=NSE:MAHABANK","Chart 📈")</f>
        <v/>
      </c>
    </row>
    <row r="19" ht="16" customHeight="1">
      <c r="A19" s="12" t="inlineStr">
        <is>
          <t>NIFTY MEDIA</t>
        </is>
      </c>
      <c r="B19" s="13" t="inlineStr">
        <is>
          <t>NAZARA</t>
        </is>
      </c>
      <c r="C19" s="14" t="n">
        <v>277.75</v>
      </c>
      <c r="D19" s="14" t="n">
        <v>276.58</v>
      </c>
      <c r="E19" s="14" t="n">
        <v>271.32</v>
      </c>
      <c r="F19" s="14" t="n">
        <v>273.2</v>
      </c>
      <c r="G19" s="15">
        <f>HYPERLINK("https://www.tradingview.com/chart/?symbol=NSE:NAZARA","Chart 📈")</f>
        <v/>
      </c>
    </row>
    <row r="20" ht="16" customHeight="1">
      <c r="A20" s="16" t="inlineStr">
        <is>
          <t>NIFTY MEDIA</t>
        </is>
      </c>
      <c r="B20" s="13" t="inlineStr">
        <is>
          <t>SAREGAMA</t>
        </is>
      </c>
      <c r="C20" s="14" t="n">
        <v>454.45</v>
      </c>
      <c r="D20" s="14" t="n">
        <v>424.26</v>
      </c>
      <c r="E20" s="14" t="n">
        <v>389.23</v>
      </c>
      <c r="F20" s="14" t="n">
        <v>397.1</v>
      </c>
      <c r="G20" s="15">
        <f>HYPERLINK("https://www.tradingview.com/chart/?symbol=NSE:SAREGAMA","Chart 📈")</f>
        <v/>
      </c>
    </row>
    <row r="21" ht="16" customHeight="1">
      <c r="A21" s="16" t="inlineStr">
        <is>
          <t>NIFTY MEDIA</t>
        </is>
      </c>
      <c r="B21" s="13" t="inlineStr">
        <is>
          <t>TIPSMUSIC</t>
        </is>
      </c>
      <c r="C21" s="14" t="n">
        <v>668.7</v>
      </c>
      <c r="D21" s="14" t="n">
        <v>659.02</v>
      </c>
      <c r="E21" s="14" t="n">
        <v>628.4</v>
      </c>
      <c r="F21" s="14" t="n">
        <v>587.49</v>
      </c>
      <c r="G21" s="15">
        <f>HYPERLINK("https://www.tradingview.com/chart/?symbol=NSE:TIPSMUSIC","Chart 📈")</f>
        <v/>
      </c>
    </row>
    <row r="22" ht="16" customHeight="1">
      <c r="A22" s="16" t="inlineStr">
        <is>
          <t>NIFTY MEDIA</t>
        </is>
      </c>
      <c r="B22" s="13" t="inlineStr">
        <is>
          <t>ZEEL</t>
        </is>
      </c>
      <c r="C22" s="14" t="n">
        <v>107.5</v>
      </c>
      <c r="D22" s="14" t="n">
        <v>95.91</v>
      </c>
      <c r="E22" s="14" t="n">
        <v>90.56</v>
      </c>
      <c r="F22" s="14" t="n">
        <v>95.68000000000001</v>
      </c>
      <c r="G22" s="15">
        <f>HYPERLINK("https://www.tradingview.com/chart/?symbol=NSE:ZEEL","Chart 📈")</f>
        <v/>
      </c>
    </row>
    <row r="23" ht="16" customHeight="1">
      <c r="A23" s="8" t="inlineStr">
        <is>
          <t>NIFTY METAL</t>
        </is>
      </c>
      <c r="B23" s="17" t="inlineStr">
        <is>
          <t>ADANIENT</t>
        </is>
      </c>
      <c r="C23" s="18" t="n">
        <v>2960.4</v>
      </c>
      <c r="D23" s="18" t="n">
        <v>2835.29</v>
      </c>
      <c r="E23" s="18" t="n">
        <v>2584.78</v>
      </c>
      <c r="F23" s="18" t="n">
        <v>2380.52</v>
      </c>
      <c r="G23" s="19">
        <f>HYPERLINK("https://www.tradingview.com/chart/?symbol=NSE:ADANIENT","Chart 📈")</f>
        <v/>
      </c>
    </row>
    <row r="24" ht="16" customHeight="1">
      <c r="A24" s="20" t="inlineStr">
        <is>
          <t>NIFTY METAL</t>
        </is>
      </c>
      <c r="B24" s="17" t="inlineStr">
        <is>
          <t>WELCORP</t>
        </is>
      </c>
      <c r="C24" s="18" t="n">
        <v>1395.6</v>
      </c>
      <c r="D24" s="18" t="n">
        <v>1342.43</v>
      </c>
      <c r="E24" s="18" t="n">
        <v>1218.96</v>
      </c>
      <c r="F24" s="18" t="n">
        <v>994.73</v>
      </c>
      <c r="G24" s="19">
        <f>HYPERLINK("https://www.tradingview.com/chart/?symbol=NSE:WELCORP","Chart 📈")</f>
        <v/>
      </c>
    </row>
    <row r="25" ht="16" customHeight="1">
      <c r="A25" s="12" t="inlineStr">
        <is>
          <t>NIFTY MIDSMALL IT &amp; TELECOM</t>
        </is>
      </c>
      <c r="B25" s="13" t="inlineStr">
        <is>
          <t>HFCL</t>
        </is>
      </c>
      <c r="C25" s="14" t="n">
        <v>179.37</v>
      </c>
      <c r="D25" s="14" t="n">
        <v>167.64</v>
      </c>
      <c r="E25" s="14" t="n">
        <v>137.72</v>
      </c>
      <c r="F25" s="14" t="n">
        <v>97.16</v>
      </c>
      <c r="G25" s="15">
        <f>HYPERLINK("https://www.tradingview.com/chart/?symbol=NSE:HFCL","Chart 📈")</f>
        <v/>
      </c>
    </row>
    <row r="26" ht="16" customHeight="1">
      <c r="A26" s="16" t="inlineStr">
        <is>
          <t>NIFTY MIDSMALL IT &amp; TELECOM</t>
        </is>
      </c>
      <c r="B26" s="13" t="inlineStr">
        <is>
          <t>IDEA</t>
        </is>
      </c>
      <c r="C26" s="14" t="n">
        <v>14.4</v>
      </c>
      <c r="D26" s="14" t="n">
        <v>13.72</v>
      </c>
      <c r="E26" s="14" t="n">
        <v>12.3</v>
      </c>
      <c r="F26" s="14" t="n">
        <v>10.35</v>
      </c>
      <c r="G26" s="15">
        <f>HYPERLINK("https://www.tradingview.com/chart/?symbol=NSE:IDEA","Chart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TATACOMM</t>
        </is>
      </c>
      <c r="C27" s="14" t="n">
        <v>1985.1</v>
      </c>
      <c r="D27" s="14" t="n">
        <v>1868.21</v>
      </c>
      <c r="E27" s="14" t="n">
        <v>1735.3</v>
      </c>
      <c r="F27" s="14" t="n">
        <v>1682.1</v>
      </c>
      <c r="G27" s="15">
        <f>HYPERLINK("https://www.tradingview.com/chart/?symbol=NSE:TATACOMM","Chart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TATATECH</t>
        </is>
      </c>
      <c r="C28" s="14" t="n">
        <v>749.9</v>
      </c>
      <c r="D28" s="14" t="n">
        <v>704.92</v>
      </c>
      <c r="E28" s="14" t="n">
        <v>653.63</v>
      </c>
      <c r="F28" s="14" t="n">
        <v>649.2</v>
      </c>
      <c r="G28" s="15">
        <f>HYPERLINK("https://www.tradingview.com/chart/?symbol=NSE:TATATECH","Chart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TEJASNET</t>
        </is>
      </c>
      <c r="C29" s="14" t="n">
        <v>529.25</v>
      </c>
      <c r="D29" s="14" t="n">
        <v>513.27</v>
      </c>
      <c r="E29" s="14" t="n">
        <v>474.49</v>
      </c>
      <c r="F29" s="14" t="n">
        <v>488.47</v>
      </c>
      <c r="G29" s="15">
        <f>HYPERLINK("https://www.tradingview.com/chart/?symbol=NSE:TEJASNET","Chart 📈")</f>
        <v/>
      </c>
    </row>
    <row r="30" ht="16" customHeight="1">
      <c r="A30" s="8" t="inlineStr">
        <is>
          <t>NIFTY AUTO</t>
        </is>
      </c>
      <c r="B30" s="17" t="inlineStr">
        <is>
          <t>BAJAJ-AUTO</t>
        </is>
      </c>
      <c r="C30" s="18" t="n">
        <v>10325</v>
      </c>
      <c r="D30" s="18" t="n">
        <v>10287.16</v>
      </c>
      <c r="E30" s="18" t="n">
        <v>10004.76</v>
      </c>
      <c r="F30" s="18" t="n">
        <v>9344.35</v>
      </c>
      <c r="G30" s="19">
        <f>HYPERLINK("https://www.tradingview.com/chart/?symbol=NSE:BAJAJ-AUTO","Chart 📈")</f>
        <v/>
      </c>
    </row>
    <row r="31" ht="16" customHeight="1">
      <c r="A31" s="20" t="inlineStr">
        <is>
          <t>NIFTY AUTO</t>
        </is>
      </c>
      <c r="B31" s="17" t="inlineStr">
        <is>
          <t>BHARATFORG</t>
        </is>
      </c>
      <c r="C31" s="18" t="n">
        <v>1935.5</v>
      </c>
      <c r="D31" s="18" t="n">
        <v>1917.41</v>
      </c>
      <c r="E31" s="18" t="n">
        <v>1869.77</v>
      </c>
      <c r="F31" s="18" t="n">
        <v>1627.01</v>
      </c>
      <c r="G31" s="19">
        <f>HYPERLINK("https://www.tradingview.com/chart/?symbol=NSE:BHARATFORG","Chart 📈")</f>
        <v/>
      </c>
    </row>
    <row r="32" ht="16" customHeight="1">
      <c r="A32" s="20" t="inlineStr">
        <is>
          <t>NIFTY AUTO</t>
        </is>
      </c>
      <c r="B32" s="17" t="inlineStr">
        <is>
          <t>BOSCHLTD</t>
        </is>
      </c>
      <c r="C32" s="18" t="n">
        <v>37680</v>
      </c>
      <c r="D32" s="18" t="n">
        <v>36796.01</v>
      </c>
      <c r="E32" s="18" t="n">
        <v>36212.13</v>
      </c>
      <c r="F32" s="18" t="n">
        <v>35727.54</v>
      </c>
      <c r="G32" s="19">
        <f>HYPERLINK("https://www.tradingview.com/chart/?symbol=NSE:BOSCHLTD","Chart 📈")</f>
        <v/>
      </c>
    </row>
    <row r="33" ht="16" customHeight="1">
      <c r="A33" s="20" t="inlineStr">
        <is>
          <t>NIFTY AUTO</t>
        </is>
      </c>
      <c r="B33" s="17" t="inlineStr">
        <is>
          <t>EXIDEIND</t>
        </is>
      </c>
      <c r="C33" s="18" t="n">
        <v>390.25</v>
      </c>
      <c r="D33" s="18" t="n">
        <v>377.51</v>
      </c>
      <c r="E33" s="18" t="n">
        <v>358.4</v>
      </c>
      <c r="F33" s="18" t="n">
        <v>358.14</v>
      </c>
      <c r="G33" s="19">
        <f>HYPERLINK("https://www.tradingview.com/chart/?symbol=NSE:EXIDEIND","Chart 📈")</f>
        <v/>
      </c>
    </row>
    <row r="34" ht="16" customHeight="1">
      <c r="A34" s="20" t="inlineStr">
        <is>
          <t>NIFTY AUTO</t>
        </is>
      </c>
      <c r="B34" s="17" t="inlineStr">
        <is>
          <t>MOTHERSON</t>
        </is>
      </c>
      <c r="C34" s="18" t="n">
        <v>142.12</v>
      </c>
      <c r="D34" s="18" t="n">
        <v>138.16</v>
      </c>
      <c r="E34" s="18" t="n">
        <v>131.15</v>
      </c>
      <c r="F34" s="18" t="n">
        <v>119.25</v>
      </c>
      <c r="G34" s="19">
        <f>HYPERLINK("https://www.tradingview.com/chart/?symbol=NSE:MOTHERSON","Chart 📈")</f>
        <v/>
      </c>
    </row>
    <row r="35" ht="16" customHeight="1">
      <c r="A35" s="12" t="inlineStr">
        <is>
          <t>NIFTY ENERGY</t>
        </is>
      </c>
      <c r="B35" s="13" t="inlineStr">
        <is>
          <t>ABB</t>
        </is>
      </c>
      <c r="C35" s="14" t="n">
        <v>7005.5</v>
      </c>
      <c r="D35" s="14" t="n">
        <v>6966.21</v>
      </c>
      <c r="E35" s="14" t="n">
        <v>6765.3</v>
      </c>
      <c r="F35" s="14" t="n">
        <v>6080.85</v>
      </c>
      <c r="G35" s="15">
        <f>HYPERLINK("https://www.tradingview.com/chart/?symbol=NSE:ABB","Chart 📈")</f>
        <v/>
      </c>
    </row>
    <row r="36" ht="16" customHeight="1">
      <c r="A36" s="16" t="inlineStr">
        <is>
          <t>NIFTY ENERGY</t>
        </is>
      </c>
      <c r="B36" s="13" t="inlineStr">
        <is>
          <t>ADANIENSOL</t>
        </is>
      </c>
      <c r="C36" s="14" t="n">
        <v>1566.6</v>
      </c>
      <c r="D36" s="14" t="n">
        <v>1468.11</v>
      </c>
      <c r="E36" s="14" t="n">
        <v>1343.22</v>
      </c>
      <c r="F36" s="14" t="n">
        <v>1101.43</v>
      </c>
      <c r="G36" s="15">
        <f>HYPERLINK("https://www.tradingview.com/chart/?symbol=NSE:ADANIENSOL","Chart 📈")</f>
        <v/>
      </c>
    </row>
    <row r="37" ht="16" customHeight="1">
      <c r="A37" s="16" t="inlineStr">
        <is>
          <t>NIFTY ENERGY</t>
        </is>
      </c>
      <c r="B37" s="13" t="inlineStr">
        <is>
          <t>ADANIGREEN</t>
        </is>
      </c>
      <c r="C37" s="14" t="n">
        <v>1491.4</v>
      </c>
      <c r="D37" s="14" t="n">
        <v>1421.81</v>
      </c>
      <c r="E37" s="14" t="n">
        <v>1291.13</v>
      </c>
      <c r="F37" s="14" t="n">
        <v>1097.24</v>
      </c>
      <c r="G37" s="15">
        <f>HYPERLINK("https://www.tradingview.com/chart/?symbol=NSE:ADANIGREEN","Chart 📈")</f>
        <v/>
      </c>
    </row>
    <row r="38" ht="16" customHeight="1">
      <c r="A38" s="16" t="inlineStr">
        <is>
          <t>NIFTY ENERGY</t>
        </is>
      </c>
      <c r="B38" s="13" t="inlineStr">
        <is>
          <t>CGPOWER</t>
        </is>
      </c>
      <c r="C38" s="14" t="n">
        <v>910.95</v>
      </c>
      <c r="D38" s="14" t="n">
        <v>888.51</v>
      </c>
      <c r="E38" s="14" t="n">
        <v>833.22</v>
      </c>
      <c r="F38" s="14" t="n">
        <v>741.55</v>
      </c>
      <c r="G38" s="15">
        <f>HYPERLINK("https://www.tradingview.com/chart/?symbol=NSE:CGPOWER","Chart 📈")</f>
        <v/>
      </c>
    </row>
    <row r="39" ht="16" customHeight="1">
      <c r="A39" s="16" t="inlineStr">
        <is>
          <t>NIFTY ENERGY</t>
        </is>
      </c>
      <c r="B39" s="13" t="inlineStr">
        <is>
          <t>GVT&amp;D</t>
        </is>
      </c>
      <c r="C39" s="14" t="n">
        <v>4901.5</v>
      </c>
      <c r="D39" s="14" t="n">
        <v>4798.7</v>
      </c>
      <c r="E39" s="14" t="n">
        <v>4481.57</v>
      </c>
      <c r="F39" s="14" t="n">
        <v>3611.88</v>
      </c>
      <c r="G39" s="15">
        <f>HYPERLINK("https://www.tradingview.com/chart/?symbol=NSE:GVT&amp;D","Chart 📈")</f>
        <v/>
      </c>
    </row>
    <row r="40" ht="16" customHeight="1">
      <c r="A40" s="16" t="inlineStr">
        <is>
          <t>NIFTY ENERGY</t>
        </is>
      </c>
      <c r="B40" s="13" t="inlineStr">
        <is>
          <t>JSWENERGY</t>
        </is>
      </c>
      <c r="C40" s="14" t="n">
        <v>570.5</v>
      </c>
      <c r="D40" s="14" t="n">
        <v>568.1799999999999</v>
      </c>
      <c r="E40" s="14" t="n">
        <v>547.3200000000001</v>
      </c>
      <c r="F40" s="14" t="n">
        <v>519.54</v>
      </c>
      <c r="G40" s="15">
        <f>HYPERLINK("https://www.tradingview.com/chart/?symbol=NSE:JSWENERGY","Chart 📈")</f>
        <v/>
      </c>
    </row>
    <row r="41" ht="16" customHeight="1">
      <c r="A41" s="16" t="inlineStr">
        <is>
          <t>NIFTY ENERGY</t>
        </is>
      </c>
      <c r="B41" s="13" t="inlineStr">
        <is>
          <t>SUZLON</t>
        </is>
      </c>
      <c r="C41" s="14" t="n">
        <v>54.65</v>
      </c>
      <c r="D41" s="14" t="n">
        <v>54.52</v>
      </c>
      <c r="E41" s="14" t="n">
        <v>52.39</v>
      </c>
      <c r="F41" s="14" t="n">
        <v>52.91</v>
      </c>
      <c r="G41" s="15">
        <f>HYPERLINK("https://www.tradingview.com/chart/?symbol=NSE:SUZLON","Chart 📈")</f>
        <v/>
      </c>
    </row>
    <row r="42" ht="16" customHeight="1">
      <c r="A42" s="16" t="inlineStr">
        <is>
          <t>NIFTY ENERGY</t>
        </is>
      </c>
      <c r="B42" s="13" t="inlineStr">
        <is>
          <t>THERMAX</t>
        </is>
      </c>
      <c r="C42" s="14" t="n">
        <v>4731</v>
      </c>
      <c r="D42" s="14" t="n">
        <v>4633.62</v>
      </c>
      <c r="E42" s="14" t="n">
        <v>4255.98</v>
      </c>
      <c r="F42" s="14" t="n">
        <v>3603.34</v>
      </c>
      <c r="G42" s="15">
        <f>HYPERLINK("https://www.tradingview.com/chart/?symbol=NSE:THERMAX","Chart 📈")</f>
        <v/>
      </c>
    </row>
    <row r="43" ht="16" customHeight="1">
      <c r="A43" s="16" t="inlineStr">
        <is>
          <t>NIFTY ENERGY</t>
        </is>
      </c>
      <c r="B43" s="13" t="inlineStr">
        <is>
          <t>TRITURBINE</t>
        </is>
      </c>
      <c r="C43" s="14" t="n">
        <v>666.5</v>
      </c>
      <c r="D43" s="14" t="n">
        <v>663.1</v>
      </c>
      <c r="E43" s="14" t="n">
        <v>606.96</v>
      </c>
      <c r="F43" s="14" t="n">
        <v>552.8099999999999</v>
      </c>
      <c r="G43" s="15">
        <f>HYPERLINK("https://www.tradingview.com/chart/?symbol=NSE:TRITURBINE","Chart 📈")</f>
        <v/>
      </c>
    </row>
    <row r="44" ht="16" customHeight="1">
      <c r="A44" s="8" t="inlineStr">
        <is>
          <t>NIFTY OIL &amp; GAS</t>
        </is>
      </c>
      <c r="B44" s="17" t="inlineStr">
        <is>
          <t>AEGISLOG</t>
        </is>
      </c>
      <c r="C44" s="18" t="n">
        <v>770.7</v>
      </c>
      <c r="D44" s="18" t="n">
        <v>736.3</v>
      </c>
      <c r="E44" s="18" t="n">
        <v>709.4</v>
      </c>
      <c r="F44" s="18" t="n">
        <v>716.37</v>
      </c>
      <c r="G44" s="19">
        <f>HYPERLINK("https://www.tradingview.com/chart/?symbol=NSE:AEGISLOG","Chart 📈")</f>
        <v/>
      </c>
    </row>
    <row r="45" ht="16" customHeight="1">
      <c r="A45" s="20" t="inlineStr">
        <is>
          <t>NIFTY OIL &amp; GAS</t>
        </is>
      </c>
      <c r="B45" s="17" t="inlineStr">
        <is>
          <t>ATGL</t>
        </is>
      </c>
      <c r="C45" s="18" t="n">
        <v>739.3</v>
      </c>
      <c r="D45" s="18" t="n">
        <v>707.55</v>
      </c>
      <c r="E45" s="18" t="n">
        <v>653.5700000000001</v>
      </c>
      <c r="F45" s="18" t="n">
        <v>611.41</v>
      </c>
      <c r="G45" s="19">
        <f>HYPERLINK("https://www.tradingview.com/chart/?symbol=NSE:ATGL","Chart 📈")</f>
        <v/>
      </c>
    </row>
    <row r="46" ht="16" customHeight="1">
      <c r="A46" s="20" t="inlineStr">
        <is>
          <t>NIFTY OIL &amp; GAS</t>
        </is>
      </c>
      <c r="B46" s="17" t="inlineStr">
        <is>
          <t>GAIL</t>
        </is>
      </c>
      <c r="C46" s="18" t="n">
        <v>167</v>
      </c>
      <c r="D46" s="18" t="n">
        <v>164.81</v>
      </c>
      <c r="E46" s="18" t="n">
        <v>161.93</v>
      </c>
      <c r="F46" s="18" t="n">
        <v>165.08</v>
      </c>
      <c r="G46" s="19">
        <f>HYPERLINK("https://www.tradingview.com/chart/?symbol=NSE:GAIL","Chart 📈")</f>
        <v/>
      </c>
    </row>
    <row r="47" ht="16" customHeight="1">
      <c r="A47" s="12" t="inlineStr">
        <is>
          <t>NIFTY FMCG</t>
        </is>
      </c>
      <c r="B47" s="13" t="inlineStr">
        <is>
          <t>BALRAMCHIN</t>
        </is>
      </c>
      <c r="C47" s="14" t="n">
        <v>532.75</v>
      </c>
      <c r="D47" s="14" t="n">
        <v>532.1</v>
      </c>
      <c r="E47" s="14" t="n">
        <v>518.59</v>
      </c>
      <c r="F47" s="14" t="n">
        <v>503.67</v>
      </c>
      <c r="G47" s="15">
        <f>HYPERLINK("https://www.tradingview.com/chart/?symbol=NSE:BALRAMCHIN","Chart 📈")</f>
        <v/>
      </c>
    </row>
    <row r="48" ht="16" customHeight="1">
      <c r="A48" s="16" t="inlineStr">
        <is>
          <t>NIFTY FMCG</t>
        </is>
      </c>
      <c r="B48" s="13" t="inlineStr">
        <is>
          <t>RADICO</t>
        </is>
      </c>
      <c r="C48" s="14" t="n">
        <v>3489.7</v>
      </c>
      <c r="D48" s="14" t="n">
        <v>3470.53</v>
      </c>
      <c r="E48" s="14" t="n">
        <v>3314.2</v>
      </c>
      <c r="F48" s="14" t="n">
        <v>3047.05</v>
      </c>
      <c r="G48" s="15">
        <f>HYPERLINK("https://www.tradingview.com/chart/?symbol=NSE:RADICO","Chart 📈")</f>
        <v/>
      </c>
    </row>
    <row r="49" ht="16" customHeight="1">
      <c r="A49" s="16" t="inlineStr">
        <is>
          <t>NIFTY FMCG</t>
        </is>
      </c>
      <c r="B49" s="13" t="inlineStr">
        <is>
          <t>VBL</t>
        </is>
      </c>
      <c r="C49" s="14" t="n">
        <v>525.5</v>
      </c>
      <c r="D49" s="14" t="n">
        <v>521.12</v>
      </c>
      <c r="E49" s="14" t="n">
        <v>498.93</v>
      </c>
      <c r="F49" s="14" t="n">
        <v>475.12</v>
      </c>
      <c r="G49" s="15">
        <f>HYPERLINK("https://www.tradingview.com/chart/?symbol=NSE:VBL","Chart 📈")</f>
        <v/>
      </c>
    </row>
    <row r="50" ht="16" customHeight="1">
      <c r="A50" s="8" t="inlineStr">
        <is>
          <t>NIFTY BANK</t>
        </is>
      </c>
      <c r="B50" s="17" t="inlineStr">
        <is>
          <t>FEDERALBNK</t>
        </is>
      </c>
      <c r="C50" s="18" t="n">
        <v>310.8</v>
      </c>
      <c r="D50" s="18" t="n">
        <v>294.73</v>
      </c>
      <c r="E50" s="18" t="n">
        <v>288.92</v>
      </c>
      <c r="F50" s="18" t="n">
        <v>263.61</v>
      </c>
      <c r="G50" s="19">
        <f>HYPERLINK("https://www.tradingview.com/chart/?symbol=NSE:FEDERALBNK","Chart 📈")</f>
        <v/>
      </c>
    </row>
    <row r="51" ht="16" customHeight="1">
      <c r="A51" s="20" t="inlineStr">
        <is>
          <t>NIFTY BANK</t>
        </is>
      </c>
      <c r="B51" s="17" t="inlineStr">
        <is>
          <t>IDFCFIRSTB</t>
        </is>
      </c>
      <c r="C51" s="18" t="n">
        <v>73.47</v>
      </c>
      <c r="D51" s="18" t="n">
        <v>70.73999999999999</v>
      </c>
      <c r="E51" s="18" t="n">
        <v>69.98</v>
      </c>
      <c r="F51" s="18" t="n">
        <v>72.90000000000001</v>
      </c>
      <c r="G51" s="19">
        <f>HYPERLINK("https://www.tradingview.com/chart/?symbol=NSE:IDFCFIRSTB","Chart 📈")</f>
        <v/>
      </c>
    </row>
    <row r="52" ht="16" customHeight="1">
      <c r="A52" s="12" t="inlineStr">
        <is>
          <t>NIFTY CONSUMER DURABLES</t>
        </is>
      </c>
      <c r="B52" s="13" t="inlineStr">
        <is>
          <t>AMBER</t>
        </is>
      </c>
      <c r="C52" s="14" t="n">
        <v>7706.5</v>
      </c>
      <c r="D52" s="14" t="n">
        <v>7674.94</v>
      </c>
      <c r="E52" s="14" t="n">
        <v>7606.84</v>
      </c>
      <c r="F52" s="14" t="n">
        <v>7298.12</v>
      </c>
      <c r="G52" s="15">
        <f>HYPERLINK("https://www.tradingview.com/chart/?symbol=NSE:AMBER","Chart 📈")</f>
        <v/>
      </c>
    </row>
    <row r="53" ht="16" customHeight="1">
      <c r="A53" s="16" t="inlineStr">
        <is>
          <t>NIFTY CONSUMER DURABLES</t>
        </is>
      </c>
      <c r="B53" s="13" t="inlineStr">
        <is>
          <t>CERA</t>
        </is>
      </c>
      <c r="C53" s="14" t="n">
        <v>5635.5</v>
      </c>
      <c r="D53" s="14" t="n">
        <v>5599.29</v>
      </c>
      <c r="E53" s="14" t="n">
        <v>5454.8</v>
      </c>
      <c r="F53" s="14" t="n">
        <v>5580.42</v>
      </c>
      <c r="G53" s="15">
        <f>HYPERLINK("https://www.tradingview.com/chart/?symbol=NSE:CERA","Chart 📈")</f>
        <v/>
      </c>
    </row>
    <row r="54" ht="16" customHeight="1">
      <c r="A54" s="8" t="inlineStr">
        <is>
          <t>NIFTY FINANCIAL SERVICES</t>
        </is>
      </c>
      <c r="B54" s="17" t="inlineStr">
        <is>
          <t>PFC</t>
        </is>
      </c>
      <c r="C54" s="18" t="n">
        <v>434.5</v>
      </c>
      <c r="D54" s="18" t="n">
        <v>432.16</v>
      </c>
      <c r="E54" s="18" t="n">
        <v>431.81</v>
      </c>
      <c r="F54" s="18" t="n">
        <v>408.22</v>
      </c>
      <c r="G54" s="19">
        <f>HYPERLINK("https://www.tradingview.com/chart/?symbol=NSE:PFC","Chart 📈")</f>
        <v/>
      </c>
    </row>
    <row r="55" ht="16" customHeight="1">
      <c r="A55" s="12" t="inlineStr">
        <is>
          <t>NIFTY REALTY</t>
        </is>
      </c>
      <c r="B55" s="13" t="inlineStr">
        <is>
          <t>RAYMOND</t>
        </is>
      </c>
      <c r="C55" s="14" t="n">
        <v>518.15</v>
      </c>
      <c r="D55" s="14" t="n">
        <v>514.29</v>
      </c>
      <c r="E55" s="14" t="n">
        <v>479.98</v>
      </c>
      <c r="F55" s="14" t="n">
        <v>484</v>
      </c>
      <c r="G55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2026-06-09T05:55:57Z</dcterms:created>
  <dcterms:modified xsi:type="dcterms:W3CDTF">2026-06-09T05:55:57Z</dcterms:modified>
</cp:coreProperties>
</file>