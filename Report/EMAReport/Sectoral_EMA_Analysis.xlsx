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29-Jul-2026  13:11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15</v>
      </c>
      <c r="D4" s="5" t="n">
        <v>18</v>
      </c>
      <c r="E4" s="5" t="n">
        <v>18</v>
      </c>
      <c r="F4" s="6" t="n">
        <v>0.75</v>
      </c>
      <c r="G4" s="6" t="n">
        <v>0.9</v>
      </c>
      <c r="H4" s="6" t="n">
        <v>0.9</v>
      </c>
      <c r="I4" s="7" t="n">
        <v>0.85</v>
      </c>
    </row>
    <row r="5" ht="17" customHeight="1">
      <c r="A5" s="8" t="inlineStr">
        <is>
          <t>NIFTY AUTO</t>
        </is>
      </c>
      <c r="B5" s="9" t="n">
        <v>15</v>
      </c>
      <c r="C5" s="9" t="n">
        <v>11</v>
      </c>
      <c r="D5" s="9" t="n">
        <v>13</v>
      </c>
      <c r="E5" s="9" t="n">
        <v>10</v>
      </c>
      <c r="F5" s="10" t="n">
        <v>0.733</v>
      </c>
      <c r="G5" s="10" t="n">
        <v>0.867</v>
      </c>
      <c r="H5" s="10" t="n">
        <v>0.667</v>
      </c>
      <c r="I5" s="11" t="n">
        <v>0.7556999999999999</v>
      </c>
    </row>
    <row r="6" ht="17" customHeight="1">
      <c r="A6" s="4" t="inlineStr">
        <is>
          <t>NIFTY REALTY</t>
        </is>
      </c>
      <c r="B6" s="5" t="n">
        <v>10</v>
      </c>
      <c r="C6" s="5" t="n">
        <v>6</v>
      </c>
      <c r="D6" s="5" t="n">
        <v>8</v>
      </c>
      <c r="E6" s="5" t="n">
        <v>8</v>
      </c>
      <c r="F6" s="6" t="n">
        <v>0.6</v>
      </c>
      <c r="G6" s="6" t="n">
        <v>0.8</v>
      </c>
      <c r="H6" s="6" t="n">
        <v>0.8</v>
      </c>
      <c r="I6" s="7" t="n">
        <v>0.7333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14</v>
      </c>
      <c r="D7" s="9" t="n">
        <v>12</v>
      </c>
      <c r="E7" s="9" t="n">
        <v>11</v>
      </c>
      <c r="F7" s="10" t="n">
        <v>0.7</v>
      </c>
      <c r="G7" s="10" t="n">
        <v>0.6</v>
      </c>
      <c r="H7" s="10" t="n">
        <v>0.55</v>
      </c>
      <c r="I7" s="11" t="n">
        <v>0.6167</v>
      </c>
    </row>
    <row r="8" ht="17" customHeight="1">
      <c r="A8" s="4" t="inlineStr">
        <is>
          <t>NIFTY FMCG</t>
        </is>
      </c>
      <c r="B8" s="5" t="n">
        <v>15</v>
      </c>
      <c r="C8" s="5" t="n">
        <v>11</v>
      </c>
      <c r="D8" s="5" t="n">
        <v>10</v>
      </c>
      <c r="E8" s="5" t="n">
        <v>6</v>
      </c>
      <c r="F8" s="6" t="n">
        <v>0.733</v>
      </c>
      <c r="G8" s="6" t="n">
        <v>0.667</v>
      </c>
      <c r="H8" s="6" t="n">
        <v>0.4</v>
      </c>
      <c r="I8" s="7" t="n">
        <v>0.6</v>
      </c>
    </row>
    <row r="9" ht="17" customHeight="1">
      <c r="A9" s="8" t="inlineStr">
        <is>
          <t>NIFTY CONSUMER DURABLES</t>
        </is>
      </c>
      <c r="B9" s="9" t="n">
        <v>15</v>
      </c>
      <c r="C9" s="9" t="n">
        <v>10</v>
      </c>
      <c r="D9" s="9" t="n">
        <v>10</v>
      </c>
      <c r="E9" s="9" t="n">
        <v>6</v>
      </c>
      <c r="F9" s="10" t="n">
        <v>0.667</v>
      </c>
      <c r="G9" s="10" t="n">
        <v>0.667</v>
      </c>
      <c r="H9" s="10" t="n">
        <v>0.4</v>
      </c>
      <c r="I9" s="11" t="n">
        <v>0.578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12</v>
      </c>
      <c r="D10" s="5" t="n">
        <v>12</v>
      </c>
      <c r="E10" s="5" t="n">
        <v>10</v>
      </c>
      <c r="F10" s="6" t="n">
        <v>0.6</v>
      </c>
      <c r="G10" s="6" t="n">
        <v>0.6</v>
      </c>
      <c r="H10" s="6" t="n">
        <v>0.5</v>
      </c>
      <c r="I10" s="7" t="n">
        <v>0.5667</v>
      </c>
    </row>
    <row r="11" ht="17" customHeight="1">
      <c r="A11" s="8" t="inlineStr">
        <is>
          <t>NIFTY METAL</t>
        </is>
      </c>
      <c r="B11" s="9" t="n">
        <v>15</v>
      </c>
      <c r="C11" s="9" t="n">
        <v>10</v>
      </c>
      <c r="D11" s="9" t="n">
        <v>6</v>
      </c>
      <c r="E11" s="9" t="n">
        <v>9</v>
      </c>
      <c r="F11" s="10" t="n">
        <v>0.667</v>
      </c>
      <c r="G11" s="10" t="n">
        <v>0.4</v>
      </c>
      <c r="H11" s="10" t="n">
        <v>0.6</v>
      </c>
      <c r="I11" s="11" t="n">
        <v>0.5557</v>
      </c>
    </row>
    <row r="12" ht="17" customHeight="1">
      <c r="A12" s="4" t="inlineStr">
        <is>
          <t>NIFTY MEDIA</t>
        </is>
      </c>
      <c r="B12" s="5" t="n">
        <v>10</v>
      </c>
      <c r="C12" s="5" t="n">
        <v>6</v>
      </c>
      <c r="D12" s="5" t="n">
        <v>5</v>
      </c>
      <c r="E12" s="5" t="n">
        <v>5</v>
      </c>
      <c r="F12" s="6" t="n">
        <v>0.6</v>
      </c>
      <c r="G12" s="6" t="n">
        <v>0.5</v>
      </c>
      <c r="H12" s="6" t="n">
        <v>0.5</v>
      </c>
      <c r="I12" s="7" t="n">
        <v>0.5333</v>
      </c>
    </row>
    <row r="13" ht="17" customHeight="1">
      <c r="A13" s="8" t="inlineStr">
        <is>
          <t>NIFTY IT</t>
        </is>
      </c>
      <c r="B13" s="9" t="n">
        <v>10</v>
      </c>
      <c r="C13" s="9" t="n">
        <v>5</v>
      </c>
      <c r="D13" s="9" t="n">
        <v>5</v>
      </c>
      <c r="E13" s="9" t="n">
        <v>2</v>
      </c>
      <c r="F13" s="10" t="n">
        <v>0.5</v>
      </c>
      <c r="G13" s="10" t="n">
        <v>0.5</v>
      </c>
      <c r="H13" s="10" t="n">
        <v>0.2</v>
      </c>
      <c r="I13" s="11" t="n">
        <v>0.4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6</v>
      </c>
      <c r="D14" s="5" t="n">
        <v>6</v>
      </c>
      <c r="E14" s="5" t="n">
        <v>5</v>
      </c>
      <c r="F14" s="6" t="n">
        <v>0.4</v>
      </c>
      <c r="G14" s="6" t="n">
        <v>0.4</v>
      </c>
      <c r="H14" s="6" t="n">
        <v>0.333</v>
      </c>
      <c r="I14" s="7" t="n">
        <v>0.3777</v>
      </c>
    </row>
    <row r="15" ht="17" customHeight="1">
      <c r="A15" s="8" t="inlineStr">
        <is>
          <t>NIFTY BANK</t>
        </is>
      </c>
      <c r="B15" s="9" t="n">
        <v>12</v>
      </c>
      <c r="C15" s="9" t="n">
        <v>4</v>
      </c>
      <c r="D15" s="9" t="n">
        <v>4</v>
      </c>
      <c r="E15" s="9" t="n">
        <v>4</v>
      </c>
      <c r="F15" s="10" t="n">
        <v>0.333</v>
      </c>
      <c r="G15" s="10" t="n">
        <v>0.333</v>
      </c>
      <c r="H15" s="10" t="n">
        <v>0.333</v>
      </c>
      <c r="I15" s="11" t="n">
        <v>0.333</v>
      </c>
    </row>
    <row r="16" ht="17" customHeight="1">
      <c r="A16" s="4" t="inlineStr">
        <is>
          <t>NIFTY PSU BANK</t>
        </is>
      </c>
      <c r="B16" s="5" t="n">
        <v>12</v>
      </c>
      <c r="C16" s="5" t="n">
        <v>3</v>
      </c>
      <c r="D16" s="5" t="n">
        <v>3</v>
      </c>
      <c r="E16" s="5" t="n">
        <v>5</v>
      </c>
      <c r="F16" s="6" t="n">
        <v>0.25</v>
      </c>
      <c r="G16" s="6" t="n">
        <v>0.25</v>
      </c>
      <c r="H16" s="6" t="n">
        <v>0.417</v>
      </c>
      <c r="I16" s="7" t="n">
        <v>0.3057</v>
      </c>
    </row>
    <row r="17" ht="17" customHeight="1">
      <c r="A17" s="8" t="inlineStr">
        <is>
          <t>NIFTY ENERGY</t>
        </is>
      </c>
      <c r="B17" s="9" t="n">
        <v>40</v>
      </c>
      <c r="C17" s="9" t="n">
        <v>4</v>
      </c>
      <c r="D17" s="9" t="n">
        <v>4</v>
      </c>
      <c r="E17" s="9" t="n">
        <v>15</v>
      </c>
      <c r="F17" s="10" t="n">
        <v>0.1</v>
      </c>
      <c r="G17" s="10" t="n">
        <v>0.1</v>
      </c>
      <c r="H17" s="10" t="n">
        <v>0.375</v>
      </c>
      <c r="I17" s="11" t="n">
        <v>0.1917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27745</v>
      </c>
      <c r="D3" s="14" t="n">
        <v>27156.87</v>
      </c>
      <c r="E3" s="14" t="n">
        <v>26506.59</v>
      </c>
      <c r="F3" s="14" t="n">
        <v>27294.58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AJANTPHARM</t>
        </is>
      </c>
      <c r="C4" s="14" t="n">
        <v>3396.5</v>
      </c>
      <c r="D4" s="14" t="n">
        <v>3375.51</v>
      </c>
      <c r="E4" s="14" t="n">
        <v>3255.13</v>
      </c>
      <c r="F4" s="14" t="n">
        <v>2971.83</v>
      </c>
      <c r="G4" s="15">
        <f>HYPERLINK("https://www.tradingview.com/chart/?symbol=NSE:AJANTPHARM","Chart 📈")</f>
        <v/>
      </c>
    </row>
    <row r="5" ht="16" customHeight="1">
      <c r="A5" s="16" t="inlineStr">
        <is>
          <t>NIFTY PHARMA</t>
        </is>
      </c>
      <c r="B5" s="13" t="inlineStr">
        <is>
          <t>ALKEM</t>
        </is>
      </c>
      <c r="C5" s="14" t="n">
        <v>5672.5</v>
      </c>
      <c r="D5" s="14" t="n">
        <v>5602.23</v>
      </c>
      <c r="E5" s="14" t="n">
        <v>5531.13</v>
      </c>
      <c r="F5" s="14" t="n">
        <v>5451.68</v>
      </c>
      <c r="G5" s="15">
        <f>HYPERLINK("https://www.tradingview.com/chart/?symbol=NSE:ALKEM","Chart 📈")</f>
        <v/>
      </c>
    </row>
    <row r="6" ht="16" customHeight="1">
      <c r="A6" s="16" t="inlineStr">
        <is>
          <t>NIFTY PHARMA</t>
        </is>
      </c>
      <c r="B6" s="13" t="inlineStr">
        <is>
          <t>AUROPHARMA</t>
        </is>
      </c>
      <c r="C6" s="14" t="n">
        <v>1590.7</v>
      </c>
      <c r="D6" s="14" t="n">
        <v>1548.93</v>
      </c>
      <c r="E6" s="14" t="n">
        <v>1512.62</v>
      </c>
      <c r="F6" s="14" t="n">
        <v>1353.58</v>
      </c>
      <c r="G6" s="15">
        <f>HYPERLINK("https://www.tradingview.com/chart/?symbol=NSE:AUROPHARMA","Chart 📈")</f>
        <v/>
      </c>
    </row>
    <row r="7" ht="16" customHeight="1">
      <c r="A7" s="16" t="inlineStr">
        <is>
          <t>NIFTY PHARMA</t>
        </is>
      </c>
      <c r="B7" s="13" t="inlineStr">
        <is>
          <t>BIOCON</t>
        </is>
      </c>
      <c r="C7" s="14" t="n">
        <v>431.1</v>
      </c>
      <c r="D7" s="14" t="n">
        <v>429.03</v>
      </c>
      <c r="E7" s="14" t="n">
        <v>419.09</v>
      </c>
      <c r="F7" s="14" t="n">
        <v>396.68</v>
      </c>
      <c r="G7" s="15">
        <f>HYPERLINK("https://www.tradingview.com/chart/?symbol=NSE:BIOCON","Chart 📈")</f>
        <v/>
      </c>
    </row>
    <row r="8" ht="16" customHeight="1">
      <c r="A8" s="16" t="inlineStr">
        <is>
          <t>NIFTY PHARMA</t>
        </is>
      </c>
      <c r="B8" s="13" t="inlineStr">
        <is>
          <t>CIPLA</t>
        </is>
      </c>
      <c r="C8" s="14" t="n">
        <v>1474.3</v>
      </c>
      <c r="D8" s="14" t="n">
        <v>1429.99</v>
      </c>
      <c r="E8" s="14" t="n">
        <v>1408.2</v>
      </c>
      <c r="F8" s="14" t="n">
        <v>1403.68</v>
      </c>
      <c r="G8" s="15">
        <f>HYPERLINK("https://www.tradingview.com/chart/?symbol=NSE:CIPLA","Chart 📈")</f>
        <v/>
      </c>
    </row>
    <row r="9" ht="16" customHeight="1">
      <c r="A9" s="16" t="inlineStr">
        <is>
          <t>NIFTY PHARMA</t>
        </is>
      </c>
      <c r="B9" s="13" t="inlineStr">
        <is>
          <t>DIVISLAB</t>
        </is>
      </c>
      <c r="C9" s="14" t="n">
        <v>7784.5</v>
      </c>
      <c r="D9" s="14" t="n">
        <v>7177.9</v>
      </c>
      <c r="E9" s="14" t="n">
        <v>6906.19</v>
      </c>
      <c r="F9" s="14" t="n">
        <v>6554.81</v>
      </c>
      <c r="G9" s="15">
        <f>HYPERLINK("https://www.tradingview.com/chart/?symbol=NSE:DIVISLAB","Chart 📈")</f>
        <v/>
      </c>
    </row>
    <row r="10" ht="16" customHeight="1">
      <c r="A10" s="16" t="inlineStr">
        <is>
          <t>NIFTY PHARMA</t>
        </is>
      </c>
      <c r="B10" s="13" t="inlineStr">
        <is>
          <t>GLAND</t>
        </is>
      </c>
      <c r="C10" s="14" t="n">
        <v>2543.7</v>
      </c>
      <c r="D10" s="14" t="n">
        <v>2435.75</v>
      </c>
      <c r="E10" s="14" t="n">
        <v>2323.63</v>
      </c>
      <c r="F10" s="14" t="n">
        <v>2048.45</v>
      </c>
      <c r="G10" s="15">
        <f>HYPERLINK("https://www.tradingview.com/chart/?symbol=NSE:GLAND","Chart 📈")</f>
        <v/>
      </c>
    </row>
    <row r="11" ht="16" customHeight="1">
      <c r="A11" s="16" t="inlineStr">
        <is>
          <t>NIFTY PHARMA</t>
        </is>
      </c>
      <c r="B11" s="13" t="inlineStr">
        <is>
          <t>GLENMARK</t>
        </is>
      </c>
      <c r="C11" s="14" t="n">
        <v>2261.7</v>
      </c>
      <c r="D11" s="14" t="n">
        <v>2228.04</v>
      </c>
      <c r="E11" s="14" t="n">
        <v>2228.41</v>
      </c>
      <c r="F11" s="14" t="n">
        <v>2157.98</v>
      </c>
      <c r="G11" s="15">
        <f>HYPERLINK("https://www.tradingview.com/chart/?symbol=NSE:GLENMARK","Chart 📈")</f>
        <v/>
      </c>
    </row>
    <row r="12" ht="16" customHeight="1">
      <c r="A12" s="16" t="inlineStr">
        <is>
          <t>NIFTY PHARMA</t>
        </is>
      </c>
      <c r="B12" s="13" t="inlineStr">
        <is>
          <t>JBCHEPHARM</t>
        </is>
      </c>
      <c r="C12" s="14" t="n">
        <v>2408.9</v>
      </c>
      <c r="D12" s="14" t="n">
        <v>2383.66</v>
      </c>
      <c r="E12" s="14" t="n">
        <v>2287.7</v>
      </c>
      <c r="F12" s="14" t="n">
        <v>2049</v>
      </c>
      <c r="G12" s="15">
        <f>HYPERLINK("https://www.tradingview.com/chart/?symbol=NSE:JBCHEPHARM","Chart 📈")</f>
        <v/>
      </c>
    </row>
    <row r="13" ht="16" customHeight="1">
      <c r="A13" s="16" t="inlineStr">
        <is>
          <t>NIFTY PHARMA</t>
        </is>
      </c>
      <c r="B13" s="13" t="inlineStr">
        <is>
          <t>LAURUSLABS</t>
        </is>
      </c>
      <c r="C13" s="14" t="n">
        <v>1781.3</v>
      </c>
      <c r="D13" s="14" t="n">
        <v>1590.63</v>
      </c>
      <c r="E13" s="14" t="n">
        <v>1477.99</v>
      </c>
      <c r="F13" s="14" t="n">
        <v>1211.39</v>
      </c>
      <c r="G13" s="15">
        <f>HYPERLINK("https://www.tradingview.com/chart/?symbol=NSE:LAURUSLABS","Chart 📈")</f>
        <v/>
      </c>
    </row>
    <row r="14" ht="16" customHeight="1">
      <c r="A14" s="16" t="inlineStr">
        <is>
          <t>NIFTY PHARMA</t>
        </is>
      </c>
      <c r="B14" s="13" t="inlineStr">
        <is>
          <t>LUPIN</t>
        </is>
      </c>
      <c r="C14" s="14" t="n">
        <v>2447</v>
      </c>
      <c r="D14" s="14" t="n">
        <v>2421.47</v>
      </c>
      <c r="E14" s="14" t="n">
        <v>2375.66</v>
      </c>
      <c r="F14" s="14" t="n">
        <v>2234.39</v>
      </c>
      <c r="G14" s="15">
        <f>HYPERLINK("https://www.tradingview.com/chart/?symbol=NSE:LUPIN","Chart 📈")</f>
        <v/>
      </c>
    </row>
    <row r="15" ht="16" customHeight="1">
      <c r="A15" s="16" t="inlineStr">
        <is>
          <t>NIFTY PHARMA</t>
        </is>
      </c>
      <c r="B15" s="13" t="inlineStr">
        <is>
          <t>MANKIND</t>
        </is>
      </c>
      <c r="C15" s="14" t="n">
        <v>2592.7</v>
      </c>
      <c r="D15" s="14" t="n">
        <v>2536.25</v>
      </c>
      <c r="E15" s="14" t="n">
        <v>2469.41</v>
      </c>
      <c r="F15" s="14" t="n">
        <v>2358.39</v>
      </c>
      <c r="G15" s="15">
        <f>HYPERLINK("https://www.tradingview.com/chart/?symbol=NSE:MANKIND","Chart 📈")</f>
        <v/>
      </c>
    </row>
    <row r="16" ht="16" customHeight="1">
      <c r="A16" s="16" t="inlineStr">
        <is>
          <t>NIFTY PHARMA</t>
        </is>
      </c>
      <c r="B16" s="13" t="inlineStr">
        <is>
          <t>SUNPHARMA</t>
        </is>
      </c>
      <c r="C16" s="14" t="n">
        <v>1989.9</v>
      </c>
      <c r="D16" s="14" t="n">
        <v>1935.54</v>
      </c>
      <c r="E16" s="14" t="n">
        <v>1884.1</v>
      </c>
      <c r="F16" s="14" t="n">
        <v>1783.33</v>
      </c>
      <c r="G16" s="15">
        <f>HYPERLINK("https://www.tradingview.com/chart/?symbol=NSE:SUNPHARMA","Chart 📈")</f>
        <v/>
      </c>
    </row>
    <row r="17" ht="16" customHeight="1">
      <c r="A17" s="16" t="inlineStr">
        <is>
          <t>NIFTY PHARMA</t>
        </is>
      </c>
      <c r="B17" s="13" t="inlineStr">
        <is>
          <t>ZYDUSLIFE</t>
        </is>
      </c>
      <c r="C17" s="14" t="n">
        <v>1122.7</v>
      </c>
      <c r="D17" s="14" t="n">
        <v>1122.36</v>
      </c>
      <c r="E17" s="14" t="n">
        <v>1091.59</v>
      </c>
      <c r="F17" s="14" t="n">
        <v>1004.93</v>
      </c>
      <c r="G17" s="15">
        <f>HYPERLINK("https://www.tradingview.com/chart/?symbol=NSE:ZYDUSLIFE","Chart 📈")</f>
        <v/>
      </c>
    </row>
    <row r="18" ht="16" customHeight="1">
      <c r="A18" s="8" t="inlineStr">
        <is>
          <t>NIFTY AUTO</t>
        </is>
      </c>
      <c r="B18" s="17" t="inlineStr">
        <is>
          <t>ASHOKLEY</t>
        </is>
      </c>
      <c r="C18" s="18" t="n">
        <v>157.96</v>
      </c>
      <c r="D18" s="18" t="n">
        <v>155.78</v>
      </c>
      <c r="E18" s="18" t="n">
        <v>156.95</v>
      </c>
      <c r="F18" s="18" t="n">
        <v>157.88</v>
      </c>
      <c r="G18" s="19">
        <f>HYPERLINK("https://www.tradingview.com/chart/?symbol=NSE:ASHOKLEY","Chart 📈")</f>
        <v/>
      </c>
    </row>
    <row r="19" ht="16" customHeight="1">
      <c r="A19" s="20" t="inlineStr">
        <is>
          <t>NIFTY AUTO</t>
        </is>
      </c>
      <c r="B19" s="17" t="inlineStr">
        <is>
          <t>BAJAJ-AUTO</t>
        </is>
      </c>
      <c r="C19" s="18" t="n">
        <v>11338</v>
      </c>
      <c r="D19" s="18" t="n">
        <v>10667.2</v>
      </c>
      <c r="E19" s="18" t="n">
        <v>10324.63</v>
      </c>
      <c r="F19" s="18" t="n">
        <v>9610.209999999999</v>
      </c>
      <c r="G19" s="19">
        <f>HYPERLINK("https://www.tradingview.com/chart/?symbol=NSE:BAJAJ-AUTO","Chart 📈")</f>
        <v/>
      </c>
    </row>
    <row r="20" ht="16" customHeight="1">
      <c r="A20" s="20" t="inlineStr">
        <is>
          <t>NIFTY AUTO</t>
        </is>
      </c>
      <c r="B20" s="17" t="inlineStr">
        <is>
          <t>BHARATFORG</t>
        </is>
      </c>
      <c r="C20" s="18" t="n">
        <v>2171.5</v>
      </c>
      <c r="D20" s="18" t="n">
        <v>2145.35</v>
      </c>
      <c r="E20" s="18" t="n">
        <v>2067.64</v>
      </c>
      <c r="F20" s="18" t="n">
        <v>1763.22</v>
      </c>
      <c r="G20" s="19">
        <f>HYPERLINK("https://www.tradingview.com/chart/?symbol=NSE:BHARATFORG","Chart 📈")</f>
        <v/>
      </c>
    </row>
    <row r="21" ht="16" customHeight="1">
      <c r="A21" s="20" t="inlineStr">
        <is>
          <t>NIFTY AUTO</t>
        </is>
      </c>
      <c r="B21" s="17" t="inlineStr">
        <is>
          <t>EICHERMOT</t>
        </is>
      </c>
      <c r="C21" s="18" t="n">
        <v>7779</v>
      </c>
      <c r="D21" s="18" t="n">
        <v>7572.38</v>
      </c>
      <c r="E21" s="18" t="n">
        <v>7434.96</v>
      </c>
      <c r="F21" s="18" t="n">
        <v>7097.79</v>
      </c>
      <c r="G21" s="19">
        <f>HYPERLINK("https://www.tradingview.com/chart/?symbol=NSE:EICHERMOT","Chart 📈")</f>
        <v/>
      </c>
    </row>
    <row r="22" ht="16" customHeight="1">
      <c r="A22" s="20" t="inlineStr">
        <is>
          <t>NIFTY AUTO</t>
        </is>
      </c>
      <c r="B22" s="17" t="inlineStr">
        <is>
          <t>EXIDEIND</t>
        </is>
      </c>
      <c r="C22" s="18" t="n">
        <v>435.65</v>
      </c>
      <c r="D22" s="18" t="n">
        <v>424.73</v>
      </c>
      <c r="E22" s="18" t="n">
        <v>402.83</v>
      </c>
      <c r="F22" s="18" t="n">
        <v>372.75</v>
      </c>
      <c r="G22" s="19">
        <f>HYPERLINK("https://www.tradingview.com/chart/?symbol=NSE:EXIDEIND","Chart 📈")</f>
        <v/>
      </c>
    </row>
    <row r="23" ht="16" customHeight="1">
      <c r="A23" s="20" t="inlineStr">
        <is>
          <t>NIFTY AUTO</t>
        </is>
      </c>
      <c r="B23" s="17" t="inlineStr">
        <is>
          <t>HEROMOTOCO</t>
        </is>
      </c>
      <c r="C23" s="18" t="n">
        <v>5149.1</v>
      </c>
      <c r="D23" s="18" t="n">
        <v>4959.66</v>
      </c>
      <c r="E23" s="18" t="n">
        <v>4936.6</v>
      </c>
      <c r="F23" s="18" t="n">
        <v>5039.79</v>
      </c>
      <c r="G23" s="19">
        <f>HYPERLINK("https://www.tradingview.com/chart/?symbol=NSE:HEROMOTOCO","Chart 📈")</f>
        <v/>
      </c>
    </row>
    <row r="24" ht="16" customHeight="1">
      <c r="A24" s="20" t="inlineStr">
        <is>
          <t>NIFTY AUTO</t>
        </is>
      </c>
      <c r="B24" s="17" t="inlineStr">
        <is>
          <t>MARUTI</t>
        </is>
      </c>
      <c r="C24" s="18" t="n">
        <v>13948</v>
      </c>
      <c r="D24" s="18" t="n">
        <v>13711</v>
      </c>
      <c r="E24" s="18" t="n">
        <v>13635.36</v>
      </c>
      <c r="F24" s="18" t="n">
        <v>13941.24</v>
      </c>
      <c r="G24" s="19">
        <f>HYPERLINK("https://www.tradingview.com/chart/?symbol=NSE:MARUTI","Chart 📈")</f>
        <v/>
      </c>
    </row>
    <row r="25" ht="16" customHeight="1">
      <c r="A25" s="20" t="inlineStr">
        <is>
          <t>NIFTY AUTO</t>
        </is>
      </c>
      <c r="B25" s="17" t="inlineStr">
        <is>
          <t>MOTHERSON</t>
        </is>
      </c>
      <c r="C25" s="18" t="n">
        <v>146</v>
      </c>
      <c r="D25" s="18" t="n">
        <v>145.09</v>
      </c>
      <c r="E25" s="18" t="n">
        <v>141.81</v>
      </c>
      <c r="F25" s="18" t="n">
        <v>126.72</v>
      </c>
      <c r="G25" s="19">
        <f>HYPERLINK("https://www.tradingview.com/chart/?symbol=NSE:MOTHERSON","Chart 📈")</f>
        <v/>
      </c>
    </row>
    <row r="26" ht="16" customHeight="1">
      <c r="A26" s="20" t="inlineStr">
        <is>
          <t>NIFTY AUTO</t>
        </is>
      </c>
      <c r="B26" s="17" t="inlineStr">
        <is>
          <t>TVSMOTOR</t>
        </is>
      </c>
      <c r="C26" s="18" t="n">
        <v>4075.6</v>
      </c>
      <c r="D26" s="18" t="n">
        <v>3756.85</v>
      </c>
      <c r="E26" s="18" t="n">
        <v>3629.55</v>
      </c>
      <c r="F26" s="18" t="n">
        <v>3508.85</v>
      </c>
      <c r="G26" s="19">
        <f>HYPERLINK("https://www.tradingview.com/chart/?symbol=NSE:TVSMOTOR","Chart 📈")</f>
        <v/>
      </c>
    </row>
    <row r="27" ht="16" customHeight="1">
      <c r="A27" s="12" t="inlineStr">
        <is>
          <t>NIFTY REALTY</t>
        </is>
      </c>
      <c r="B27" s="13" t="inlineStr">
        <is>
          <t>DLF</t>
        </is>
      </c>
      <c r="C27" s="14" t="n">
        <v>670.25</v>
      </c>
      <c r="D27" s="14" t="n">
        <v>647.78</v>
      </c>
      <c r="E27" s="14" t="n">
        <v>626.86</v>
      </c>
      <c r="F27" s="14" t="n">
        <v>639.85</v>
      </c>
      <c r="G27" s="15">
        <f>HYPERLINK("https://www.tradingview.com/chart/?symbol=NSE:DLF","Chart 📈")</f>
        <v/>
      </c>
    </row>
    <row r="28" ht="16" customHeight="1">
      <c r="A28" s="16" t="inlineStr">
        <is>
          <t>NIFTY REALTY</t>
        </is>
      </c>
      <c r="B28" s="13" t="inlineStr">
        <is>
          <t>GODREJPROP</t>
        </is>
      </c>
      <c r="C28" s="14" t="n">
        <v>2156</v>
      </c>
      <c r="D28" s="14" t="n">
        <v>2046.26</v>
      </c>
      <c r="E28" s="14" t="n">
        <v>1935.18</v>
      </c>
      <c r="F28" s="14" t="n">
        <v>1885.47</v>
      </c>
      <c r="G28" s="15">
        <f>HYPERLINK("https://www.tradingview.com/chart/?symbol=NSE:GODREJPROP","Chart 📈")</f>
        <v/>
      </c>
    </row>
    <row r="29" ht="16" customHeight="1">
      <c r="A29" s="16" t="inlineStr">
        <is>
          <t>NIFTY REALTY</t>
        </is>
      </c>
      <c r="B29" s="13" t="inlineStr">
        <is>
          <t>LODHA</t>
        </is>
      </c>
      <c r="C29" s="14" t="n">
        <v>1316.35</v>
      </c>
      <c r="D29" s="14" t="n">
        <v>1158.26</v>
      </c>
      <c r="E29" s="14" t="n">
        <v>1057.55</v>
      </c>
      <c r="F29" s="14" t="n">
        <v>1025.22</v>
      </c>
      <c r="G29" s="15">
        <f>HYPERLINK("https://www.tradingview.com/chart/?symbol=NSE:LODHA","Chart 📈")</f>
        <v/>
      </c>
    </row>
    <row r="30" ht="16" customHeight="1">
      <c r="A30" s="16" t="inlineStr">
        <is>
          <t>NIFTY REALTY</t>
        </is>
      </c>
      <c r="B30" s="13" t="inlineStr">
        <is>
          <t>MAHLIFE</t>
        </is>
      </c>
      <c r="C30" s="14" t="n">
        <v>387.35</v>
      </c>
      <c r="D30" s="14" t="n">
        <v>372.48</v>
      </c>
      <c r="E30" s="14" t="n">
        <v>359.8</v>
      </c>
      <c r="F30" s="14" t="n">
        <v>354.53</v>
      </c>
      <c r="G30" s="15">
        <f>HYPERLINK("https://www.tradingview.com/chart/?symbol=NSE:MAHLIFE","Chart 📈")</f>
        <v/>
      </c>
    </row>
    <row r="31" ht="16" customHeight="1">
      <c r="A31" s="16" t="inlineStr">
        <is>
          <t>NIFTY REALTY</t>
        </is>
      </c>
      <c r="B31" s="13" t="inlineStr">
        <is>
          <t>PRESTIGE</t>
        </is>
      </c>
      <c r="C31" s="14" t="n">
        <v>1673</v>
      </c>
      <c r="D31" s="14" t="n">
        <v>1643.55</v>
      </c>
      <c r="E31" s="14" t="n">
        <v>1567.35</v>
      </c>
      <c r="F31" s="14" t="n">
        <v>1513.96</v>
      </c>
      <c r="G31" s="15">
        <f>HYPERLINK("https://www.tradingview.com/chart/?symbol=NSE:PRESTIGE","Chart 📈")</f>
        <v/>
      </c>
    </row>
    <row r="32" ht="16" customHeight="1">
      <c r="A32" s="8" t="inlineStr">
        <is>
          <t>NIFTY MIDSMALL IT &amp; TELECOM</t>
        </is>
      </c>
      <c r="B32" s="17" t="inlineStr">
        <is>
          <t>AFFLE</t>
        </is>
      </c>
      <c r="C32" s="18" t="n">
        <v>1654.3</v>
      </c>
      <c r="D32" s="18" t="n">
        <v>1515.18</v>
      </c>
      <c r="E32" s="18" t="n">
        <v>1490</v>
      </c>
      <c r="F32" s="18" t="n">
        <v>1579.68</v>
      </c>
      <c r="G32" s="19">
        <f>HYPERLINK("https://www.tradingview.com/chart/?symbol=NSE:AFFLE","Chart 📈")</f>
        <v/>
      </c>
    </row>
    <row r="33" ht="16" customHeight="1">
      <c r="A33" s="20" t="inlineStr">
        <is>
          <t>NIFTY MIDSMALL IT &amp; TELECOM</t>
        </is>
      </c>
      <c r="B33" s="17" t="inlineStr">
        <is>
          <t>COFORGE</t>
        </is>
      </c>
      <c r="C33" s="18" t="n">
        <v>1714.9</v>
      </c>
      <c r="D33" s="18" t="n">
        <v>1526.47</v>
      </c>
      <c r="E33" s="18" t="n">
        <v>1466.95</v>
      </c>
      <c r="F33" s="18" t="n">
        <v>1483.14</v>
      </c>
      <c r="G33" s="19">
        <f>HYPERLINK("https://www.tradingview.com/chart/?symbol=NSE:COFORGE","Chart 📈")</f>
        <v/>
      </c>
    </row>
    <row r="34" ht="16" customHeight="1">
      <c r="A34" s="20" t="inlineStr">
        <is>
          <t>NIFTY MIDSMALL IT &amp; TELECOM</t>
        </is>
      </c>
      <c r="B34" s="17" t="inlineStr">
        <is>
          <t>OFSS</t>
        </is>
      </c>
      <c r="C34" s="18" t="n">
        <v>11427</v>
      </c>
      <c r="D34" s="18" t="n">
        <v>11132.14</v>
      </c>
      <c r="E34" s="18" t="n">
        <v>10499.45</v>
      </c>
      <c r="F34" s="18" t="n">
        <v>8930.74</v>
      </c>
      <c r="G34" s="19">
        <f>HYPERLINK("https://www.tradingview.com/chart/?symbol=NSE:OFSS","Chart 📈")</f>
        <v/>
      </c>
    </row>
    <row r="35" ht="16" customHeight="1">
      <c r="A35" s="20" t="inlineStr">
        <is>
          <t>NIFTY MIDSMALL IT &amp; TELECOM</t>
        </is>
      </c>
      <c r="B35" s="17" t="inlineStr">
        <is>
          <t>PERSISTENT</t>
        </is>
      </c>
      <c r="C35" s="18" t="n">
        <v>5483.3</v>
      </c>
      <c r="D35" s="18" t="n">
        <v>5098.4</v>
      </c>
      <c r="E35" s="18" t="n">
        <v>5009.23</v>
      </c>
      <c r="F35" s="18" t="n">
        <v>5208.49</v>
      </c>
      <c r="G35" s="19">
        <f>HYPERLINK("https://www.tradingview.com/chart/?symbol=NSE:PERSISTENT","Chart 📈")</f>
        <v/>
      </c>
    </row>
    <row r="36" ht="16" customHeight="1">
      <c r="A36" s="20" t="inlineStr">
        <is>
          <t>NIFTY MIDSMALL IT &amp; TELECOM</t>
        </is>
      </c>
      <c r="B36" s="17" t="inlineStr">
        <is>
          <t>SONATSOFTW</t>
        </is>
      </c>
      <c r="C36" s="18" t="n">
        <v>317.45</v>
      </c>
      <c r="D36" s="18" t="n">
        <v>293.5</v>
      </c>
      <c r="E36" s="18" t="n">
        <v>283.15</v>
      </c>
      <c r="F36" s="18" t="n">
        <v>298.02</v>
      </c>
      <c r="G36" s="19">
        <f>HYPERLINK("https://www.tradingview.com/chart/?symbol=NSE:SONATSOFTW","Chart 📈")</f>
        <v/>
      </c>
    </row>
    <row r="37" ht="16" customHeight="1">
      <c r="A37" s="20" t="inlineStr">
        <is>
          <t>NIFTY MIDSMALL IT &amp; TELECOM</t>
        </is>
      </c>
      <c r="B37" s="17" t="inlineStr">
        <is>
          <t>TANLA</t>
        </is>
      </c>
      <c r="C37" s="18" t="n">
        <v>610.9</v>
      </c>
      <c r="D37" s="18" t="n">
        <v>571.7</v>
      </c>
      <c r="E37" s="18" t="n">
        <v>545.77</v>
      </c>
      <c r="F37" s="18" t="n">
        <v>535.05</v>
      </c>
      <c r="G37" s="19">
        <f>HYPERLINK("https://www.tradingview.com/chart/?symbol=NSE:TANLA","Chart 📈")</f>
        <v/>
      </c>
    </row>
    <row r="38" ht="16" customHeight="1">
      <c r="A38" s="20" t="inlineStr">
        <is>
          <t>NIFTY MIDSMALL IT &amp; TELECOM</t>
        </is>
      </c>
      <c r="B38" s="17" t="inlineStr">
        <is>
          <t>TATATECH</t>
        </is>
      </c>
      <c r="C38" s="18" t="n">
        <v>742.4</v>
      </c>
      <c r="D38" s="18" t="n">
        <v>729.13</v>
      </c>
      <c r="E38" s="18" t="n">
        <v>710.75</v>
      </c>
      <c r="F38" s="18" t="n">
        <v>664.1900000000001</v>
      </c>
      <c r="G38" s="19">
        <f>HYPERLINK("https://www.tradingview.com/chart/?symbol=NSE:TATATECH","Chart 📈")</f>
        <v/>
      </c>
    </row>
    <row r="39" ht="16" customHeight="1">
      <c r="A39" s="12" t="inlineStr">
        <is>
          <t>NIFTY FMCG</t>
        </is>
      </c>
      <c r="B39" s="13" t="inlineStr">
        <is>
          <t>BALRAMCHIN</t>
        </is>
      </c>
      <c r="C39" s="14" t="n">
        <v>606.3</v>
      </c>
      <c r="D39" s="14" t="n">
        <v>592.3099999999999</v>
      </c>
      <c r="E39" s="14" t="n">
        <v>565.84</v>
      </c>
      <c r="F39" s="14" t="n">
        <v>522.64</v>
      </c>
      <c r="G39" s="15">
        <f>HYPERLINK("https://www.tradingview.com/chart/?symbol=NSE:BALRAMCHIN","Chart 📈")</f>
        <v/>
      </c>
    </row>
    <row r="40" ht="16" customHeight="1">
      <c r="A40" s="16" t="inlineStr">
        <is>
          <t>NIFTY FMCG</t>
        </is>
      </c>
      <c r="B40" s="13" t="inlineStr">
        <is>
          <t>COLPAL</t>
        </is>
      </c>
      <c r="C40" s="14" t="n">
        <v>2166.4</v>
      </c>
      <c r="D40" s="14" t="n">
        <v>2080.37</v>
      </c>
      <c r="E40" s="14" t="n">
        <v>2060.23</v>
      </c>
      <c r="F40" s="14" t="n">
        <v>2082.23</v>
      </c>
      <c r="G40" s="15">
        <f>HYPERLINK("https://www.tradingview.com/chart/?symbol=NSE:COLPAL","Chart 📈")</f>
        <v/>
      </c>
    </row>
    <row r="41" ht="16" customHeight="1">
      <c r="A41" s="16" t="inlineStr">
        <is>
          <t>NIFTY FMCG</t>
        </is>
      </c>
      <c r="B41" s="13" t="inlineStr">
        <is>
          <t>MARICO</t>
        </is>
      </c>
      <c r="C41" s="14" t="n">
        <v>878.7</v>
      </c>
      <c r="D41" s="14" t="n">
        <v>853.27</v>
      </c>
      <c r="E41" s="14" t="n">
        <v>835.54</v>
      </c>
      <c r="F41" s="14" t="n">
        <v>784.52</v>
      </c>
      <c r="G41" s="15">
        <f>HYPERLINK("https://www.tradingview.com/chart/?symbol=NSE:MARICO","Chart 📈")</f>
        <v/>
      </c>
    </row>
    <row r="42" ht="16" customHeight="1">
      <c r="A42" s="16" t="inlineStr">
        <is>
          <t>NIFTY FMCG</t>
        </is>
      </c>
      <c r="B42" s="13" t="inlineStr">
        <is>
          <t>NESTLEIND</t>
        </is>
      </c>
      <c r="C42" s="14" t="n">
        <v>1503.3</v>
      </c>
      <c r="D42" s="14" t="n">
        <v>1449.71</v>
      </c>
      <c r="E42" s="14" t="n">
        <v>1423.07</v>
      </c>
      <c r="F42" s="14" t="n">
        <v>1323.99</v>
      </c>
      <c r="G42" s="15">
        <f>HYPERLINK("https://www.tradingview.com/chart/?symbol=NSE:NESTLEIND","Chart 📈")</f>
        <v/>
      </c>
    </row>
    <row r="43" ht="16" customHeight="1">
      <c r="A43" s="16" t="inlineStr">
        <is>
          <t>NIFTY FMCG</t>
        </is>
      </c>
      <c r="B43" s="13" t="inlineStr">
        <is>
          <t>RADICO</t>
        </is>
      </c>
      <c r="C43" s="14" t="n">
        <v>4373.8</v>
      </c>
      <c r="D43" s="14" t="n">
        <v>4079.42</v>
      </c>
      <c r="E43" s="14" t="n">
        <v>3839.93</v>
      </c>
      <c r="F43" s="14" t="n">
        <v>3316.16</v>
      </c>
      <c r="G43" s="15">
        <f>HYPERLINK("https://www.tradingview.com/chart/?symbol=NSE:RADICO","Chart 📈")</f>
        <v/>
      </c>
    </row>
    <row r="44" ht="16" customHeight="1">
      <c r="A44" s="16" t="inlineStr">
        <is>
          <t>NIFTY FMCG</t>
        </is>
      </c>
      <c r="B44" s="13" t="inlineStr">
        <is>
          <t>UNITDSPR</t>
        </is>
      </c>
      <c r="C44" s="14" t="n">
        <v>1504.4</v>
      </c>
      <c r="D44" s="14" t="n">
        <v>1415.26</v>
      </c>
      <c r="E44" s="14" t="n">
        <v>1365.88</v>
      </c>
      <c r="F44" s="14" t="n">
        <v>1335.26</v>
      </c>
      <c r="G44" s="15">
        <f>HYPERLINK("https://www.tradingview.com/chart/?symbol=NSE:UNITDSPR","Chart 📈")</f>
        <v/>
      </c>
    </row>
    <row r="45" ht="16" customHeight="1">
      <c r="A45" s="8" t="inlineStr">
        <is>
          <t>NIFTY CONSUMER DURABLES</t>
        </is>
      </c>
      <c r="B45" s="17" t="inlineStr">
        <is>
          <t>CENTURYPLY</t>
        </is>
      </c>
      <c r="C45" s="18" t="n">
        <v>782.8</v>
      </c>
      <c r="D45" s="18" t="n">
        <v>781.78</v>
      </c>
      <c r="E45" s="18" t="n">
        <v>771.85</v>
      </c>
      <c r="F45" s="18" t="n">
        <v>762.29</v>
      </c>
      <c r="G45" s="19">
        <f>HYPERLINK("https://www.tradingview.com/chart/?symbol=NSE:CENTURYPLY","Chart 📈")</f>
        <v/>
      </c>
    </row>
    <row r="46" ht="16" customHeight="1">
      <c r="A46" s="20" t="inlineStr">
        <is>
          <t>NIFTY CONSUMER DURABLES</t>
        </is>
      </c>
      <c r="B46" s="17" t="inlineStr">
        <is>
          <t>DIXON</t>
        </is>
      </c>
      <c r="C46" s="18" t="n">
        <v>14275</v>
      </c>
      <c r="D46" s="18" t="n">
        <v>13589.49</v>
      </c>
      <c r="E46" s="18" t="n">
        <v>12778.35</v>
      </c>
      <c r="F46" s="18" t="n">
        <v>12759.94</v>
      </c>
      <c r="G46" s="19">
        <f>HYPERLINK("https://www.tradingview.com/chart/?symbol=NSE:DIXON","Chart 📈")</f>
        <v/>
      </c>
    </row>
    <row r="47" ht="16" customHeight="1">
      <c r="A47" s="20" t="inlineStr">
        <is>
          <t>NIFTY CONSUMER DURABLES</t>
        </is>
      </c>
      <c r="B47" s="17" t="inlineStr">
        <is>
          <t>KALYANKJIL</t>
        </is>
      </c>
      <c r="C47" s="18" t="n">
        <v>628.6</v>
      </c>
      <c r="D47" s="18" t="n">
        <v>528.0599999999999</v>
      </c>
      <c r="E47" s="18" t="n">
        <v>460.72</v>
      </c>
      <c r="F47" s="18" t="n">
        <v>447.86</v>
      </c>
      <c r="G47" s="19">
        <f>HYPERLINK("https://www.tradingview.com/chart/?symbol=NSE:KALYANKJIL","Chart 📈")</f>
        <v/>
      </c>
    </row>
    <row r="48" ht="16" customHeight="1">
      <c r="A48" s="20" t="inlineStr">
        <is>
          <t>NIFTY CONSUMER DURABLES</t>
        </is>
      </c>
      <c r="B48" s="17" t="inlineStr">
        <is>
          <t>TITAN</t>
        </is>
      </c>
      <c r="C48" s="18" t="n">
        <v>4850.2</v>
      </c>
      <c r="D48" s="18" t="n">
        <v>4629.52</v>
      </c>
      <c r="E48" s="18" t="n">
        <v>4464.87</v>
      </c>
      <c r="F48" s="18" t="n">
        <v>4142.57</v>
      </c>
      <c r="G48" s="19">
        <f>HYPERLINK("https://www.tradingview.com/chart/?symbol=NSE:TITAN","Chart 📈")</f>
        <v/>
      </c>
    </row>
    <row r="49" ht="16" customHeight="1">
      <c r="A49" s="12" t="inlineStr">
        <is>
          <t>NIFTY FINANCIAL SERVICES</t>
        </is>
      </c>
      <c r="B49" s="13" t="inlineStr">
        <is>
          <t>BAJAJFINSV</t>
        </is>
      </c>
      <c r="C49" s="14" t="n">
        <v>1924.4</v>
      </c>
      <c r="D49" s="14" t="n">
        <v>1872.27</v>
      </c>
      <c r="E49" s="14" t="n">
        <v>1832.37</v>
      </c>
      <c r="F49" s="14" t="n">
        <v>1874.46</v>
      </c>
      <c r="G49" s="15">
        <f>HYPERLINK("https://www.tradingview.com/chart/?symbol=NSE:BAJAJFINSV","Chart 📈")</f>
        <v/>
      </c>
    </row>
    <row r="50" ht="16" customHeight="1">
      <c r="A50" s="16" t="inlineStr">
        <is>
          <t>NIFTY FINANCIAL SERVICES</t>
        </is>
      </c>
      <c r="B50" s="13" t="inlineStr">
        <is>
          <t>BAJFINANCE</t>
        </is>
      </c>
      <c r="C50" s="14" t="n">
        <v>1054.4</v>
      </c>
      <c r="D50" s="14" t="n">
        <v>1028.87</v>
      </c>
      <c r="E50" s="14" t="n">
        <v>990.1900000000001</v>
      </c>
      <c r="F50" s="14" t="n">
        <v>952.42</v>
      </c>
      <c r="G50" s="15">
        <f>HYPERLINK("https://www.tradingview.com/chart/?symbol=NSE:BAJFINANCE","Chart 📈")</f>
        <v/>
      </c>
    </row>
    <row r="51" ht="16" customHeight="1">
      <c r="A51" s="16" t="inlineStr">
        <is>
          <t>NIFTY FINANCIAL SERVICES</t>
        </is>
      </c>
      <c r="B51" s="13" t="inlineStr">
        <is>
          <t>CHOLAFIN</t>
        </is>
      </c>
      <c r="C51" s="14" t="n">
        <v>1802.9</v>
      </c>
      <c r="D51" s="14" t="n">
        <v>1762.58</v>
      </c>
      <c r="E51" s="14" t="n">
        <v>1709.95</v>
      </c>
      <c r="F51" s="14" t="n">
        <v>1632.91</v>
      </c>
      <c r="G51" s="15">
        <f>HYPERLINK("https://www.tradingview.com/chart/?symbol=NSE:CHOLAFIN","Chart 📈")</f>
        <v/>
      </c>
    </row>
    <row r="52" ht="16" customHeight="1">
      <c r="A52" s="16" t="inlineStr">
        <is>
          <t>NIFTY FINANCIAL SERVICES</t>
        </is>
      </c>
      <c r="B52" s="13" t="inlineStr">
        <is>
          <t>ICICIBANK</t>
        </is>
      </c>
      <c r="C52" s="14" t="n">
        <v>1437.9</v>
      </c>
      <c r="D52" s="14" t="n">
        <v>1418.7</v>
      </c>
      <c r="E52" s="14" t="n">
        <v>1375.9</v>
      </c>
      <c r="F52" s="14" t="n">
        <v>1358.85</v>
      </c>
      <c r="G52" s="15">
        <f>HYPERLINK("https://www.tradingview.com/chart/?symbol=NSE:ICICIBANK","Chart 📈")</f>
        <v/>
      </c>
    </row>
    <row r="53" ht="16" customHeight="1">
      <c r="A53" s="16" t="inlineStr">
        <is>
          <t>NIFTY FINANCIAL SERVICES</t>
        </is>
      </c>
      <c r="B53" s="13" t="inlineStr">
        <is>
          <t>LICHSGFIN</t>
        </is>
      </c>
      <c r="C53" s="14" t="n">
        <v>553.45</v>
      </c>
      <c r="D53" s="14" t="n">
        <v>547.04</v>
      </c>
      <c r="E53" s="14" t="n">
        <v>546.76</v>
      </c>
      <c r="F53" s="14" t="n">
        <v>546.38</v>
      </c>
      <c r="G53" s="15">
        <f>HYPERLINK("https://www.tradingview.com/chart/?symbol=NSE:LICHSGFIN","Chart 📈")</f>
        <v/>
      </c>
    </row>
    <row r="54" ht="16" customHeight="1">
      <c r="A54" s="16" t="inlineStr">
        <is>
          <t>NIFTY FINANCIAL SERVICES</t>
        </is>
      </c>
      <c r="B54" s="13" t="inlineStr">
        <is>
          <t>PFC</t>
        </is>
      </c>
      <c r="C54" s="14" t="n">
        <v>427.1</v>
      </c>
      <c r="D54" s="14" t="n">
        <v>416.25</v>
      </c>
      <c r="E54" s="14" t="n">
        <v>421.06</v>
      </c>
      <c r="F54" s="14" t="n">
        <v>410.46</v>
      </c>
      <c r="G54" s="15">
        <f>HYPERLINK("https://www.tradingview.com/chart/?symbol=NSE:PFC","Chart 📈")</f>
        <v/>
      </c>
    </row>
    <row r="55" ht="16" customHeight="1">
      <c r="A55" s="16" t="inlineStr">
        <is>
          <t>NIFTY FINANCIAL SERVICES</t>
        </is>
      </c>
      <c r="B55" s="13" t="inlineStr">
        <is>
          <t>RECLTD</t>
        </is>
      </c>
      <c r="C55" s="14" t="n">
        <v>374.25</v>
      </c>
      <c r="D55" s="14" t="n">
        <v>360.9</v>
      </c>
      <c r="E55" s="14" t="n">
        <v>356.35</v>
      </c>
      <c r="F55" s="14" t="n">
        <v>354.83</v>
      </c>
      <c r="G55" s="15">
        <f>HYPERLINK("https://www.tradingview.com/chart/?symbol=NSE:RECLTD","Chart 📈")</f>
        <v/>
      </c>
    </row>
    <row r="56" ht="16" customHeight="1">
      <c r="A56" s="16" t="inlineStr">
        <is>
          <t>NIFTY FINANCIAL SERVICES</t>
        </is>
      </c>
      <c r="B56" s="13" t="inlineStr">
        <is>
          <t>SBILIFE</t>
        </is>
      </c>
      <c r="C56" s="14" t="n">
        <v>1894.9</v>
      </c>
      <c r="D56" s="14" t="n">
        <v>1838.91</v>
      </c>
      <c r="E56" s="14" t="n">
        <v>1828.92</v>
      </c>
      <c r="F56" s="14" t="n">
        <v>1874.47</v>
      </c>
      <c r="G56" s="15">
        <f>HYPERLINK("https://www.tradingview.com/chart/?symbol=NSE:SBILIFE","Chart 📈")</f>
        <v/>
      </c>
    </row>
    <row r="57" ht="16" customHeight="1">
      <c r="A57" s="16" t="inlineStr">
        <is>
          <t>NIFTY FINANCIAL SERVICES</t>
        </is>
      </c>
      <c r="B57" s="13" t="inlineStr">
        <is>
          <t>SHRIRAMFIN</t>
        </is>
      </c>
      <c r="C57" s="14" t="n">
        <v>1044.7</v>
      </c>
      <c r="D57" s="14" t="n">
        <v>1031.69</v>
      </c>
      <c r="E57" s="14" t="n">
        <v>1008.94</v>
      </c>
      <c r="F57" s="14" t="n">
        <v>925.73</v>
      </c>
      <c r="G57" s="15">
        <f>HYPERLINK("https://www.tradingview.com/chart/?symbol=NSE:SHRIRAMFIN","Chart 📈")</f>
        <v/>
      </c>
    </row>
    <row r="58" ht="16" customHeight="1">
      <c r="A58" s="8" t="inlineStr">
        <is>
          <t>NIFTY METAL</t>
        </is>
      </c>
      <c r="B58" s="17" t="inlineStr">
        <is>
          <t>APLAPOLLO</t>
        </is>
      </c>
      <c r="C58" s="18" t="n">
        <v>1869.8</v>
      </c>
      <c r="D58" s="18" t="n">
        <v>1825.71</v>
      </c>
      <c r="E58" s="18" t="n">
        <v>1840.74</v>
      </c>
      <c r="F58" s="18" t="n">
        <v>1854.08</v>
      </c>
      <c r="G58" s="19">
        <f>HYPERLINK("https://www.tradingview.com/chart/?symbol=NSE:APLAPOLLO","Chart 📈")</f>
        <v/>
      </c>
    </row>
    <row r="59" ht="16" customHeight="1">
      <c r="A59" s="20" t="inlineStr">
        <is>
          <t>NIFTY METAL</t>
        </is>
      </c>
      <c r="B59" s="17" t="inlineStr">
        <is>
          <t>JSWSTEEL</t>
        </is>
      </c>
      <c r="C59" s="18" t="n">
        <v>1276.6</v>
      </c>
      <c r="D59" s="18" t="n">
        <v>1247.7</v>
      </c>
      <c r="E59" s="18" t="n">
        <v>1247.64</v>
      </c>
      <c r="F59" s="18" t="n">
        <v>1201.04</v>
      </c>
      <c r="G59" s="19">
        <f>HYPERLINK("https://www.tradingview.com/chart/?symbol=NSE:JSWSTEEL","Chart 📈")</f>
        <v/>
      </c>
    </row>
    <row r="60" ht="16" customHeight="1">
      <c r="A60" s="20" t="inlineStr">
        <is>
          <t>NIFTY METAL</t>
        </is>
      </c>
      <c r="B60" s="17" t="inlineStr">
        <is>
          <t>NMDC</t>
        </is>
      </c>
      <c r="C60" s="18" t="n">
        <v>85.84999999999999</v>
      </c>
      <c r="D60" s="18" t="n">
        <v>84.54000000000001</v>
      </c>
      <c r="E60" s="18" t="n">
        <v>85.75</v>
      </c>
      <c r="F60" s="18" t="n">
        <v>82</v>
      </c>
      <c r="G60" s="19">
        <f>HYPERLINK("https://www.tradingview.com/chart/?symbol=NSE:NMDC","Chart 📈")</f>
        <v/>
      </c>
    </row>
    <row r="61" ht="16" customHeight="1">
      <c r="A61" s="20" t="inlineStr">
        <is>
          <t>NIFTY METAL</t>
        </is>
      </c>
      <c r="B61" s="17" t="inlineStr">
        <is>
          <t>WELCORP</t>
        </is>
      </c>
      <c r="C61" s="18" t="n">
        <v>1697</v>
      </c>
      <c r="D61" s="18" t="n">
        <v>1593.24</v>
      </c>
      <c r="E61" s="18" t="n">
        <v>1477.72</v>
      </c>
      <c r="F61" s="18" t="n">
        <v>1153.31</v>
      </c>
      <c r="G61" s="19">
        <f>HYPERLINK("https://www.tradingview.com/chart/?symbol=NSE:WELCORP","Chart 📈")</f>
        <v/>
      </c>
    </row>
    <row r="62" ht="16" customHeight="1">
      <c r="A62" s="12" t="inlineStr">
        <is>
          <t>NIFTY MEDIA</t>
        </is>
      </c>
      <c r="B62" s="13" t="inlineStr">
        <is>
          <t>NAZARA</t>
        </is>
      </c>
      <c r="C62" s="14" t="n">
        <v>303.65</v>
      </c>
      <c r="D62" s="14" t="n">
        <v>303.22</v>
      </c>
      <c r="E62" s="14" t="n">
        <v>295.09</v>
      </c>
      <c r="F62" s="14" t="n">
        <v>283.46</v>
      </c>
      <c r="G62" s="15">
        <f>HYPERLINK("https://www.tradingview.com/chart/?symbol=NSE:NAZARA","Chart 📈")</f>
        <v/>
      </c>
    </row>
    <row r="63" ht="16" customHeight="1">
      <c r="A63" s="16" t="inlineStr">
        <is>
          <t>NIFTY MEDIA</t>
        </is>
      </c>
      <c r="B63" s="13" t="inlineStr">
        <is>
          <t>PVRINOX</t>
        </is>
      </c>
      <c r="C63" s="14" t="n">
        <v>1140</v>
      </c>
      <c r="D63" s="14" t="n">
        <v>1035.58</v>
      </c>
      <c r="E63" s="14" t="n">
        <v>1009.21</v>
      </c>
      <c r="F63" s="14" t="n">
        <v>1013.51</v>
      </c>
      <c r="G63" s="15">
        <f>HYPERLINK("https://www.tradingview.com/chart/?symbol=NSE:PVRINOX","Chart 📈")</f>
        <v/>
      </c>
    </row>
    <row r="64" ht="16" customHeight="1">
      <c r="A64" s="16" t="inlineStr">
        <is>
          <t>NIFTY MEDIA</t>
        </is>
      </c>
      <c r="B64" s="13" t="inlineStr">
        <is>
          <t>SAREGAMA</t>
        </is>
      </c>
      <c r="C64" s="14" t="n">
        <v>530.45</v>
      </c>
      <c r="D64" s="14" t="n">
        <v>496.46</v>
      </c>
      <c r="E64" s="14" t="n">
        <v>465.88</v>
      </c>
      <c r="F64" s="14" t="n">
        <v>418.1</v>
      </c>
      <c r="G64" s="15">
        <f>HYPERLINK("https://www.tradingview.com/chart/?symbol=NSE:SAREGAMA","Chart 📈")</f>
        <v/>
      </c>
    </row>
    <row r="65" ht="16" customHeight="1">
      <c r="A65" s="16" t="inlineStr">
        <is>
          <t>NIFTY MEDIA</t>
        </is>
      </c>
      <c r="B65" s="13" t="inlineStr">
        <is>
          <t>TIPSMUSIC</t>
        </is>
      </c>
      <c r="C65" s="14" t="n">
        <v>685</v>
      </c>
      <c r="D65" s="14" t="n">
        <v>682.24</v>
      </c>
      <c r="E65" s="14" t="n">
        <v>663.92</v>
      </c>
      <c r="F65" s="14" t="n">
        <v>606.36</v>
      </c>
      <c r="G65" s="15">
        <f>HYPERLINK("https://www.tradingview.com/chart/?symbol=NSE:TIPSMUSIC","Chart 📈")</f>
        <v/>
      </c>
    </row>
    <row r="66" ht="16" customHeight="1">
      <c r="A66" s="16" t="inlineStr">
        <is>
          <t>NIFTY MEDIA</t>
        </is>
      </c>
      <c r="B66" s="13" t="inlineStr">
        <is>
          <t>ZEEL</t>
        </is>
      </c>
      <c r="C66" s="14" t="n">
        <v>108.13</v>
      </c>
      <c r="D66" s="14" t="n">
        <v>105.7</v>
      </c>
      <c r="E66" s="14" t="n">
        <v>102.63</v>
      </c>
      <c r="F66" s="14" t="n">
        <v>98.11</v>
      </c>
      <c r="G66" s="15">
        <f>HYPERLINK("https://www.tradingview.com/chart/?symbol=NSE:ZEEL","Chart 📈")</f>
        <v/>
      </c>
    </row>
    <row r="67" ht="16" customHeight="1">
      <c r="A67" s="8" t="inlineStr">
        <is>
          <t>NIFTY IT</t>
        </is>
      </c>
      <c r="B67" s="17" t="inlineStr">
        <is>
          <t>HCLTECH</t>
        </is>
      </c>
      <c r="C67" s="18" t="n">
        <v>1344.3</v>
      </c>
      <c r="D67" s="18" t="n">
        <v>1219.37</v>
      </c>
      <c r="E67" s="18" t="n">
        <v>1191.95</v>
      </c>
      <c r="F67" s="18" t="n">
        <v>1304.65</v>
      </c>
      <c r="G67" s="19">
        <f>HYPERLINK("https://www.tradingview.com/chart/?symbol=NSE:HCLTECH","Chart 📈")</f>
        <v/>
      </c>
    </row>
    <row r="68" ht="16" customHeight="1">
      <c r="A68" s="20" t="inlineStr">
        <is>
          <t>NIFTY IT</t>
        </is>
      </c>
      <c r="B68" s="17" t="inlineStr">
        <is>
          <t>TECHM</t>
        </is>
      </c>
      <c r="C68" s="18" t="n">
        <v>1644.2</v>
      </c>
      <c r="D68" s="18" t="n">
        <v>1529.47</v>
      </c>
      <c r="E68" s="18" t="n">
        <v>1474.16</v>
      </c>
      <c r="F68" s="18" t="n">
        <v>1446.69</v>
      </c>
      <c r="G68" s="19">
        <f>HYPERLINK("https://www.tradingview.com/chart/?symbol=NSE:TECHM","Chart 📈")</f>
        <v/>
      </c>
    </row>
    <row r="69" ht="16" customHeight="1">
      <c r="A69" s="12" t="inlineStr">
        <is>
          <t>NIFTY OIL &amp; GAS</t>
        </is>
      </c>
      <c r="B69" s="13" t="inlineStr">
        <is>
          <t>AEGISLOG</t>
        </is>
      </c>
      <c r="C69" s="14" t="n">
        <v>1282.6</v>
      </c>
      <c r="D69" s="14" t="n">
        <v>1272.38</v>
      </c>
      <c r="E69" s="14" t="n">
        <v>1115.19</v>
      </c>
      <c r="F69" s="14" t="n">
        <v>856.78</v>
      </c>
      <c r="G69" s="15">
        <f>HYPERLINK("https://www.tradingview.com/chart/?symbol=NSE:AEGISLOG","Chart 📈")</f>
        <v/>
      </c>
    </row>
    <row r="70" ht="16" customHeight="1">
      <c r="A70" s="16" t="inlineStr">
        <is>
          <t>NIFTY OIL &amp; GAS</t>
        </is>
      </c>
      <c r="B70" s="13" t="inlineStr">
        <is>
          <t>GAIL</t>
        </is>
      </c>
      <c r="C70" s="14" t="n">
        <v>175.12</v>
      </c>
      <c r="D70" s="14" t="n">
        <v>172.91</v>
      </c>
      <c r="E70" s="14" t="n">
        <v>170.46</v>
      </c>
      <c r="F70" s="14" t="n">
        <v>166.81</v>
      </c>
      <c r="G70" s="15">
        <f>HYPERLINK("https://www.tradingview.com/chart/?symbol=NSE:GAIL","Chart 📈")</f>
        <v/>
      </c>
    </row>
    <row r="71" ht="16" customHeight="1">
      <c r="A71" s="16" t="inlineStr">
        <is>
          <t>NIFTY OIL &amp; GAS</t>
        </is>
      </c>
      <c r="B71" s="13" t="inlineStr">
        <is>
          <t>OIL</t>
        </is>
      </c>
      <c r="C71" s="14" t="n">
        <v>447.9</v>
      </c>
      <c r="D71" s="14" t="n">
        <v>440.41</v>
      </c>
      <c r="E71" s="14" t="n">
        <v>444.54</v>
      </c>
      <c r="F71" s="14" t="n">
        <v>446.75</v>
      </c>
      <c r="G71" s="15">
        <f>HYPERLINK("https://www.tradingview.com/chart/?symbol=NSE:OIL","Chart 📈")</f>
        <v/>
      </c>
    </row>
    <row r="72" ht="16" customHeight="1">
      <c r="A72" s="16" t="inlineStr">
        <is>
          <t>NIFTY OIL &amp; GAS</t>
        </is>
      </c>
      <c r="B72" s="13" t="inlineStr">
        <is>
          <t>PETRONET</t>
        </is>
      </c>
      <c r="C72" s="14" t="n">
        <v>277.1</v>
      </c>
      <c r="D72" s="14" t="n">
        <v>276.35</v>
      </c>
      <c r="E72" s="14" t="n">
        <v>276.02</v>
      </c>
      <c r="F72" s="14" t="n">
        <v>275.86</v>
      </c>
      <c r="G72" s="15">
        <f>HYPERLINK("https://www.tradingview.com/chart/?symbol=NSE:PETRONET","Chart 📈")</f>
        <v/>
      </c>
    </row>
    <row r="73" ht="16" customHeight="1">
      <c r="A73" s="8" t="inlineStr">
        <is>
          <t>NIFTY BANK</t>
        </is>
      </c>
      <c r="B73" s="17" t="inlineStr">
        <is>
          <t>AUBANK</t>
        </is>
      </c>
      <c r="C73" s="18" t="n">
        <v>1042.3</v>
      </c>
      <c r="D73" s="18" t="n">
        <v>1027.76</v>
      </c>
      <c r="E73" s="18" t="n">
        <v>1019.44</v>
      </c>
      <c r="F73" s="18" t="n">
        <v>955.8099999999999</v>
      </c>
      <c r="G73" s="19">
        <f>HYPERLINK("https://www.tradingview.com/chart/?symbol=NSE:AUBANK","Chart 📈")</f>
        <v/>
      </c>
    </row>
    <row r="74" ht="16" customHeight="1">
      <c r="A74" s="20" t="inlineStr">
        <is>
          <t>NIFTY BANK</t>
        </is>
      </c>
      <c r="B74" s="17" t="inlineStr">
        <is>
          <t>FEDERALBNK</t>
        </is>
      </c>
      <c r="C74" s="18" t="n">
        <v>359.15</v>
      </c>
      <c r="D74" s="18" t="n">
        <v>342.98</v>
      </c>
      <c r="E74" s="18" t="n">
        <v>325.91</v>
      </c>
      <c r="F74" s="18" t="n">
        <v>284.15</v>
      </c>
      <c r="G74" s="19">
        <f>HYPERLINK("https://www.tradingview.com/chart/?symbol=NSE:FEDERALBNK","Chart 📈")</f>
        <v/>
      </c>
    </row>
    <row r="75" ht="16" customHeight="1">
      <c r="A75" s="20" t="inlineStr">
        <is>
          <t>NIFTY BANK</t>
        </is>
      </c>
      <c r="B75" s="17" t="inlineStr">
        <is>
          <t>IDFCFIRSTB</t>
        </is>
      </c>
      <c r="C75" s="18" t="n">
        <v>85.02</v>
      </c>
      <c r="D75" s="18" t="n">
        <v>81.15000000000001</v>
      </c>
      <c r="E75" s="18" t="n">
        <v>77.94</v>
      </c>
      <c r="F75" s="18" t="n">
        <v>74.81</v>
      </c>
      <c r="G75" s="19">
        <f>HYPERLINK("https://www.tradingview.com/chart/?symbol=NSE:IDFCFIRSTB","Chart 📈")</f>
        <v/>
      </c>
    </row>
    <row r="76" ht="16" customHeight="1">
      <c r="A76" s="20" t="inlineStr">
        <is>
          <t>NIFTY BANK</t>
        </is>
      </c>
      <c r="B76" s="17" t="inlineStr">
        <is>
          <t>INDUSINDBK</t>
        </is>
      </c>
      <c r="C76" s="18" t="n">
        <v>1012.3</v>
      </c>
      <c r="D76" s="18" t="n">
        <v>1001.44</v>
      </c>
      <c r="E76" s="18" t="n">
        <v>965.1</v>
      </c>
      <c r="F76" s="18" t="n">
        <v>894.3099999999999</v>
      </c>
      <c r="G76" s="19">
        <f>HYPERLINK("https://www.tradingview.com/chart/?symbol=NSE:INDUSINDBK","Chart 📈")</f>
        <v/>
      </c>
    </row>
    <row r="77" ht="16" customHeight="1">
      <c r="A77" s="12" t="inlineStr">
        <is>
          <t>NIFTY PSU BANK</t>
        </is>
      </c>
      <c r="B77" s="13" t="inlineStr">
        <is>
          <t>PNB</t>
        </is>
      </c>
      <c r="C77" s="14" t="n">
        <v>111.08</v>
      </c>
      <c r="D77" s="14" t="n">
        <v>108.61</v>
      </c>
      <c r="E77" s="14" t="n">
        <v>107.24</v>
      </c>
      <c r="F77" s="14" t="n">
        <v>109.29</v>
      </c>
      <c r="G77" s="15">
        <f>HYPERLINK("https://www.tradingview.com/chart/?symbol=NSE:PNB","Chart 📈")</f>
        <v/>
      </c>
    </row>
    <row r="78" ht="16" customHeight="1">
      <c r="A78" s="16" t="inlineStr">
        <is>
          <t>NIFTY PSU BANK</t>
        </is>
      </c>
      <c r="B78" s="13" t="inlineStr">
        <is>
          <t>UNIONBANK</t>
        </is>
      </c>
      <c r="C78" s="14" t="n">
        <v>171.08</v>
      </c>
      <c r="D78" s="14" t="n">
        <v>168.95</v>
      </c>
      <c r="E78" s="14" t="n">
        <v>167.48</v>
      </c>
      <c r="F78" s="14" t="n">
        <v>161.07</v>
      </c>
      <c r="G78" s="15">
        <f>HYPERLINK("https://www.tradingview.com/chart/?symbol=NSE:UNIONBANK","Chart 📈")</f>
        <v/>
      </c>
    </row>
    <row r="79" ht="16" customHeight="1">
      <c r="A79" s="8" t="inlineStr">
        <is>
          <t>NIFTY ENERGY</t>
        </is>
      </c>
      <c r="B79" s="17" t="inlineStr">
        <is>
          <t>ABB</t>
        </is>
      </c>
      <c r="C79" s="18" t="n">
        <v>7310.5</v>
      </c>
      <c r="D79" s="18" t="n">
        <v>7251.25</v>
      </c>
      <c r="E79" s="18" t="n">
        <v>7077.56</v>
      </c>
      <c r="F79" s="18" t="n">
        <v>6353.72</v>
      </c>
      <c r="G79" s="19">
        <f>HYPERLINK("https://www.tradingview.com/chart/?symbol=NSE:ABB","Chart 📈")</f>
        <v/>
      </c>
    </row>
    <row r="80" ht="16" customHeight="1">
      <c r="A80" s="20" t="inlineStr">
        <is>
          <t>NIFTY ENERGY</t>
        </is>
      </c>
      <c r="B80" s="17" t="inlineStr">
        <is>
          <t>ADANIENSOL</t>
        </is>
      </c>
      <c r="C80" s="18" t="n">
        <v>1667.8</v>
      </c>
      <c r="D80" s="18" t="n">
        <v>1656.91</v>
      </c>
      <c r="E80" s="18" t="n">
        <v>1559.82</v>
      </c>
      <c r="F80" s="18" t="n">
        <v>1247.83</v>
      </c>
      <c r="G80" s="19">
        <f>HYPERLINK("https://www.tradingview.com/chart/?symbol=NSE:ADANIENSOL","Chart 📈")</f>
        <v/>
      </c>
    </row>
    <row r="81" ht="16" customHeight="1">
      <c r="A81" s="20" t="inlineStr">
        <is>
          <t>NIFTY ENERGY</t>
        </is>
      </c>
      <c r="B81" s="17" t="inlineStr">
        <is>
          <t>SIEMENS</t>
        </is>
      </c>
      <c r="C81" s="18" t="n">
        <v>3650.8</v>
      </c>
      <c r="D81" s="18" t="n">
        <v>3617.47</v>
      </c>
      <c r="E81" s="18" t="n">
        <v>3597.4</v>
      </c>
      <c r="F81" s="18" t="n">
        <v>3398.51</v>
      </c>
      <c r="G81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2026-07-29T13:11:20Z</dcterms:created>
  <dcterms:modified xsi:type="dcterms:W3CDTF">2026-07-29T13:11:20Z</dcterms:modified>
</cp:coreProperties>
</file>