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tor EMA Summary" sheetId="1" state="visible" r:id="rId1"/>
    <sheet xmlns:r="http://schemas.openxmlformats.org/officeDocument/2006/relationships"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09-Sep-2026  15:13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METAL</t>
        </is>
      </c>
      <c r="B4" s="5" t="n">
        <v>15</v>
      </c>
      <c r="C4" s="5" t="n">
        <v>13</v>
      </c>
      <c r="D4" s="5" t="n">
        <v>14</v>
      </c>
      <c r="E4" s="5" t="n">
        <v>14</v>
      </c>
      <c r="F4" s="6" t="n">
        <v>0.867</v>
      </c>
      <c r="G4" s="6" t="n">
        <v>0.9329999999999999</v>
      </c>
      <c r="H4" s="6" t="n">
        <v>0.9329999999999999</v>
      </c>
      <c r="I4" s="7" t="n">
        <v>0.9109999999999999</v>
      </c>
    </row>
    <row r="5" ht="17" customHeight="1">
      <c r="A5" s="8" t="inlineStr">
        <is>
          <t>NIFTY PHARMA</t>
        </is>
      </c>
      <c r="B5" s="9" t="n">
        <v>20</v>
      </c>
      <c r="C5" s="9" t="n">
        <v>7</v>
      </c>
      <c r="D5" s="9" t="n">
        <v>10</v>
      </c>
      <c r="E5" s="9" t="n">
        <v>11</v>
      </c>
      <c r="F5" s="10" t="n">
        <v>0.35</v>
      </c>
      <c r="G5" s="10" t="n">
        <v>0.5</v>
      </c>
      <c r="H5" s="10" t="n">
        <v>0.55</v>
      </c>
      <c r="I5" s="11" t="n">
        <v>0.4667</v>
      </c>
    </row>
    <row r="6" ht="17" customHeight="1">
      <c r="A6" s="4" t="inlineStr">
        <is>
          <t>NIFTY REALTY</t>
        </is>
      </c>
      <c r="B6" s="5" t="n">
        <v>10</v>
      </c>
      <c r="C6" s="5" t="n">
        <v>3</v>
      </c>
      <c r="D6" s="5" t="n">
        <v>3</v>
      </c>
      <c r="E6" s="5" t="n">
        <v>8</v>
      </c>
      <c r="F6" s="6" t="n">
        <v>0.3</v>
      </c>
      <c r="G6" s="6" t="n">
        <v>0.3</v>
      </c>
      <c r="H6" s="6" t="n">
        <v>0.8</v>
      </c>
      <c r="I6" s="7" t="n">
        <v>0.4667</v>
      </c>
    </row>
    <row r="7" ht="17" customHeight="1">
      <c r="A7" s="8" t="inlineStr">
        <is>
          <t>NIFTY MIDSMALL IT &amp; TELECOM</t>
        </is>
      </c>
      <c r="B7" s="9" t="n">
        <v>20</v>
      </c>
      <c r="C7" s="9" t="n">
        <v>5</v>
      </c>
      <c r="D7" s="9" t="n">
        <v>9</v>
      </c>
      <c r="E7" s="9" t="n">
        <v>9</v>
      </c>
      <c r="F7" s="10" t="n">
        <v>0.25</v>
      </c>
      <c r="G7" s="10" t="n">
        <v>0.45</v>
      </c>
      <c r="H7" s="10" t="n">
        <v>0.45</v>
      </c>
      <c r="I7" s="11" t="n">
        <v>0.3833</v>
      </c>
    </row>
    <row r="8" ht="17" customHeight="1">
      <c r="A8" s="4" t="inlineStr">
        <is>
          <t>NIFTY OIL &amp; GAS</t>
        </is>
      </c>
      <c r="B8" s="5" t="n">
        <v>15</v>
      </c>
      <c r="C8" s="5" t="n">
        <v>5</v>
      </c>
      <c r="D8" s="5" t="n">
        <v>5</v>
      </c>
      <c r="E8" s="5" t="n">
        <v>5</v>
      </c>
      <c r="F8" s="6" t="n">
        <v>0.333</v>
      </c>
      <c r="G8" s="6" t="n">
        <v>0.333</v>
      </c>
      <c r="H8" s="6" t="n">
        <v>0.333</v>
      </c>
      <c r="I8" s="7" t="n">
        <v>0.333</v>
      </c>
    </row>
    <row r="9" ht="17" customHeight="1">
      <c r="A9" s="8" t="inlineStr">
        <is>
          <t>NIFTY MEDIA</t>
        </is>
      </c>
      <c r="B9" s="9" t="n">
        <v>10</v>
      </c>
      <c r="C9" s="9" t="n">
        <v>2</v>
      </c>
      <c r="D9" s="9" t="n">
        <v>3</v>
      </c>
      <c r="E9" s="9" t="n">
        <v>4</v>
      </c>
      <c r="F9" s="10" t="n">
        <v>0.2</v>
      </c>
      <c r="G9" s="10" t="n">
        <v>0.3</v>
      </c>
      <c r="H9" s="10" t="n">
        <v>0.4</v>
      </c>
      <c r="I9" s="11" t="n">
        <v>0.3</v>
      </c>
    </row>
    <row r="10" ht="17" customHeight="1">
      <c r="A10" s="4" t="inlineStr">
        <is>
          <t>NIFTY AUTO</t>
        </is>
      </c>
      <c r="B10" s="5" t="n">
        <v>15</v>
      </c>
      <c r="C10" s="5" t="n">
        <v>1</v>
      </c>
      <c r="D10" s="5" t="n">
        <v>4</v>
      </c>
      <c r="E10" s="5" t="n">
        <v>8</v>
      </c>
      <c r="F10" s="6" t="n">
        <v>0.067</v>
      </c>
      <c r="G10" s="6" t="n">
        <v>0.267</v>
      </c>
      <c r="H10" s="6" t="n">
        <v>0.5329999999999999</v>
      </c>
      <c r="I10" s="7" t="n">
        <v>0.289</v>
      </c>
    </row>
    <row r="11" ht="17" customHeight="1">
      <c r="A11" s="8" t="inlineStr">
        <is>
          <t>NIFTY FINANCIAL SERVICES</t>
        </is>
      </c>
      <c r="B11" s="9" t="n">
        <v>20</v>
      </c>
      <c r="C11" s="9" t="n">
        <v>4</v>
      </c>
      <c r="D11" s="9" t="n">
        <v>5</v>
      </c>
      <c r="E11" s="9" t="n">
        <v>8</v>
      </c>
      <c r="F11" s="10" t="n">
        <v>0.2</v>
      </c>
      <c r="G11" s="10" t="n">
        <v>0.25</v>
      </c>
      <c r="H11" s="10" t="n">
        <v>0.4</v>
      </c>
      <c r="I11" s="11" t="n">
        <v>0.2833</v>
      </c>
    </row>
    <row r="12" ht="17" customHeight="1">
      <c r="A12" s="4" t="inlineStr">
        <is>
          <t>NIFTY PSU BANK</t>
        </is>
      </c>
      <c r="B12" s="5" t="n">
        <v>12</v>
      </c>
      <c r="C12" s="5" t="n">
        <v>2</v>
      </c>
      <c r="D12" s="5" t="n">
        <v>3</v>
      </c>
      <c r="E12" s="5" t="n">
        <v>5</v>
      </c>
      <c r="F12" s="6" t="n">
        <v>0.167</v>
      </c>
      <c r="G12" s="6" t="n">
        <v>0.25</v>
      </c>
      <c r="H12" s="6" t="n">
        <v>0.417</v>
      </c>
      <c r="I12" s="7" t="n">
        <v>0.278</v>
      </c>
    </row>
    <row r="13" ht="17" customHeight="1">
      <c r="A13" s="8" t="inlineStr">
        <is>
          <t>NIFTY CONSUMER DURABLES</t>
        </is>
      </c>
      <c r="B13" s="9" t="n">
        <v>15</v>
      </c>
      <c r="C13" s="9" t="n">
        <v>3</v>
      </c>
      <c r="D13" s="9" t="n">
        <v>4</v>
      </c>
      <c r="E13" s="9" t="n">
        <v>5</v>
      </c>
      <c r="F13" s="10" t="n">
        <v>0.2</v>
      </c>
      <c r="G13" s="10" t="n">
        <v>0.267</v>
      </c>
      <c r="H13" s="10" t="n">
        <v>0.333</v>
      </c>
      <c r="I13" s="11" t="n">
        <v>0.2667</v>
      </c>
    </row>
    <row r="14" ht="17" customHeight="1">
      <c r="A14" s="4" t="inlineStr">
        <is>
          <t>NIFTY ENERGY</t>
        </is>
      </c>
      <c r="B14" s="5" t="n">
        <v>40</v>
      </c>
      <c r="C14" s="5" t="n">
        <v>12</v>
      </c>
      <c r="D14" s="5" t="n">
        <v>7</v>
      </c>
      <c r="E14" s="5" t="n">
        <v>12</v>
      </c>
      <c r="F14" s="6" t="n">
        <v>0.3</v>
      </c>
      <c r="G14" s="6" t="n">
        <v>0.175</v>
      </c>
      <c r="H14" s="6" t="n">
        <v>0.3</v>
      </c>
      <c r="I14" s="7" t="n">
        <v>0.2583</v>
      </c>
    </row>
    <row r="15" ht="17" customHeight="1">
      <c r="A15" s="8" t="inlineStr">
        <is>
          <t>NIFTY BANK</t>
        </is>
      </c>
      <c r="B15" s="9" t="n">
        <v>12</v>
      </c>
      <c r="C15" s="9" t="n">
        <v>1</v>
      </c>
      <c r="D15" s="9" t="n">
        <v>3</v>
      </c>
      <c r="E15" s="9" t="n">
        <v>4</v>
      </c>
      <c r="F15" s="10" t="n">
        <v>0.083</v>
      </c>
      <c r="G15" s="10" t="n">
        <v>0.25</v>
      </c>
      <c r="H15" s="10" t="n">
        <v>0.333</v>
      </c>
      <c r="I15" s="11" t="n">
        <v>0.222</v>
      </c>
    </row>
    <row r="16" ht="17" customHeight="1">
      <c r="A16" s="4" t="inlineStr">
        <is>
          <t>NIFTY FMCG</t>
        </is>
      </c>
      <c r="B16" s="5" t="n">
        <v>15</v>
      </c>
      <c r="C16" s="5" t="n">
        <v>1</v>
      </c>
      <c r="D16" s="5" t="n">
        <v>2</v>
      </c>
      <c r="E16" s="5" t="n">
        <v>5</v>
      </c>
      <c r="F16" s="6" t="n">
        <v>0.067</v>
      </c>
      <c r="G16" s="6" t="n">
        <v>0.133</v>
      </c>
      <c r="H16" s="6" t="n">
        <v>0.333</v>
      </c>
      <c r="I16" s="7" t="n">
        <v>0.1777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1</v>
      </c>
      <c r="F17" s="10" t="n">
        <v>0</v>
      </c>
      <c r="G17" s="10" t="n">
        <v>0</v>
      </c>
      <c r="H17" s="10" t="n">
        <v>0.1</v>
      </c>
      <c r="I17" s="11" t="n">
        <v>0.0333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METAL</t>
        </is>
      </c>
      <c r="B3" s="13" t="inlineStr">
        <is>
          <t>ADANIENT</t>
        </is>
      </c>
      <c r="C3" s="14" t="n">
        <v>3104.7</v>
      </c>
      <c r="D3" s="14" t="n">
        <v>2997.99</v>
      </c>
      <c r="E3" s="14" t="n">
        <v>2990.98</v>
      </c>
      <c r="F3" s="14" t="n">
        <v>2681</v>
      </c>
      <c r="G3" s="15">
        <f>HYPERLINK("https://www.tradingview.com/chart/?symbol=NSE:ADANIENT","Chart 📈")</f>
        <v/>
      </c>
    </row>
    <row r="4" ht="16" customHeight="1">
      <c r="A4" s="16" t="inlineStr">
        <is>
          <t>NIFTY METAL</t>
        </is>
      </c>
      <c r="B4" s="13" t="inlineStr">
        <is>
          <t>APLAPOLLO</t>
        </is>
      </c>
      <c r="C4" s="14" t="n">
        <v>2168</v>
      </c>
      <c r="D4" s="14" t="n">
        <v>2140.74</v>
      </c>
      <c r="E4" s="14" t="n">
        <v>2033.42</v>
      </c>
      <c r="F4" s="14" t="n">
        <v>1923.7</v>
      </c>
      <c r="G4" s="15">
        <f>HYPERLINK("https://www.tradingview.com/chart/?symbol=NSE:APLAPOLLO","Chart 📈")</f>
        <v/>
      </c>
    </row>
    <row r="5" ht="16" customHeight="1">
      <c r="A5" s="16" t="inlineStr">
        <is>
          <t>NIFTY METAL</t>
        </is>
      </c>
      <c r="B5" s="13" t="inlineStr">
        <is>
          <t>HINDALCO</t>
        </is>
      </c>
      <c r="C5" s="14" t="n">
        <v>1026.9</v>
      </c>
      <c r="D5" s="14" t="n">
        <v>1022.53</v>
      </c>
      <c r="E5" s="14" t="n">
        <v>1014.39</v>
      </c>
      <c r="F5" s="14" t="n">
        <v>959.55</v>
      </c>
      <c r="G5" s="15">
        <f>HYPERLINK("https://www.tradingview.com/chart/?symbol=NSE:HINDALCO","Chart 📈")</f>
        <v/>
      </c>
    </row>
    <row r="6" ht="16" customHeight="1">
      <c r="A6" s="16" t="inlineStr">
        <is>
          <t>NIFTY METAL</t>
        </is>
      </c>
      <c r="B6" s="13" t="inlineStr">
        <is>
          <t>HINDCOPPER</t>
        </is>
      </c>
      <c r="C6" s="14" t="n">
        <v>532.3</v>
      </c>
      <c r="D6" s="14" t="n">
        <v>530.7</v>
      </c>
      <c r="E6" s="14" t="n">
        <v>525.29</v>
      </c>
      <c r="F6" s="14" t="n">
        <v>489.44</v>
      </c>
      <c r="G6" s="15">
        <f>HYPERLINK("https://www.tradingview.com/chart/?symbol=NSE:HINDCOPPER","Chart 📈")</f>
        <v/>
      </c>
    </row>
    <row r="7" ht="16" customHeight="1">
      <c r="A7" s="16" t="inlineStr">
        <is>
          <t>NIFTY METAL</t>
        </is>
      </c>
      <c r="B7" s="13" t="inlineStr">
        <is>
          <t>HINDZINC</t>
        </is>
      </c>
      <c r="C7" s="14" t="n">
        <v>605.4</v>
      </c>
      <c r="D7" s="14" t="n">
        <v>590.6799999999999</v>
      </c>
      <c r="E7" s="14" t="n">
        <v>577.61</v>
      </c>
      <c r="F7" s="14" t="n">
        <v>557.58</v>
      </c>
      <c r="G7" s="15">
        <f>HYPERLINK("https://www.tradingview.com/chart/?symbol=NSE:HINDZINC","Chart 📈")</f>
        <v/>
      </c>
    </row>
    <row r="8" ht="16" customHeight="1">
      <c r="A8" s="16" t="inlineStr">
        <is>
          <t>NIFTY METAL</t>
        </is>
      </c>
      <c r="B8" s="13" t="inlineStr">
        <is>
          <t>JINDALSTEL</t>
        </is>
      </c>
      <c r="C8" s="14" t="n">
        <v>1146.5</v>
      </c>
      <c r="D8" s="14" t="n">
        <v>1140.67</v>
      </c>
      <c r="E8" s="14" t="n">
        <v>1122.9</v>
      </c>
      <c r="F8" s="14" t="n">
        <v>1118.44</v>
      </c>
      <c r="G8" s="15">
        <f>HYPERLINK("https://www.tradingview.com/chart/?symbol=NSE:JINDALSTEL","Chart 📈")</f>
        <v/>
      </c>
    </row>
    <row r="9" ht="16" customHeight="1">
      <c r="A9" s="16" t="inlineStr">
        <is>
          <t>NIFTY METAL</t>
        </is>
      </c>
      <c r="B9" s="13" t="inlineStr">
        <is>
          <t>JSL</t>
        </is>
      </c>
      <c r="C9" s="14" t="n">
        <v>783.3</v>
      </c>
      <c r="D9" s="14" t="n">
        <v>729.67</v>
      </c>
      <c r="E9" s="14" t="n">
        <v>723.75</v>
      </c>
      <c r="F9" s="14" t="n">
        <v>736.86</v>
      </c>
      <c r="G9" s="15">
        <f>HYPERLINK("https://www.tradingview.com/chart/?symbol=NSE:JSL","Chart 📈")</f>
        <v/>
      </c>
    </row>
    <row r="10" ht="16" customHeight="1">
      <c r="A10" s="16" t="inlineStr">
        <is>
          <t>NIFTY METAL</t>
        </is>
      </c>
      <c r="B10" s="13" t="inlineStr">
        <is>
          <t>JSWSTEEL</t>
        </is>
      </c>
      <c r="C10" s="14" t="n">
        <v>1310</v>
      </c>
      <c r="D10" s="14" t="n">
        <v>1304.81</v>
      </c>
      <c r="E10" s="14" t="n">
        <v>1287.14</v>
      </c>
      <c r="F10" s="14" t="n">
        <v>1232.28</v>
      </c>
      <c r="G10" s="15">
        <f>HYPERLINK("https://www.tradingview.com/chart/?symbol=NSE:JSWSTEEL","Chart 📈")</f>
        <v/>
      </c>
    </row>
    <row r="11" ht="16" customHeight="1">
      <c r="A11" s="16" t="inlineStr">
        <is>
          <t>NIFTY METAL</t>
        </is>
      </c>
      <c r="B11" s="13" t="inlineStr">
        <is>
          <t>NMDC</t>
        </is>
      </c>
      <c r="C11" s="14" t="n">
        <v>85.8</v>
      </c>
      <c r="D11" s="14" t="n">
        <v>85.31</v>
      </c>
      <c r="E11" s="14" t="n">
        <v>85.45</v>
      </c>
      <c r="F11" s="14" t="n">
        <v>83.15000000000001</v>
      </c>
      <c r="G11" s="15">
        <f>HYPERLINK("https://www.tradingview.com/chart/?symbol=NSE:NMDC","Chart 📈")</f>
        <v/>
      </c>
    </row>
    <row r="12" ht="16" customHeight="1">
      <c r="A12" s="16" t="inlineStr">
        <is>
          <t>NIFTY METAL</t>
        </is>
      </c>
      <c r="B12" s="13" t="inlineStr">
        <is>
          <t>RATNAMANI</t>
        </is>
      </c>
      <c r="C12" s="14" t="n">
        <v>2859.2</v>
      </c>
      <c r="D12" s="14" t="n">
        <v>2598.73</v>
      </c>
      <c r="E12" s="14" t="n">
        <v>2529.83</v>
      </c>
      <c r="F12" s="14" t="n">
        <v>2457.59</v>
      </c>
      <c r="G12" s="15">
        <f>HYPERLINK("https://www.tradingview.com/chart/?symbol=NSE:RATNAMANI","Chart 📈")</f>
        <v/>
      </c>
    </row>
    <row r="13" ht="16" customHeight="1">
      <c r="A13" s="16" t="inlineStr">
        <is>
          <t>NIFTY METAL</t>
        </is>
      </c>
      <c r="B13" s="13" t="inlineStr">
        <is>
          <t>SAIL</t>
        </is>
      </c>
      <c r="C13" s="14" t="n">
        <v>186.4</v>
      </c>
      <c r="D13" s="14" t="n">
        <v>186.05</v>
      </c>
      <c r="E13" s="14" t="n">
        <v>180.09</v>
      </c>
      <c r="F13" s="14" t="n">
        <v>167.12</v>
      </c>
      <c r="G13" s="15">
        <f>HYPERLINK("https://www.tradingview.com/chart/?symbol=NSE:SAIL","Chart 📈")</f>
        <v/>
      </c>
    </row>
    <row r="14" ht="16" customHeight="1">
      <c r="A14" s="16" t="inlineStr">
        <is>
          <t>NIFTY METAL</t>
        </is>
      </c>
      <c r="B14" s="13" t="inlineStr">
        <is>
          <t>TATASTEEL</t>
        </is>
      </c>
      <c r="C14" s="14" t="n">
        <v>188.75</v>
      </c>
      <c r="D14" s="14" t="n">
        <v>186.09</v>
      </c>
      <c r="E14" s="14" t="n">
        <v>188.05</v>
      </c>
      <c r="F14" s="14" t="n">
        <v>188.4</v>
      </c>
      <c r="G14" s="15">
        <f>HYPERLINK("https://www.tradingview.com/chart/?symbol=NSE:TATASTEEL","Chart 📈")</f>
        <v/>
      </c>
    </row>
    <row r="15" ht="16" customHeight="1">
      <c r="A15" s="16" t="inlineStr">
        <is>
          <t>NIFTY METAL</t>
        </is>
      </c>
      <c r="B15" s="13" t="inlineStr">
        <is>
          <t>WELCORP</t>
        </is>
      </c>
      <c r="C15" s="14" t="n">
        <v>2608.5</v>
      </c>
      <c r="D15" s="14" t="n">
        <v>2344.29</v>
      </c>
      <c r="E15" s="14" t="n">
        <v>2012.97</v>
      </c>
      <c r="F15" s="14" t="n">
        <v>1412.08</v>
      </c>
      <c r="G15" s="15">
        <f>HYPERLINK("https://www.tradingview.com/chart/?symbol=NSE:WELCORP","Chart 📈")</f>
        <v/>
      </c>
    </row>
    <row r="16" ht="16" customHeight="1">
      <c r="A16" s="8" t="inlineStr">
        <is>
          <t>NIFTY PHARMA</t>
        </is>
      </c>
      <c r="B16" s="17" t="inlineStr">
        <is>
          <t>AUROPHARMA</t>
        </is>
      </c>
      <c r="C16" s="18" t="n">
        <v>1698.9</v>
      </c>
      <c r="D16" s="18" t="n">
        <v>1647.24</v>
      </c>
      <c r="E16" s="18" t="n">
        <v>1601.83</v>
      </c>
      <c r="F16" s="18" t="n">
        <v>1417.64</v>
      </c>
      <c r="G16" s="19">
        <f>HYPERLINK("https://www.tradingview.com/chart/?symbol=NSE:AUROPHARMA","Chart 📈")</f>
        <v/>
      </c>
    </row>
    <row r="17" ht="16" customHeight="1">
      <c r="A17" s="20" t="inlineStr">
        <is>
          <t>NIFTY PHARMA</t>
        </is>
      </c>
      <c r="B17" s="17" t="inlineStr">
        <is>
          <t>DIVISLAB</t>
        </is>
      </c>
      <c r="C17" s="18" t="n">
        <v>9488</v>
      </c>
      <c r="D17" s="18" t="n">
        <v>8971.940000000001</v>
      </c>
      <c r="E17" s="18" t="n">
        <v>8287.389999999999</v>
      </c>
      <c r="F17" s="18" t="n">
        <v>7086.2</v>
      </c>
      <c r="G17" s="19">
        <f>HYPERLINK("https://www.tradingview.com/chart/?symbol=NSE:DIVISLAB","Chart 📈")</f>
        <v/>
      </c>
    </row>
    <row r="18" ht="16" customHeight="1">
      <c r="A18" s="20" t="inlineStr">
        <is>
          <t>NIFTY PHARMA</t>
        </is>
      </c>
      <c r="B18" s="17" t="inlineStr">
        <is>
          <t>GLAND</t>
        </is>
      </c>
      <c r="C18" s="18" t="n">
        <v>3026.2</v>
      </c>
      <c r="D18" s="18" t="n">
        <v>2867.37</v>
      </c>
      <c r="E18" s="18" t="n">
        <v>2683.6</v>
      </c>
      <c r="F18" s="18" t="n">
        <v>2226.04</v>
      </c>
      <c r="G18" s="19">
        <f>HYPERLINK("https://www.tradingview.com/chart/?symbol=NSE:GLAND","Chart 📈")</f>
        <v/>
      </c>
    </row>
    <row r="19" ht="16" customHeight="1">
      <c r="A19" s="20" t="inlineStr">
        <is>
          <t>NIFTY PHARMA</t>
        </is>
      </c>
      <c r="B19" s="17" t="inlineStr">
        <is>
          <t>GLENMARK</t>
        </is>
      </c>
      <c r="C19" s="18" t="n">
        <v>2435</v>
      </c>
      <c r="D19" s="18" t="n">
        <v>2405.23</v>
      </c>
      <c r="E19" s="18" t="n">
        <v>2333.33</v>
      </c>
      <c r="F19" s="18" t="n">
        <v>2207.67</v>
      </c>
      <c r="G19" s="19">
        <f>HYPERLINK("https://www.tradingview.com/chart/?symbol=NSE:GLENMARK","Chart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884.8</v>
      </c>
      <c r="D20" s="18" t="n">
        <v>854.17</v>
      </c>
      <c r="E20" s="18" t="n">
        <v>838.5599999999999</v>
      </c>
      <c r="F20" s="18" t="n">
        <v>726.98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1963.6</v>
      </c>
      <c r="D21" s="18" t="n">
        <v>1918.78</v>
      </c>
      <c r="E21" s="18" t="n">
        <v>1832.64</v>
      </c>
      <c r="F21" s="18" t="n">
        <v>1624.44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LAURUSLABS</t>
        </is>
      </c>
      <c r="C22" s="18" t="n">
        <v>1937</v>
      </c>
      <c r="D22" s="18" t="n">
        <v>1859.04</v>
      </c>
      <c r="E22" s="18" t="n">
        <v>1740.74</v>
      </c>
      <c r="F22" s="18" t="n">
        <v>1373.26</v>
      </c>
      <c r="G22" s="19">
        <f>HYPERLINK("https://www.tradingview.com/chart/?symbol=NSE:LAURUSLABS","Chart 📈")</f>
        <v/>
      </c>
    </row>
    <row r="23" ht="16" customHeight="1">
      <c r="A23" s="12" t="inlineStr">
        <is>
          <t>NIFTY REALTY</t>
        </is>
      </c>
      <c r="B23" s="13" t="inlineStr">
        <is>
          <t>BRIGADE</t>
        </is>
      </c>
      <c r="C23" s="14" t="n">
        <v>662.9</v>
      </c>
      <c r="D23" s="14" t="n">
        <v>643.76</v>
      </c>
      <c r="E23" s="14" t="n">
        <v>602.64</v>
      </c>
      <c r="F23" s="14" t="n">
        <v>585.55</v>
      </c>
      <c r="G23" s="15">
        <f>HYPERLINK("https://www.tradingview.com/chart/?symbol=NSE:BRIGADE","Chart 📈")</f>
        <v/>
      </c>
    </row>
    <row r="24" ht="16" customHeight="1">
      <c r="A24" s="16" t="inlineStr">
        <is>
          <t>NIFTY REALTY</t>
        </is>
      </c>
      <c r="B24" s="13" t="inlineStr">
        <is>
          <t>MAHLIFE</t>
        </is>
      </c>
      <c r="C24" s="14" t="n">
        <v>370.1</v>
      </c>
      <c r="D24" s="14" t="n">
        <v>369.86</v>
      </c>
      <c r="E24" s="14" t="n">
        <v>369.64</v>
      </c>
      <c r="F24" s="14" t="n">
        <v>361.64</v>
      </c>
      <c r="G24" s="15">
        <f>HYPERLINK("https://www.tradingview.com/chart/?symbol=NSE:MAHLIFE","Chart 📈")</f>
        <v/>
      </c>
    </row>
    <row r="25" ht="16" customHeight="1">
      <c r="A25" s="16" t="inlineStr">
        <is>
          <t>NIFTY REALTY</t>
        </is>
      </c>
      <c r="B25" s="13" t="inlineStr">
        <is>
          <t>RAYMOND</t>
        </is>
      </c>
      <c r="C25" s="14" t="n">
        <v>808.45</v>
      </c>
      <c r="D25" s="14" t="n">
        <v>684.27</v>
      </c>
      <c r="E25" s="14" t="n">
        <v>635.3200000000001</v>
      </c>
      <c r="F25" s="14" t="n">
        <v>550.63</v>
      </c>
      <c r="G25" s="15">
        <f>HYPERLINK("https://www.tradingview.com/chart/?symbol=NSE:RAYMOND","Chart 📈")</f>
        <v/>
      </c>
    </row>
    <row r="26" ht="16" customHeight="1">
      <c r="A26" s="8" t="inlineStr">
        <is>
          <t>NIFTY MIDSMALL IT &amp; TELECOM</t>
        </is>
      </c>
      <c r="B26" s="17" t="inlineStr">
        <is>
          <t>CYIENT</t>
        </is>
      </c>
      <c r="C26" s="18" t="n">
        <v>1075.1</v>
      </c>
      <c r="D26" s="18" t="n">
        <v>1030.09</v>
      </c>
      <c r="E26" s="18" t="n">
        <v>955.88</v>
      </c>
      <c r="F26" s="18" t="n">
        <v>966.29</v>
      </c>
      <c r="G26" s="19">
        <f>HYPERLINK("https://www.tradingview.com/chart/?symbol=NSE:CYIENT","Chart 📈")</f>
        <v/>
      </c>
    </row>
    <row r="27" ht="16" customHeight="1">
      <c r="A27" s="20" t="inlineStr">
        <is>
          <t>NIFTY MIDSMALL IT &amp; TELECOM</t>
        </is>
      </c>
      <c r="B27" s="17" t="inlineStr">
        <is>
          <t>HFCL</t>
        </is>
      </c>
      <c r="C27" s="18" t="n">
        <v>245.43</v>
      </c>
      <c r="D27" s="18" t="n">
        <v>233.35</v>
      </c>
      <c r="E27" s="18" t="n">
        <v>217.86</v>
      </c>
      <c r="F27" s="18" t="n">
        <v>153.69</v>
      </c>
      <c r="G27" s="19">
        <f>HYPERLINK("https://www.tradingview.com/chart/?symbol=NSE:HFCL","Chart 📈")</f>
        <v/>
      </c>
    </row>
    <row r="28" ht="16" customHeight="1">
      <c r="A28" s="20" t="inlineStr">
        <is>
          <t>NIFTY MIDSMALL IT &amp; TELECOM</t>
        </is>
      </c>
      <c r="B28" s="17" t="inlineStr">
        <is>
          <t>IDEA</t>
        </is>
      </c>
      <c r="C28" s="18" t="n">
        <v>15.52</v>
      </c>
      <c r="D28" s="18" t="n">
        <v>14.57</v>
      </c>
      <c r="E28" s="18" t="n">
        <v>14.03</v>
      </c>
      <c r="F28" s="18" t="n">
        <v>12.15</v>
      </c>
      <c r="G28" s="19">
        <f>HYPERLINK("https://www.tradingview.com/chart/?symbol=NSE:IDEA","Chart 📈")</f>
        <v/>
      </c>
    </row>
    <row r="29" ht="16" customHeight="1">
      <c r="A29" s="20" t="inlineStr">
        <is>
          <t>NIFTY MIDSMALL IT &amp; TELECOM</t>
        </is>
      </c>
      <c r="B29" s="17" t="inlineStr">
        <is>
          <t>TATACOMM</t>
        </is>
      </c>
      <c r="C29" s="18" t="n">
        <v>1772.8</v>
      </c>
      <c r="D29" s="18" t="n">
        <v>1726.66</v>
      </c>
      <c r="E29" s="18" t="n">
        <v>1754.66</v>
      </c>
      <c r="F29" s="18" t="n">
        <v>1723</v>
      </c>
      <c r="G29" s="19">
        <f>HYPERLINK("https://www.tradingview.com/chart/?symbol=NSE:TATACOMM","Chart 📈")</f>
        <v/>
      </c>
    </row>
    <row r="30" ht="16" customHeight="1">
      <c r="A30" s="20" t="inlineStr">
        <is>
          <t>NIFTY MIDSMALL IT &amp; TELECOM</t>
        </is>
      </c>
      <c r="B30" s="17" t="inlineStr">
        <is>
          <t>TEJASNET</t>
        </is>
      </c>
      <c r="C30" s="18" t="n">
        <v>575.9</v>
      </c>
      <c r="D30" s="18" t="n">
        <v>552.04</v>
      </c>
      <c r="E30" s="18" t="n">
        <v>539.95</v>
      </c>
      <c r="F30" s="18" t="n">
        <v>510.94</v>
      </c>
      <c r="G30" s="19">
        <f>HYPERLINK("https://www.tradingview.com/chart/?symbol=NSE:TEJASNET","Chart 📈")</f>
        <v/>
      </c>
    </row>
    <row r="31" ht="16" customHeight="1">
      <c r="A31" s="12" t="inlineStr">
        <is>
          <t>NIFTY OIL &amp; GAS</t>
        </is>
      </c>
      <c r="B31" s="13" t="inlineStr">
        <is>
          <t>AEGISLOG</t>
        </is>
      </c>
      <c r="C31" s="14" t="n">
        <v>1343.4</v>
      </c>
      <c r="D31" s="14" t="n">
        <v>1294.48</v>
      </c>
      <c r="E31" s="14" t="n">
        <v>1247.76</v>
      </c>
      <c r="F31" s="14" t="n">
        <v>972.6900000000001</v>
      </c>
      <c r="G31" s="15">
        <f>HYPERLINK("https://www.tradingview.com/chart/?symbol=NSE:AEGISLOG","Chart 📈")</f>
        <v/>
      </c>
    </row>
    <row r="32" ht="16" customHeight="1">
      <c r="A32" s="16" t="inlineStr">
        <is>
          <t>NIFTY OIL &amp; GAS</t>
        </is>
      </c>
      <c r="B32" s="13" t="inlineStr">
        <is>
          <t>CASTROLIND</t>
        </is>
      </c>
      <c r="C32" s="14" t="n">
        <v>189.16</v>
      </c>
      <c r="D32" s="14" t="n">
        <v>186.9</v>
      </c>
      <c r="E32" s="14" t="n">
        <v>184.16</v>
      </c>
      <c r="F32" s="14" t="n">
        <v>180.6</v>
      </c>
      <c r="G32" s="15">
        <f>HYPERLINK("https://www.tradingview.com/chart/?symbol=NSE:CASTROLIND","Chart 📈")</f>
        <v/>
      </c>
    </row>
    <row r="33" ht="16" customHeight="1">
      <c r="A33" s="16" t="inlineStr">
        <is>
          <t>NIFTY OIL &amp; GAS</t>
        </is>
      </c>
      <c r="B33" s="13" t="inlineStr">
        <is>
          <t>GAIL</t>
        </is>
      </c>
      <c r="C33" s="14" t="n">
        <v>174.9</v>
      </c>
      <c r="D33" s="14" t="n">
        <v>173.94</v>
      </c>
      <c r="E33" s="14" t="n">
        <v>172.78</v>
      </c>
      <c r="F33" s="14" t="n">
        <v>167.77</v>
      </c>
      <c r="G33" s="15">
        <f>HYPERLINK("https://www.tradingview.com/chart/?symbol=NSE:GAIL","Chart 📈")</f>
        <v/>
      </c>
    </row>
    <row r="34" ht="16" customHeight="1">
      <c r="A34" s="16" t="inlineStr">
        <is>
          <t>NIFTY OIL &amp; GAS</t>
        </is>
      </c>
      <c r="B34" s="13" t="inlineStr">
        <is>
          <t>OIL</t>
        </is>
      </c>
      <c r="C34" s="14" t="n">
        <v>498.95</v>
      </c>
      <c r="D34" s="14" t="n">
        <v>480.31</v>
      </c>
      <c r="E34" s="14" t="n">
        <v>466.57</v>
      </c>
      <c r="F34" s="14" t="n">
        <v>449.73</v>
      </c>
      <c r="G34" s="15">
        <f>HYPERLINK("https://www.tradingview.com/chart/?symbol=NSE:OIL","Chart 📈")</f>
        <v/>
      </c>
    </row>
    <row r="35" ht="16" customHeight="1">
      <c r="A35" s="8" t="inlineStr">
        <is>
          <t>NIFTY MEDIA</t>
        </is>
      </c>
      <c r="B35" s="17" t="inlineStr">
        <is>
          <t>NAZARA</t>
        </is>
      </c>
      <c r="C35" s="18" t="n">
        <v>374.4</v>
      </c>
      <c r="D35" s="18" t="n">
        <v>359.55</v>
      </c>
      <c r="E35" s="18" t="n">
        <v>338.88</v>
      </c>
      <c r="F35" s="18" t="n">
        <v>296.88</v>
      </c>
      <c r="G35" s="19">
        <f>HYPERLINK("https://www.tradingview.com/chart/?symbol=NSE:NAZARA","Chart 📈")</f>
        <v/>
      </c>
    </row>
    <row r="36" ht="16" customHeight="1">
      <c r="A36" s="20" t="inlineStr">
        <is>
          <t>NIFTY MEDIA</t>
        </is>
      </c>
      <c r="B36" s="17" t="inlineStr">
        <is>
          <t>SAREGAMA</t>
        </is>
      </c>
      <c r="C36" s="18" t="n">
        <v>500.55</v>
      </c>
      <c r="D36" s="18" t="n">
        <v>500.49</v>
      </c>
      <c r="E36" s="18" t="n">
        <v>493.96</v>
      </c>
      <c r="F36" s="18" t="n">
        <v>442.83</v>
      </c>
      <c r="G36" s="19">
        <f>HYPERLINK("https://www.tradingview.com/chart/?symbol=NSE:SAREGAMA","Chart 📈")</f>
        <v/>
      </c>
    </row>
    <row r="37" ht="16" customHeight="1">
      <c r="A37" s="12" t="inlineStr">
        <is>
          <t>NIFTY AUTO</t>
        </is>
      </c>
      <c r="B37" s="13" t="inlineStr">
        <is>
          <t>BOSCHLTD</t>
        </is>
      </c>
      <c r="C37" s="14" t="n">
        <v>49100</v>
      </c>
      <c r="D37" s="14" t="n">
        <v>47455.44</v>
      </c>
      <c r="E37" s="14" t="n">
        <v>44844.28</v>
      </c>
      <c r="F37" s="14" t="n">
        <v>40088.34</v>
      </c>
      <c r="G37" s="15">
        <f>HYPERLINK("https://www.tradingview.com/chart/?symbol=NSE:BOSCHLTD","Chart 📈")</f>
        <v/>
      </c>
    </row>
    <row r="38" ht="16" customHeight="1">
      <c r="A38" s="8" t="inlineStr">
        <is>
          <t>NIFTY FINANCIAL SERVICES</t>
        </is>
      </c>
      <c r="B38" s="17" t="inlineStr">
        <is>
          <t>KOTAKBANK</t>
        </is>
      </c>
      <c r="C38" s="18" t="n">
        <v>414</v>
      </c>
      <c r="D38" s="18" t="n">
        <v>411.92</v>
      </c>
      <c r="E38" s="18" t="n">
        <v>401.75</v>
      </c>
      <c r="F38" s="18" t="n">
        <v>397.13</v>
      </c>
      <c r="G38" s="19">
        <f>HYPERLINK("https://www.tradingview.com/chart/?symbol=NSE:KOTAKBANK","Chart 📈")</f>
        <v/>
      </c>
    </row>
    <row r="39" ht="16" customHeight="1">
      <c r="A39" s="20" t="inlineStr">
        <is>
          <t>NIFTY FINANCIAL SERVICES</t>
        </is>
      </c>
      <c r="B39" s="17" t="inlineStr">
        <is>
          <t>LICHSGFIN</t>
        </is>
      </c>
      <c r="C39" s="18" t="n">
        <v>555</v>
      </c>
      <c r="D39" s="18" t="n">
        <v>530.8200000000001</v>
      </c>
      <c r="E39" s="18" t="n">
        <v>525.28</v>
      </c>
      <c r="F39" s="18" t="n">
        <v>528.62</v>
      </c>
      <c r="G39" s="19">
        <f>HYPERLINK("https://www.tradingview.com/chart/?symbol=NSE:LICHSGFIN","Chart 📈")</f>
        <v/>
      </c>
    </row>
    <row r="40" ht="16" customHeight="1">
      <c r="A40" s="20" t="inlineStr">
        <is>
          <t>NIFTY FINANCIAL SERVICES</t>
        </is>
      </c>
      <c r="B40" s="17" t="inlineStr">
        <is>
          <t>MCX</t>
        </is>
      </c>
      <c r="C40" s="18" t="n">
        <v>3350</v>
      </c>
      <c r="D40" s="18" t="n">
        <v>3193.11</v>
      </c>
      <c r="E40" s="18" t="n">
        <v>3030.56</v>
      </c>
      <c r="F40" s="18" t="n">
        <v>2656.53</v>
      </c>
      <c r="G40" s="19">
        <f>HYPERLINK("https://www.tradingview.com/chart/?symbol=NSE:MCX","Chart 📈")</f>
        <v/>
      </c>
    </row>
    <row r="41" ht="16" customHeight="1">
      <c r="A41" s="12" t="inlineStr">
        <is>
          <t>NIFTY PSU BANK</t>
        </is>
      </c>
      <c r="B41" s="13" t="inlineStr">
        <is>
          <t>MAHABANK</t>
        </is>
      </c>
      <c r="C41" s="14" t="n">
        <v>84.56</v>
      </c>
      <c r="D41" s="14" t="n">
        <v>83.15000000000001</v>
      </c>
      <c r="E41" s="14" t="n">
        <v>82.12</v>
      </c>
      <c r="F41" s="14" t="n">
        <v>74.04000000000001</v>
      </c>
      <c r="G41" s="15">
        <f>HYPERLINK("https://www.tradingview.com/chart/?symbol=NSE:MAHABANK","Chart 📈")</f>
        <v/>
      </c>
    </row>
    <row r="42" ht="16" customHeight="1">
      <c r="A42" s="16" t="inlineStr">
        <is>
          <t>NIFTY PSU BANK</t>
        </is>
      </c>
      <c r="B42" s="13" t="inlineStr">
        <is>
          <t>PNB</t>
        </is>
      </c>
      <c r="C42" s="14" t="n">
        <v>115.61</v>
      </c>
      <c r="D42" s="14" t="n">
        <v>115.61</v>
      </c>
      <c r="E42" s="14" t="n">
        <v>113.24</v>
      </c>
      <c r="F42" s="14" t="n">
        <v>110.64</v>
      </c>
      <c r="G42" s="15">
        <f>HYPERLINK("https://www.tradingview.com/chart/?symbol=NSE:PNB","Chart 📈")</f>
        <v/>
      </c>
    </row>
    <row r="43" ht="16" customHeight="1">
      <c r="A43" s="8" t="inlineStr">
        <is>
          <t>NIFTY CONSUMER DURABLES</t>
        </is>
      </c>
      <c r="B43" s="17" t="inlineStr">
        <is>
          <t>KAJARIACER</t>
        </is>
      </c>
      <c r="C43" s="18" t="n">
        <v>1239.2</v>
      </c>
      <c r="D43" s="18" t="n">
        <v>1229.91</v>
      </c>
      <c r="E43" s="18" t="n">
        <v>1210.15</v>
      </c>
      <c r="F43" s="18" t="n">
        <v>1144.44</v>
      </c>
      <c r="G43" s="19">
        <f>HYPERLINK("https://www.tradingview.com/chart/?symbol=NSE:KAJARIACER","Chart 📈")</f>
        <v/>
      </c>
    </row>
    <row r="44" ht="16" customHeight="1">
      <c r="A44" s="20" t="inlineStr">
        <is>
          <t>NIFTY CONSUMER DURABLES</t>
        </is>
      </c>
      <c r="B44" s="17" t="inlineStr">
        <is>
          <t>KALYANKJIL</t>
        </is>
      </c>
      <c r="C44" s="18" t="n">
        <v>607.6</v>
      </c>
      <c r="D44" s="18" t="n">
        <v>598.1900000000001</v>
      </c>
      <c r="E44" s="18" t="n">
        <v>558.25</v>
      </c>
      <c r="F44" s="18" t="n">
        <v>480</v>
      </c>
      <c r="G44" s="19">
        <f>HYPERLINK("https://www.tradingview.com/chart/?symbol=NSE:KALYANKJIL","Chart 📈")</f>
        <v/>
      </c>
    </row>
    <row r="45" ht="16" customHeight="1">
      <c r="A45" s="12" t="inlineStr">
        <is>
          <t>NIFTY ENERGY</t>
        </is>
      </c>
      <c r="B45" s="13" t="inlineStr">
        <is>
          <t>ADANIPOWER</t>
        </is>
      </c>
      <c r="C45" s="14" t="n">
        <v>214.9</v>
      </c>
      <c r="D45" s="14" t="n">
        <v>208.09</v>
      </c>
      <c r="E45" s="14" t="n">
        <v>210.46</v>
      </c>
      <c r="F45" s="14" t="n">
        <v>191.07</v>
      </c>
      <c r="G45" s="15">
        <f>HYPERLINK("https://www.tradingview.com/chart/?symbol=NSE:ADANIPOWER","Chart 📈")</f>
        <v/>
      </c>
    </row>
    <row r="46" ht="16" customHeight="1">
      <c r="A46" s="16" t="inlineStr">
        <is>
          <t>NIFTY ENERGY</t>
        </is>
      </c>
      <c r="B46" s="13" t="inlineStr">
        <is>
          <t>BHEL</t>
        </is>
      </c>
      <c r="C46" s="14" t="n">
        <v>433.7</v>
      </c>
      <c r="D46" s="14" t="n">
        <v>424.04</v>
      </c>
      <c r="E46" s="14" t="n">
        <v>413.78</v>
      </c>
      <c r="F46" s="14" t="n">
        <v>350.92</v>
      </c>
      <c r="G46" s="15">
        <f>HYPERLINK("https://www.tradingview.com/chart/?symbol=NSE:BHEL","Chart 📈")</f>
        <v/>
      </c>
    </row>
    <row r="47" ht="16" customHeight="1">
      <c r="A47" s="16" t="inlineStr">
        <is>
          <t>NIFTY ENERGY</t>
        </is>
      </c>
      <c r="B47" s="13" t="inlineStr">
        <is>
          <t>CGPOWER</t>
        </is>
      </c>
      <c r="C47" s="14" t="n">
        <v>926.95</v>
      </c>
      <c r="D47" s="14" t="n">
        <v>892.59</v>
      </c>
      <c r="E47" s="14" t="n">
        <v>888.41</v>
      </c>
      <c r="F47" s="14" t="n">
        <v>821.99</v>
      </c>
      <c r="G47" s="15">
        <f>HYPERLINK("https://www.tradingview.com/chart/?symbol=NSE:CGPOWER","Chart 📈")</f>
        <v/>
      </c>
    </row>
    <row r="48" ht="16" customHeight="1">
      <c r="A48" s="16" t="inlineStr">
        <is>
          <t>NIFTY ENERGY</t>
        </is>
      </c>
      <c r="B48" s="13" t="inlineStr">
        <is>
          <t>COALINDIA</t>
        </is>
      </c>
      <c r="C48" s="14" t="n">
        <v>431</v>
      </c>
      <c r="D48" s="14" t="n">
        <v>409.79</v>
      </c>
      <c r="E48" s="14" t="n">
        <v>413.07</v>
      </c>
      <c r="F48" s="14" t="n">
        <v>413.67</v>
      </c>
      <c r="G48" s="15">
        <f>HYPERLINK("https://www.tradingview.com/chart/?symbol=NSE:COALINDIA","Chart 📈")</f>
        <v/>
      </c>
    </row>
    <row r="49" ht="16" customHeight="1">
      <c r="A49" s="16" t="inlineStr">
        <is>
          <t>NIFTY ENERGY</t>
        </is>
      </c>
      <c r="B49" s="13" t="inlineStr">
        <is>
          <t>GVT&amp;D</t>
        </is>
      </c>
      <c r="C49" s="14" t="n">
        <v>4673</v>
      </c>
      <c r="D49" s="14" t="n">
        <v>4382.54</v>
      </c>
      <c r="E49" s="14" t="n">
        <v>4406.22</v>
      </c>
      <c r="F49" s="14" t="n">
        <v>4057.26</v>
      </c>
      <c r="G49" s="15">
        <f>HYPERLINK("https://www.tradingview.com/chart/?symbol=NSE:GVT&amp;D","Chart 📈")</f>
        <v/>
      </c>
    </row>
    <row r="50" ht="16" customHeight="1">
      <c r="A50" s="8" t="inlineStr">
        <is>
          <t>NIFTY BANK</t>
        </is>
      </c>
      <c r="B50" s="17" t="inlineStr">
        <is>
          <t>IDFCFIRSTB</t>
        </is>
      </c>
      <c r="C50" s="18" t="n">
        <v>86</v>
      </c>
      <c r="D50" s="18" t="n">
        <v>85.45</v>
      </c>
      <c r="E50" s="18" t="n">
        <v>83.16</v>
      </c>
      <c r="F50" s="18" t="n">
        <v>77.67</v>
      </c>
      <c r="G50" s="19">
        <f>HYPERLINK("https://www.tradingview.com/chart/?symbol=NSE:IDFCFIRSTB","Chart 📈")</f>
        <v/>
      </c>
    </row>
    <row r="51" ht="16" customHeight="1">
      <c r="A51" s="12" t="inlineStr">
        <is>
          <t>NIFTY FMCG</t>
        </is>
      </c>
      <c r="B51" s="13" t="inlineStr">
        <is>
          <t>BALRAMCHIN</t>
        </is>
      </c>
      <c r="C51" s="14" t="n">
        <v>700.05</v>
      </c>
      <c r="D51" s="14" t="n">
        <v>677.76</v>
      </c>
      <c r="E51" s="14" t="n">
        <v>639.6</v>
      </c>
      <c r="F51" s="14" t="n">
        <v>554.34</v>
      </c>
      <c r="G51" s="15">
        <f>HYPERLINK("https://www.tradingview.com/chart/?symbol=NSE:BALRAMCHIN","Chart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2026-09-09T15:13:33Z</dcterms:created>
  <dcterms:modified xmlns:dcterms="http://purl.org/dc/terms/" xmlns:xsi="http://www.w3.org/2001/XMLSchema-instance" xsi:type="dcterms:W3CDTF">2026-09-09T15:13:33Z</dcterms:modified>
</cp:coreProperties>
</file>