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18-May-2026  18:26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18</v>
      </c>
      <c r="D4" s="5" t="n">
        <v>18</v>
      </c>
      <c r="E4" s="5" t="n">
        <v>19</v>
      </c>
      <c r="F4" s="6" t="n">
        <v>0.9</v>
      </c>
      <c r="G4" s="6" t="n">
        <v>0.9</v>
      </c>
      <c r="H4" s="6" t="n">
        <v>0.95</v>
      </c>
      <c r="I4" s="7" t="n">
        <v>0.9167000000000001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11</v>
      </c>
      <c r="E5" s="9" t="n">
        <v>12</v>
      </c>
      <c r="F5" s="10" t="n">
        <v>0.5329999999999999</v>
      </c>
      <c r="G5" s="10" t="n">
        <v>0.733</v>
      </c>
      <c r="H5" s="10" t="n">
        <v>0.8</v>
      </c>
      <c r="I5" s="11" t="n">
        <v>0.6887000000000001</v>
      </c>
    </row>
    <row r="6" ht="17" customHeight="1">
      <c r="A6" s="4" t="inlineStr">
        <is>
          <t>NIFTY FMCG</t>
        </is>
      </c>
      <c r="B6" s="5" t="n">
        <v>15</v>
      </c>
      <c r="C6" s="5" t="n">
        <v>9</v>
      </c>
      <c r="D6" s="5" t="n">
        <v>10</v>
      </c>
      <c r="E6" s="5" t="n">
        <v>6</v>
      </c>
      <c r="F6" s="6" t="n">
        <v>0.6</v>
      </c>
      <c r="G6" s="6" t="n">
        <v>0.667</v>
      </c>
      <c r="H6" s="6" t="n">
        <v>0.4</v>
      </c>
      <c r="I6" s="7" t="n">
        <v>0.5557</v>
      </c>
    </row>
    <row r="7" ht="17" customHeight="1">
      <c r="A7" s="8" t="inlineStr">
        <is>
          <t>NIFTY ENERGY</t>
        </is>
      </c>
      <c r="B7" s="9" t="n">
        <v>40</v>
      </c>
      <c r="C7" s="9" t="n">
        <v>12</v>
      </c>
      <c r="D7" s="9" t="n">
        <v>18</v>
      </c>
      <c r="E7" s="9" t="n">
        <v>22</v>
      </c>
      <c r="F7" s="10" t="n">
        <v>0.3</v>
      </c>
      <c r="G7" s="10" t="n">
        <v>0.45</v>
      </c>
      <c r="H7" s="10" t="n">
        <v>0.55</v>
      </c>
      <c r="I7" s="11" t="n">
        <v>0.4333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8</v>
      </c>
      <c r="D8" s="5" t="n">
        <v>9</v>
      </c>
      <c r="E8" s="5" t="n">
        <v>5</v>
      </c>
      <c r="F8" s="6" t="n">
        <v>0.4</v>
      </c>
      <c r="G8" s="6" t="n">
        <v>0.45</v>
      </c>
      <c r="H8" s="6" t="n">
        <v>0.25</v>
      </c>
      <c r="I8" s="7" t="n">
        <v>0.3667</v>
      </c>
    </row>
    <row r="9" ht="17" customHeight="1">
      <c r="A9" s="8" t="inlineStr">
        <is>
          <t>NIFTY AUTO</t>
        </is>
      </c>
      <c r="B9" s="9" t="n">
        <v>15</v>
      </c>
      <c r="C9" s="9" t="n">
        <v>4</v>
      </c>
      <c r="D9" s="9" t="n">
        <v>6</v>
      </c>
      <c r="E9" s="9" t="n">
        <v>5</v>
      </c>
      <c r="F9" s="10" t="n">
        <v>0.267</v>
      </c>
      <c r="G9" s="10" t="n">
        <v>0.4</v>
      </c>
      <c r="H9" s="10" t="n">
        <v>0.333</v>
      </c>
      <c r="I9" s="11" t="n">
        <v>0.3333</v>
      </c>
    </row>
    <row r="10" ht="17" customHeight="1">
      <c r="A10" s="4" t="inlineStr">
        <is>
          <t>NIFTY MEDIA</t>
        </is>
      </c>
      <c r="B10" s="5" t="n">
        <v>10</v>
      </c>
      <c r="C10" s="5" t="n">
        <v>3</v>
      </c>
      <c r="D10" s="5" t="n">
        <v>3</v>
      </c>
      <c r="E10" s="5" t="n">
        <v>3</v>
      </c>
      <c r="F10" s="6" t="n">
        <v>0.3</v>
      </c>
      <c r="G10" s="6" t="n">
        <v>0.3</v>
      </c>
      <c r="H10" s="6" t="n">
        <v>0.3</v>
      </c>
      <c r="I10" s="7" t="n">
        <v>0.3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3</v>
      </c>
      <c r="D11" s="9" t="n">
        <v>6</v>
      </c>
      <c r="E11" s="9" t="n">
        <v>3</v>
      </c>
      <c r="F11" s="10" t="n">
        <v>0.2</v>
      </c>
      <c r="G11" s="10" t="n">
        <v>0.4</v>
      </c>
      <c r="H11" s="10" t="n">
        <v>0.2</v>
      </c>
      <c r="I11" s="11" t="n">
        <v>0.2667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4</v>
      </c>
      <c r="D12" s="5" t="n">
        <v>3</v>
      </c>
      <c r="E12" s="5" t="n">
        <v>5</v>
      </c>
      <c r="F12" s="6" t="n">
        <v>0.2</v>
      </c>
      <c r="G12" s="6" t="n">
        <v>0.15</v>
      </c>
      <c r="H12" s="6" t="n">
        <v>0.25</v>
      </c>
      <c r="I12" s="7" t="n">
        <v>0.2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2</v>
      </c>
      <c r="D13" s="9" t="n">
        <v>3</v>
      </c>
      <c r="E13" s="9" t="n">
        <v>4</v>
      </c>
      <c r="F13" s="10" t="n">
        <v>0.133</v>
      </c>
      <c r="G13" s="10" t="n">
        <v>0.2</v>
      </c>
      <c r="H13" s="10" t="n">
        <v>0.267</v>
      </c>
      <c r="I13" s="11" t="n">
        <v>0.2</v>
      </c>
    </row>
    <row r="14" ht="17" customHeight="1">
      <c r="A14" s="4" t="inlineStr">
        <is>
          <t>NIFTY REALTY</t>
        </is>
      </c>
      <c r="B14" s="5" t="n">
        <v>10</v>
      </c>
      <c r="C14" s="5" t="n">
        <v>1</v>
      </c>
      <c r="D14" s="5" t="n">
        <v>2</v>
      </c>
      <c r="E14" s="5" t="n">
        <v>2</v>
      </c>
      <c r="F14" s="6" t="n">
        <v>0.1</v>
      </c>
      <c r="G14" s="6" t="n">
        <v>0.2</v>
      </c>
      <c r="H14" s="6" t="n">
        <v>0.2</v>
      </c>
      <c r="I14" s="7" t="n">
        <v>0.1667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2</v>
      </c>
      <c r="E15" s="9" t="n">
        <v>3</v>
      </c>
      <c r="F15" s="10" t="n">
        <v>0</v>
      </c>
      <c r="G15" s="10" t="n">
        <v>0.167</v>
      </c>
      <c r="H15" s="10" t="n">
        <v>0.25</v>
      </c>
      <c r="I15" s="11" t="n">
        <v>0.139</v>
      </c>
    </row>
    <row r="16" ht="17" customHeight="1">
      <c r="A16" s="4" t="inlineStr">
        <is>
          <t>NIFTY PSU BANK</t>
        </is>
      </c>
      <c r="B16" s="5" t="n">
        <v>12</v>
      </c>
      <c r="C16" s="5" t="n">
        <v>0</v>
      </c>
      <c r="D16" s="5" t="n">
        <v>1</v>
      </c>
      <c r="E16" s="5" t="n">
        <v>1</v>
      </c>
      <c r="F16" s="6" t="n">
        <v>0</v>
      </c>
      <c r="G16" s="6" t="n">
        <v>0.083</v>
      </c>
      <c r="H16" s="6" t="n">
        <v>0.083</v>
      </c>
      <c r="I16" s="7" t="n">
        <v>0.0553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0</v>
      </c>
      <c r="E17" s="9" t="n">
        <v>0</v>
      </c>
      <c r="F17" s="10" t="n">
        <v>0.1</v>
      </c>
      <c r="G17" s="10" t="n">
        <v>0</v>
      </c>
      <c r="H17" s="10" t="n">
        <v>0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3214.1</v>
      </c>
      <c r="D3" s="14" t="n">
        <v>3013.58</v>
      </c>
      <c r="E3" s="14" t="n">
        <v>2926.09</v>
      </c>
      <c r="F3" s="14" t="n">
        <v>2763.04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1500.5</v>
      </c>
      <c r="D4" s="14" t="n">
        <v>1449.4</v>
      </c>
      <c r="E4" s="14" t="n">
        <v>1375.49</v>
      </c>
      <c r="F4" s="14" t="n">
        <v>1246.09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BIOCON</t>
        </is>
      </c>
      <c r="C5" s="14" t="n">
        <v>426.25</v>
      </c>
      <c r="D5" s="14" t="n">
        <v>388.67</v>
      </c>
      <c r="E5" s="14" t="n">
        <v>377.84</v>
      </c>
      <c r="F5" s="14" t="n">
        <v>372.3</v>
      </c>
      <c r="G5" s="15">
        <f>HYPERLINK("https://www.tradingview.com/chart/?symbol=NSE:BIOCON","Chart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1426.2</v>
      </c>
      <c r="D6" s="14" t="n">
        <v>1337.72</v>
      </c>
      <c r="E6" s="14" t="n">
        <v>1315.95</v>
      </c>
      <c r="F6" s="14" t="n">
        <v>1395.8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6835</v>
      </c>
      <c r="D7" s="14" t="n">
        <v>6595.56</v>
      </c>
      <c r="E7" s="14" t="n">
        <v>6406.13</v>
      </c>
      <c r="F7" s="14" t="n">
        <v>6353.73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1331.2</v>
      </c>
      <c r="D8" s="14" t="n">
        <v>1294.3</v>
      </c>
      <c r="E8" s="14" t="n">
        <v>1279.6</v>
      </c>
      <c r="F8" s="14" t="n">
        <v>1260.63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2156.6</v>
      </c>
      <c r="D9" s="14" t="n">
        <v>1853.37</v>
      </c>
      <c r="E9" s="14" t="n">
        <v>1795.3</v>
      </c>
      <c r="F9" s="14" t="n">
        <v>1763.59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2339.9</v>
      </c>
      <c r="D10" s="14" t="n">
        <v>2319.85</v>
      </c>
      <c r="E10" s="14" t="n">
        <v>2244.47</v>
      </c>
      <c r="F10" s="14" t="n">
        <v>2029.92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731.45</v>
      </c>
      <c r="D11" s="14" t="n">
        <v>712.0700000000001</v>
      </c>
      <c r="E11" s="14" t="n">
        <v>668.39</v>
      </c>
      <c r="F11" s="14" t="n">
        <v>592.33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1646.3</v>
      </c>
      <c r="D12" s="14" t="n">
        <v>1547.53</v>
      </c>
      <c r="E12" s="14" t="n">
        <v>1522.11</v>
      </c>
      <c r="F12" s="14" t="n">
        <v>1463.51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2125.3</v>
      </c>
      <c r="D13" s="14" t="n">
        <v>2096.6</v>
      </c>
      <c r="E13" s="14" t="n">
        <v>2050.12</v>
      </c>
      <c r="F13" s="14" t="n">
        <v>1891.48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1327.3</v>
      </c>
      <c r="D14" s="14" t="n">
        <v>1207.5</v>
      </c>
      <c r="E14" s="14" t="n">
        <v>1130.25</v>
      </c>
      <c r="F14" s="14" t="n">
        <v>989.03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MANKIND</t>
        </is>
      </c>
      <c r="C15" s="14" t="n">
        <v>2495.7</v>
      </c>
      <c r="D15" s="14" t="n">
        <v>2342.48</v>
      </c>
      <c r="E15" s="14" t="n">
        <v>2239.36</v>
      </c>
      <c r="F15" s="14" t="n">
        <v>2272.68</v>
      </c>
      <c r="G15" s="15">
        <f>HYPERLINK("https://www.tradingview.com/chart/?symbol=NSE:MANKIND","Chart 📈")</f>
        <v/>
      </c>
    </row>
    <row r="16" ht="16" customHeight="1">
      <c r="A16" s="16" t="inlineStr">
        <is>
          <t>NIFTY PHARMA</t>
        </is>
      </c>
      <c r="B16" s="13" t="inlineStr">
        <is>
          <t>NATCOPHARM</t>
        </is>
      </c>
      <c r="C16" s="14" t="n">
        <v>1165.6</v>
      </c>
      <c r="D16" s="14" t="n">
        <v>1140.06</v>
      </c>
      <c r="E16" s="14" t="n">
        <v>1071.85</v>
      </c>
      <c r="F16" s="14" t="n">
        <v>951.89</v>
      </c>
      <c r="G16" s="15">
        <f>HYPERLINK("https://www.tradingview.com/chart/?symbol=NSE:NATCOPHARM","Chart 📈")</f>
        <v/>
      </c>
    </row>
    <row r="17" ht="16" customHeight="1">
      <c r="A17" s="16" t="inlineStr">
        <is>
          <t>NIFTY PHARMA</t>
        </is>
      </c>
      <c r="B17" s="13" t="inlineStr">
        <is>
          <t>SUNPHARMA</t>
        </is>
      </c>
      <c r="C17" s="14" t="n">
        <v>1905.8</v>
      </c>
      <c r="D17" s="14" t="n">
        <v>1814.5</v>
      </c>
      <c r="E17" s="14" t="n">
        <v>1771.94</v>
      </c>
      <c r="F17" s="14" t="n">
        <v>1723.74</v>
      </c>
      <c r="G17" s="15">
        <f>HYPERLINK("https://www.tradingview.com/chart/?symbol=NSE:SUNPHARMA","Chart 📈")</f>
        <v/>
      </c>
    </row>
    <row r="18" ht="16" customHeight="1">
      <c r="A18" s="16" t="inlineStr">
        <is>
          <t>NIFTY PHARMA</t>
        </is>
      </c>
      <c r="B18" s="13" t="inlineStr">
        <is>
          <t>TORNTPHARM</t>
        </is>
      </c>
      <c r="C18" s="14" t="n">
        <v>4393.7</v>
      </c>
      <c r="D18" s="14" t="n">
        <v>4308.4</v>
      </c>
      <c r="E18" s="14" t="n">
        <v>4234.29</v>
      </c>
      <c r="F18" s="14" t="n">
        <v>3924.13</v>
      </c>
      <c r="G18" s="15">
        <f>HYPERLINK("https://www.tradingview.com/chart/?symbol=NSE:TORNTPHARM","Chart 📈")</f>
        <v/>
      </c>
    </row>
    <row r="19" ht="16" customHeight="1">
      <c r="A19" s="16" t="inlineStr">
        <is>
          <t>NIFTY PHARMA</t>
        </is>
      </c>
      <c r="B19" s="13" t="inlineStr">
        <is>
          <t>ZYDUSLIFE</t>
        </is>
      </c>
      <c r="C19" s="14" t="n">
        <v>991.1</v>
      </c>
      <c r="D19" s="14" t="n">
        <v>943.9400000000001</v>
      </c>
      <c r="E19" s="14" t="n">
        <v>925.04</v>
      </c>
      <c r="F19" s="14" t="n">
        <v>926.66</v>
      </c>
      <c r="G19" s="15">
        <f>HYPERLINK("https://www.tradingview.com/chart/?symbol=NSE:ZYDUSLIFE","Chart 📈")</f>
        <v/>
      </c>
    </row>
    <row r="20" ht="16" customHeight="1">
      <c r="A20" s="8" t="inlineStr">
        <is>
          <t>NIFTY METAL</t>
        </is>
      </c>
      <c r="B20" s="17" t="inlineStr">
        <is>
          <t>ADANIENT</t>
        </is>
      </c>
      <c r="C20" s="18" t="n">
        <v>2689.8</v>
      </c>
      <c r="D20" s="18" t="n">
        <v>2458.5</v>
      </c>
      <c r="E20" s="18" t="n">
        <v>2293.24</v>
      </c>
      <c r="F20" s="18" t="n">
        <v>2286.41</v>
      </c>
      <c r="G20" s="19">
        <f>HYPERLINK("https://www.tradingview.com/chart/?symbol=NSE:ADANIENT","Chart 📈")</f>
        <v/>
      </c>
    </row>
    <row r="21" ht="16" customHeight="1">
      <c r="A21" s="20" t="inlineStr">
        <is>
          <t>NIFTY METAL</t>
        </is>
      </c>
      <c r="B21" s="17" t="inlineStr">
        <is>
          <t>HINDALCO</t>
        </is>
      </c>
      <c r="C21" s="18" t="n">
        <v>1053.1</v>
      </c>
      <c r="D21" s="18" t="n">
        <v>1043.42</v>
      </c>
      <c r="E21" s="18" t="n">
        <v>1001.68</v>
      </c>
      <c r="F21" s="18" t="n">
        <v>882.02</v>
      </c>
      <c r="G21" s="19">
        <f>HYPERLINK("https://www.tradingview.com/chart/?symbol=NSE:HINDALCO","Chart 📈")</f>
        <v/>
      </c>
    </row>
    <row r="22" ht="16" customHeight="1">
      <c r="A22" s="20" t="inlineStr">
        <is>
          <t>NIFTY METAL</t>
        </is>
      </c>
      <c r="B22" s="17" t="inlineStr">
        <is>
          <t>HINDCOPPER</t>
        </is>
      </c>
      <c r="C22" s="18" t="n">
        <v>581.15</v>
      </c>
      <c r="D22" s="18" t="n">
        <v>561.71</v>
      </c>
      <c r="E22" s="18" t="n">
        <v>545.17</v>
      </c>
      <c r="F22" s="18" t="n">
        <v>450.45</v>
      </c>
      <c r="G22" s="19">
        <f>HYPERLINK("https://www.tradingview.com/chart/?symbol=NSE:HINDCOPPER","Chart 📈")</f>
        <v/>
      </c>
    </row>
    <row r="23" ht="16" customHeight="1">
      <c r="A23" s="20" t="inlineStr">
        <is>
          <t>NIFTY METAL</t>
        </is>
      </c>
      <c r="B23" s="17" t="inlineStr">
        <is>
          <t>HINDZINC</t>
        </is>
      </c>
      <c r="C23" s="18" t="n">
        <v>636.5</v>
      </c>
      <c r="D23" s="18" t="n">
        <v>619.22</v>
      </c>
      <c r="E23" s="18" t="n">
        <v>593.49</v>
      </c>
      <c r="F23" s="18" t="n">
        <v>542.08</v>
      </c>
      <c r="G23" s="19">
        <f>HYPERLINK("https://www.tradingview.com/chart/?symbol=NSE:HINDZINC","Chart 📈")</f>
        <v/>
      </c>
    </row>
    <row r="24" ht="16" customHeight="1">
      <c r="A24" s="20" t="inlineStr">
        <is>
          <t>NIFTY METAL</t>
        </is>
      </c>
      <c r="B24" s="17" t="inlineStr">
        <is>
          <t>JSWSTEEL</t>
        </is>
      </c>
      <c r="C24" s="18" t="n">
        <v>1292.8</v>
      </c>
      <c r="D24" s="18" t="n">
        <v>1264.22</v>
      </c>
      <c r="E24" s="18" t="n">
        <v>1236.23</v>
      </c>
      <c r="F24" s="18" t="n">
        <v>1167.91</v>
      </c>
      <c r="G24" s="19">
        <f>HYPERLINK("https://www.tradingview.com/chart/?symbol=NSE:JSWSTEEL","Chart 📈")</f>
        <v/>
      </c>
    </row>
    <row r="25" ht="16" customHeight="1">
      <c r="A25" s="20" t="inlineStr">
        <is>
          <t>NIFTY METAL</t>
        </is>
      </c>
      <c r="B25" s="17" t="inlineStr">
        <is>
          <t>NMDC</t>
        </is>
      </c>
      <c r="C25" s="18" t="n">
        <v>90.14</v>
      </c>
      <c r="D25" s="18" t="n">
        <v>88.98</v>
      </c>
      <c r="E25" s="18" t="n">
        <v>85.81999999999999</v>
      </c>
      <c r="F25" s="18" t="n">
        <v>78.48999999999999</v>
      </c>
      <c r="G25" s="19">
        <f>HYPERLINK("https://www.tradingview.com/chart/?symbol=NSE:NMDC","Chart 📈")</f>
        <v/>
      </c>
    </row>
    <row r="26" ht="16" customHeight="1">
      <c r="A26" s="20" t="inlineStr">
        <is>
          <t>NIFTY METAL</t>
        </is>
      </c>
      <c r="B26" s="17" t="inlineStr">
        <is>
          <t>SAIL</t>
        </is>
      </c>
      <c r="C26" s="18" t="n">
        <v>192.73</v>
      </c>
      <c r="D26" s="18" t="n">
        <v>184.46</v>
      </c>
      <c r="E26" s="18" t="n">
        <v>173.22</v>
      </c>
      <c r="F26" s="18" t="n">
        <v>150.88</v>
      </c>
      <c r="G26" s="19">
        <f>HYPERLINK("https://www.tradingview.com/chart/?symbol=NSE:SAIL","Chart 📈")</f>
        <v/>
      </c>
    </row>
    <row r="27" ht="16" customHeight="1">
      <c r="A27" s="20" t="inlineStr">
        <is>
          <t>NIFTY METAL</t>
        </is>
      </c>
      <c r="B27" s="17" t="inlineStr">
        <is>
          <t>WELCORP</t>
        </is>
      </c>
      <c r="C27" s="18" t="n">
        <v>1297.9</v>
      </c>
      <c r="D27" s="18" t="n">
        <v>1243.19</v>
      </c>
      <c r="E27" s="18" t="n">
        <v>1092.85</v>
      </c>
      <c r="F27" s="18" t="n">
        <v>917.13</v>
      </c>
      <c r="G27" s="19">
        <f>HYPERLINK("https://www.tradingview.com/chart/?symbol=NSE:WELCORP","Chart 📈")</f>
        <v/>
      </c>
    </row>
    <row r="28" ht="16" customHeight="1">
      <c r="A28" s="12" t="inlineStr">
        <is>
          <t>NIFTY FMCG</t>
        </is>
      </c>
      <c r="B28" s="13" t="inlineStr">
        <is>
          <t>BALRAMCHIN</t>
        </is>
      </c>
      <c r="C28" s="14" t="n">
        <v>541.1</v>
      </c>
      <c r="D28" s="14" t="n">
        <v>525.23</v>
      </c>
      <c r="E28" s="14" t="n">
        <v>505.09</v>
      </c>
      <c r="F28" s="14" t="n">
        <v>493.24</v>
      </c>
      <c r="G28" s="15">
        <f>HYPERLINK("https://www.tradingview.com/chart/?symbol=NSE:BALRAMCHIN","Chart 📈")</f>
        <v/>
      </c>
    </row>
    <row r="29" ht="16" customHeight="1">
      <c r="A29" s="16" t="inlineStr">
        <is>
          <t>NIFTY FMCG</t>
        </is>
      </c>
      <c r="B29" s="13" t="inlineStr">
        <is>
          <t>MARICO</t>
        </is>
      </c>
      <c r="C29" s="14" t="n">
        <v>833.75</v>
      </c>
      <c r="D29" s="14" t="n">
        <v>809.11</v>
      </c>
      <c r="E29" s="14" t="n">
        <v>785.6799999999999</v>
      </c>
      <c r="F29" s="14" t="n">
        <v>751.84</v>
      </c>
      <c r="G29" s="15">
        <f>HYPERLINK("https://www.tradingview.com/chart/?symbol=NSE:MARICO","Chart 📈")</f>
        <v/>
      </c>
    </row>
    <row r="30" ht="16" customHeight="1">
      <c r="A30" s="16" t="inlineStr">
        <is>
          <t>NIFTY FMCG</t>
        </is>
      </c>
      <c r="B30" s="13" t="inlineStr">
        <is>
          <t>NESTLEIND</t>
        </is>
      </c>
      <c r="C30" s="14" t="n">
        <v>1431.7</v>
      </c>
      <c r="D30" s="14" t="n">
        <v>1425.54</v>
      </c>
      <c r="E30" s="14" t="n">
        <v>1358.36</v>
      </c>
      <c r="F30" s="14" t="n">
        <v>1274.35</v>
      </c>
      <c r="G30" s="15">
        <f>HYPERLINK("https://www.tradingview.com/chart/?symbol=NSE:NESTLEIND","Chart 📈")</f>
        <v/>
      </c>
    </row>
    <row r="31" ht="16" customHeight="1">
      <c r="A31" s="16" t="inlineStr">
        <is>
          <t>NIFTY FMCG</t>
        </is>
      </c>
      <c r="B31" s="13" t="inlineStr">
        <is>
          <t>RADICO</t>
        </is>
      </c>
      <c r="C31" s="14" t="n">
        <v>3471.4</v>
      </c>
      <c r="D31" s="14" t="n">
        <v>3345.54</v>
      </c>
      <c r="E31" s="14" t="n">
        <v>3139.33</v>
      </c>
      <c r="F31" s="14" t="n">
        <v>2959.61</v>
      </c>
      <c r="G31" s="15">
        <f>HYPERLINK("https://www.tradingview.com/chart/?symbol=NSE:RADICO","Chart 📈")</f>
        <v/>
      </c>
    </row>
    <row r="32" ht="16" customHeight="1">
      <c r="A32" s="16" t="inlineStr">
        <is>
          <t>NIFTY FMCG</t>
        </is>
      </c>
      <c r="B32" s="13" t="inlineStr">
        <is>
          <t>TATACONSUM</t>
        </is>
      </c>
      <c r="C32" s="14" t="n">
        <v>1231</v>
      </c>
      <c r="D32" s="14" t="n">
        <v>1185.43</v>
      </c>
      <c r="E32" s="14" t="n">
        <v>1150.47</v>
      </c>
      <c r="F32" s="14" t="n">
        <v>1137.53</v>
      </c>
      <c r="G32" s="15">
        <f>HYPERLINK("https://www.tradingview.com/chart/?symbol=NSE:TATACONSUM","Chart 📈")</f>
        <v/>
      </c>
    </row>
    <row r="33" ht="16" customHeight="1">
      <c r="A33" s="16" t="inlineStr">
        <is>
          <t>NIFTY FMCG</t>
        </is>
      </c>
      <c r="B33" s="13" t="inlineStr">
        <is>
          <t>VBL</t>
        </is>
      </c>
      <c r="C33" s="14" t="n">
        <v>511.5</v>
      </c>
      <c r="D33" s="14" t="n">
        <v>494.41</v>
      </c>
      <c r="E33" s="14" t="n">
        <v>473.01</v>
      </c>
      <c r="F33" s="14" t="n">
        <v>467.54</v>
      </c>
      <c r="G33" s="15">
        <f>HYPERLINK("https://www.tradingview.com/chart/?symbol=NSE:VBL","Chart 📈")</f>
        <v/>
      </c>
    </row>
    <row r="34" ht="16" customHeight="1">
      <c r="A34" s="8" t="inlineStr">
        <is>
          <t>NIFTY ENERGY</t>
        </is>
      </c>
      <c r="B34" s="17" t="inlineStr">
        <is>
          <t>ADANIENSOL</t>
        </is>
      </c>
      <c r="C34" s="18" t="n">
        <v>1328.3</v>
      </c>
      <c r="D34" s="18" t="n">
        <v>1311.35</v>
      </c>
      <c r="E34" s="18" t="n">
        <v>1207.43</v>
      </c>
      <c r="F34" s="18" t="n">
        <v>1031.47</v>
      </c>
      <c r="G34" s="19">
        <f>HYPERLINK("https://www.tradingview.com/chart/?symbol=NSE:ADANIENSOL","Chart 📈")</f>
        <v/>
      </c>
    </row>
    <row r="35" ht="16" customHeight="1">
      <c r="A35" s="20" t="inlineStr">
        <is>
          <t>NIFTY ENERGY</t>
        </is>
      </c>
      <c r="B35" s="17" t="inlineStr">
        <is>
          <t>ADANIGREEN</t>
        </is>
      </c>
      <c r="C35" s="18" t="n">
        <v>1369</v>
      </c>
      <c r="D35" s="18" t="n">
        <v>1286.21</v>
      </c>
      <c r="E35" s="18" t="n">
        <v>1151.48</v>
      </c>
      <c r="F35" s="18" t="n">
        <v>1035.37</v>
      </c>
      <c r="G35" s="19">
        <f>HYPERLINK("https://www.tradingview.com/chart/?symbol=NSE:ADANIGREEN","Chart 📈")</f>
        <v/>
      </c>
    </row>
    <row r="36" ht="16" customHeight="1">
      <c r="A36" s="20" t="inlineStr">
        <is>
          <t>NIFTY ENERGY</t>
        </is>
      </c>
      <c r="B36" s="17" t="inlineStr">
        <is>
          <t>ADANIPOWER</t>
        </is>
      </c>
      <c r="C36" s="18" t="n">
        <v>219.3</v>
      </c>
      <c r="D36" s="18" t="n">
        <v>214.24</v>
      </c>
      <c r="E36" s="18" t="n">
        <v>192.63</v>
      </c>
      <c r="F36" s="18" t="n">
        <v>156.67</v>
      </c>
      <c r="G36" s="19">
        <f>HYPERLINK("https://www.tradingview.com/chart/?symbol=NSE:ADANIPOWER","Chart 📈")</f>
        <v/>
      </c>
    </row>
    <row r="37" ht="16" customHeight="1">
      <c r="A37" s="20" t="inlineStr">
        <is>
          <t>NIFTY ENERGY</t>
        </is>
      </c>
      <c r="B37" s="17" t="inlineStr">
        <is>
          <t>BHEL</t>
        </is>
      </c>
      <c r="C37" s="18" t="n">
        <v>395.25</v>
      </c>
      <c r="D37" s="18" t="n">
        <v>371.36</v>
      </c>
      <c r="E37" s="18" t="n">
        <v>329.31</v>
      </c>
      <c r="F37" s="18" t="n">
        <v>280.83</v>
      </c>
      <c r="G37" s="19">
        <f>HYPERLINK("https://www.tradingview.com/chart/?symbol=NSE:BHEL","Chart 📈")</f>
        <v/>
      </c>
    </row>
    <row r="38" ht="16" customHeight="1">
      <c r="A38" s="20" t="inlineStr">
        <is>
          <t>NIFTY ENERGY</t>
        </is>
      </c>
      <c r="B38" s="17" t="inlineStr">
        <is>
          <t>COALINDIA</t>
        </is>
      </c>
      <c r="C38" s="18" t="n">
        <v>462.1</v>
      </c>
      <c r="D38" s="18" t="n">
        <v>461.25</v>
      </c>
      <c r="E38" s="18" t="n">
        <v>452.27</v>
      </c>
      <c r="F38" s="18" t="n">
        <v>416.18</v>
      </c>
      <c r="G38" s="19">
        <f>HYPERLINK("https://www.tradingview.com/chart/?symbol=NSE:COALINDIA","Chart 📈")</f>
        <v/>
      </c>
    </row>
    <row r="39" ht="16" customHeight="1">
      <c r="A39" s="20" t="inlineStr">
        <is>
          <t>NIFTY ENERGY</t>
        </is>
      </c>
      <c r="B39" s="17" t="inlineStr">
        <is>
          <t>GVT&amp;D</t>
        </is>
      </c>
      <c r="C39" s="18" t="n">
        <v>4426.8</v>
      </c>
      <c r="D39" s="18" t="n">
        <v>4376.04</v>
      </c>
      <c r="E39" s="18" t="n">
        <v>4116.31</v>
      </c>
      <c r="F39" s="18" t="n">
        <v>3351.9</v>
      </c>
      <c r="G39" s="19">
        <f>HYPERLINK("https://www.tradingview.com/chart/?symbol=NSE:GVT&amp;D","Chart 📈")</f>
        <v/>
      </c>
    </row>
    <row r="40" ht="16" customHeight="1">
      <c r="A40" s="20" t="inlineStr">
        <is>
          <t>NIFTY ENERGY</t>
        </is>
      </c>
      <c r="B40" s="17" t="inlineStr">
        <is>
          <t>JPPOWER</t>
        </is>
      </c>
      <c r="C40" s="18" t="n">
        <v>19.05</v>
      </c>
      <c r="D40" s="18" t="n">
        <v>18.62</v>
      </c>
      <c r="E40" s="18" t="n">
        <v>17.67</v>
      </c>
      <c r="F40" s="18" t="n">
        <v>17.1</v>
      </c>
      <c r="G40" s="19">
        <f>HYPERLINK("https://www.tradingview.com/chart/?symbol=NSE:JPPOWER","Chart 📈")</f>
        <v/>
      </c>
    </row>
    <row r="41" ht="16" customHeight="1">
      <c r="A41" s="20" t="inlineStr">
        <is>
          <t>NIFTY ENERGY</t>
        </is>
      </c>
      <c r="B41" s="17" t="inlineStr">
        <is>
          <t>NLCINDIA</t>
        </is>
      </c>
      <c r="C41" s="18" t="n">
        <v>348.15</v>
      </c>
      <c r="D41" s="18" t="n">
        <v>322.8</v>
      </c>
      <c r="E41" s="18" t="n">
        <v>298.83</v>
      </c>
      <c r="F41" s="18" t="n">
        <v>265.28</v>
      </c>
      <c r="G41" s="19">
        <f>HYPERLINK("https://www.tradingview.com/chart/?symbol=NSE:NLCINDIA","Chart 📈")</f>
        <v/>
      </c>
    </row>
    <row r="42" ht="16" customHeight="1">
      <c r="A42" s="20" t="inlineStr">
        <is>
          <t>NIFTY ENERGY</t>
        </is>
      </c>
      <c r="B42" s="17" t="inlineStr">
        <is>
          <t>POWERINDIA</t>
        </is>
      </c>
      <c r="C42" s="18" t="n">
        <v>32800</v>
      </c>
      <c r="D42" s="18" t="n">
        <v>32016.51</v>
      </c>
      <c r="E42" s="18" t="n">
        <v>29146.09</v>
      </c>
      <c r="F42" s="18" t="n">
        <v>23136.88</v>
      </c>
      <c r="G42" s="19">
        <f>HYPERLINK("https://www.tradingview.com/chart/?symbol=NSE:POWERINDIA","Chart 📈")</f>
        <v/>
      </c>
    </row>
    <row r="43" ht="16" customHeight="1">
      <c r="A43" s="20" t="inlineStr">
        <is>
          <t>NIFTY ENERGY</t>
        </is>
      </c>
      <c r="B43" s="17" t="inlineStr">
        <is>
          <t>SUZLON</t>
        </is>
      </c>
      <c r="C43" s="18" t="n">
        <v>53.25</v>
      </c>
      <c r="D43" s="18" t="n">
        <v>52.98</v>
      </c>
      <c r="E43" s="18" t="n">
        <v>50.22</v>
      </c>
      <c r="F43" s="18" t="n">
        <v>52.1</v>
      </c>
      <c r="G43" s="19">
        <f>HYPERLINK("https://www.tradingview.com/chart/?symbol=NSE:SUZLON","Chart 📈")</f>
        <v/>
      </c>
    </row>
    <row r="44" ht="16" customHeight="1">
      <c r="A44" s="20" t="inlineStr">
        <is>
          <t>NIFTY ENERGY</t>
        </is>
      </c>
      <c r="B44" s="17" t="inlineStr">
        <is>
          <t>THERMAX</t>
        </is>
      </c>
      <c r="C44" s="18" t="n">
        <v>4393.3</v>
      </c>
      <c r="D44" s="18" t="n">
        <v>4244.43</v>
      </c>
      <c r="E44" s="18" t="n">
        <v>3858.23</v>
      </c>
      <c r="F44" s="18" t="n">
        <v>3411.32</v>
      </c>
      <c r="G44" s="19">
        <f>HYPERLINK("https://www.tradingview.com/chart/?symbol=NSE:THERMAX","Chart 📈")</f>
        <v/>
      </c>
    </row>
    <row r="45" ht="16" customHeight="1">
      <c r="A45" s="20" t="inlineStr">
        <is>
          <t>NIFTY ENERGY</t>
        </is>
      </c>
      <c r="B45" s="17" t="inlineStr">
        <is>
          <t>TRITURBINE</t>
        </is>
      </c>
      <c r="C45" s="18" t="n">
        <v>596.65</v>
      </c>
      <c r="D45" s="18" t="n">
        <v>565.3099999999999</v>
      </c>
      <c r="E45" s="18" t="n">
        <v>533.1799999999999</v>
      </c>
      <c r="F45" s="18" t="n">
        <v>528.24</v>
      </c>
      <c r="G45" s="19">
        <f>HYPERLINK("https://www.tradingview.com/chart/?symbol=NSE:TRITURBINE","Chart 📈")</f>
        <v/>
      </c>
    </row>
    <row r="46" ht="16" customHeight="1">
      <c r="A46" s="12" t="inlineStr">
        <is>
          <t>NIFTY MIDSMALL IT &amp; TELECOM</t>
        </is>
      </c>
      <c r="B46" s="13" t="inlineStr">
        <is>
          <t>HFCL</t>
        </is>
      </c>
      <c r="C46" s="14" t="n">
        <v>139.69</v>
      </c>
      <c r="D46" s="14" t="n">
        <v>128.43</v>
      </c>
      <c r="E46" s="14" t="n">
        <v>105.38</v>
      </c>
      <c r="F46" s="14" t="n">
        <v>84.01000000000001</v>
      </c>
      <c r="G46" s="15">
        <f>HYPERLINK("https://www.tradingview.com/chart/?symbol=NSE:HFCL","Chart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IDEA</t>
        </is>
      </c>
      <c r="C47" s="14" t="n">
        <v>12.86</v>
      </c>
      <c r="D47" s="14" t="n">
        <v>11.32</v>
      </c>
      <c r="E47" s="14" t="n">
        <v>10.56</v>
      </c>
      <c r="F47" s="14" t="n">
        <v>9.66</v>
      </c>
      <c r="G47" s="15">
        <f>HYPERLINK("https://www.tradingview.com/chart/?symbol=NSE:IDEA","Chart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INDUSTOWER</t>
        </is>
      </c>
      <c r="C48" s="14" t="n">
        <v>430.9</v>
      </c>
      <c r="D48" s="14" t="n">
        <v>415.12</v>
      </c>
      <c r="E48" s="14" t="n">
        <v>420.82</v>
      </c>
      <c r="F48" s="14" t="n">
        <v>411.93</v>
      </c>
      <c r="G48" s="15">
        <f>HYPERLINK("https://www.tradingview.com/chart/?symbol=NSE:INDUSTOWER","Chart 📈")</f>
        <v/>
      </c>
    </row>
    <row r="49" ht="16" customHeight="1">
      <c r="A49" s="16" t="inlineStr">
        <is>
          <t>NIFTY MIDSMALL IT &amp; TELECOM</t>
        </is>
      </c>
      <c r="B49" s="13" t="inlineStr">
        <is>
          <t>OFSS</t>
        </is>
      </c>
      <c r="C49" s="14" t="n">
        <v>9408.5</v>
      </c>
      <c r="D49" s="14" t="n">
        <v>8868.49</v>
      </c>
      <c r="E49" s="14" t="n">
        <v>8138.58</v>
      </c>
      <c r="F49" s="14" t="n">
        <v>7820.96</v>
      </c>
      <c r="G49" s="15">
        <f>HYPERLINK("https://www.tradingview.com/chart/?symbol=NSE:OFSS","Chart 📈")</f>
        <v/>
      </c>
    </row>
    <row r="50" ht="16" customHeight="1">
      <c r="A50" s="16" t="inlineStr">
        <is>
          <t>NIFTY MIDSMALL IT &amp; TELECOM</t>
        </is>
      </c>
      <c r="B50" s="13" t="inlineStr">
        <is>
          <t>TATACOMM</t>
        </is>
      </c>
      <c r="C50" s="14" t="n">
        <v>1668.4</v>
      </c>
      <c r="D50" s="14" t="n">
        <v>1583.82</v>
      </c>
      <c r="E50" s="14" t="n">
        <v>1560.17</v>
      </c>
      <c r="F50" s="14" t="n">
        <v>1630.9</v>
      </c>
      <c r="G50" s="15">
        <f>HYPERLINK("https://www.tradingview.com/chart/?symbol=NSE:TATACOMM","Chart 📈")</f>
        <v/>
      </c>
    </row>
    <row r="51" ht="16" customHeight="1">
      <c r="A51" s="8" t="inlineStr">
        <is>
          <t>NIFTY AUTO</t>
        </is>
      </c>
      <c r="B51" s="17" t="inlineStr">
        <is>
          <t>BAJAJ-AUTO</t>
        </is>
      </c>
      <c r="C51" s="18" t="n">
        <v>10198.5</v>
      </c>
      <c r="D51" s="18" t="n">
        <v>10120.52</v>
      </c>
      <c r="E51" s="18" t="n">
        <v>9809.68</v>
      </c>
      <c r="F51" s="18" t="n">
        <v>9311.969999999999</v>
      </c>
      <c r="G51" s="19">
        <f>HYPERLINK("https://www.tradingview.com/chart/?symbol=NSE:BAJAJ-AUTO","Chart 📈")</f>
        <v/>
      </c>
    </row>
    <row r="52" ht="16" customHeight="1">
      <c r="A52" s="20" t="inlineStr">
        <is>
          <t>NIFTY AUTO</t>
        </is>
      </c>
      <c r="B52" s="17" t="inlineStr">
        <is>
          <t>BOSCHLTD</t>
        </is>
      </c>
      <c r="C52" s="18" t="n">
        <v>37155</v>
      </c>
      <c r="D52" s="18" t="n">
        <v>36671.41</v>
      </c>
      <c r="E52" s="18" t="n">
        <v>35760.68</v>
      </c>
      <c r="F52" s="18" t="n">
        <v>35554.4</v>
      </c>
      <c r="G52" s="19">
        <f>HYPERLINK("https://www.tradingview.com/chart/?symbol=NSE:BOSCHLTD","Chart 📈")</f>
        <v/>
      </c>
    </row>
    <row r="53" ht="16" customHeight="1">
      <c r="A53" s="20" t="inlineStr">
        <is>
          <t>NIFTY AUTO</t>
        </is>
      </c>
      <c r="B53" s="17" t="inlineStr">
        <is>
          <t>MOTHERSON</t>
        </is>
      </c>
      <c r="C53" s="18" t="n">
        <v>128.75</v>
      </c>
      <c r="D53" s="18" t="n">
        <v>125.57</v>
      </c>
      <c r="E53" s="18" t="n">
        <v>122.65</v>
      </c>
      <c r="F53" s="18" t="n">
        <v>114.79</v>
      </c>
      <c r="G53" s="19">
        <f>HYPERLINK("https://www.tradingview.com/chart/?symbol=NSE:MOTHERSON","Chart 📈")</f>
        <v/>
      </c>
    </row>
    <row r="54" ht="16" customHeight="1">
      <c r="A54" s="12" t="inlineStr">
        <is>
          <t>NIFTY MEDIA</t>
        </is>
      </c>
      <c r="B54" s="13" t="inlineStr">
        <is>
          <t>NAZARA</t>
        </is>
      </c>
      <c r="C54" s="14" t="n">
        <v>298.95</v>
      </c>
      <c r="D54" s="14" t="n">
        <v>271.37</v>
      </c>
      <c r="E54" s="14" t="n">
        <v>263.75</v>
      </c>
      <c r="F54" s="14" t="n">
        <v>272.29</v>
      </c>
      <c r="G54" s="15">
        <f>HYPERLINK("https://www.tradingview.com/chart/?symbol=NSE:NAZARA","Chart 📈")</f>
        <v/>
      </c>
    </row>
    <row r="55" ht="16" customHeight="1">
      <c r="A55" s="16" t="inlineStr">
        <is>
          <t>NIFTY MEDIA</t>
        </is>
      </c>
      <c r="B55" s="13" t="inlineStr">
        <is>
          <t>SAREGAMA</t>
        </is>
      </c>
      <c r="C55" s="14" t="n">
        <v>392.35</v>
      </c>
      <c r="D55" s="14" t="n">
        <v>357.82</v>
      </c>
      <c r="E55" s="14" t="n">
        <v>348.5</v>
      </c>
      <c r="F55" s="14" t="n">
        <v>388.22</v>
      </c>
      <c r="G55" s="15">
        <f>HYPERLINK("https://www.tradingview.com/chart/?symbol=NSE:SAREGAMA","Chart 📈")</f>
        <v/>
      </c>
    </row>
    <row r="56" ht="16" customHeight="1">
      <c r="A56" s="16" t="inlineStr">
        <is>
          <t>NIFTY MEDIA</t>
        </is>
      </c>
      <c r="B56" s="13" t="inlineStr">
        <is>
          <t>TIPSMUSIC</t>
        </is>
      </c>
      <c r="C56" s="14" t="n">
        <v>640.85</v>
      </c>
      <c r="D56" s="14" t="n">
        <v>630.98</v>
      </c>
      <c r="E56" s="14" t="n">
        <v>595.54</v>
      </c>
      <c r="F56" s="14" t="n">
        <v>568.9400000000001</v>
      </c>
      <c r="G56" s="15">
        <f>HYPERLINK("https://www.tradingview.com/chart/?symbol=NSE:TIPSMUSIC","Chart 📈")</f>
        <v/>
      </c>
    </row>
    <row r="57" ht="16" customHeight="1">
      <c r="A57" s="8" t="inlineStr">
        <is>
          <t>NIFTY OIL &amp; GAS</t>
        </is>
      </c>
      <c r="B57" s="17" t="inlineStr">
        <is>
          <t>OIL</t>
        </is>
      </c>
      <c r="C57" s="18" t="n">
        <v>506.05</v>
      </c>
      <c r="D57" s="18" t="n">
        <v>485.26</v>
      </c>
      <c r="E57" s="18" t="n">
        <v>476.25</v>
      </c>
      <c r="F57" s="18" t="n">
        <v>446.93</v>
      </c>
      <c r="G57" s="19">
        <f>HYPERLINK("https://www.tradingview.com/chart/?symbol=NSE:OIL","Chart 📈")</f>
        <v/>
      </c>
    </row>
    <row r="58" ht="16" customHeight="1">
      <c r="A58" s="20" t="inlineStr">
        <is>
          <t>NIFTY OIL &amp; GAS</t>
        </is>
      </c>
      <c r="B58" s="17" t="inlineStr">
        <is>
          <t>ONGC</t>
        </is>
      </c>
      <c r="C58" s="18" t="n">
        <v>297.2</v>
      </c>
      <c r="D58" s="18" t="n">
        <v>290.96</v>
      </c>
      <c r="E58" s="18" t="n">
        <v>282.91</v>
      </c>
      <c r="F58" s="18" t="n">
        <v>257.7</v>
      </c>
      <c r="G58" s="19">
        <f>HYPERLINK("https://www.tradingview.com/chart/?symbol=NSE:ONGC","Chart 📈")</f>
        <v/>
      </c>
    </row>
    <row r="59" ht="16" customHeight="1">
      <c r="A59" s="12" t="inlineStr">
        <is>
          <t>NIFTY FINANCIAL SERVICES</t>
        </is>
      </c>
      <c r="B59" s="13" t="inlineStr">
        <is>
          <t>MCX</t>
        </is>
      </c>
      <c r="C59" s="14" t="n">
        <v>3348.4</v>
      </c>
      <c r="D59" s="14" t="n">
        <v>3057.4</v>
      </c>
      <c r="E59" s="14" t="n">
        <v>2816.82</v>
      </c>
      <c r="F59" s="14" t="n">
        <v>2266.66</v>
      </c>
      <c r="G59" s="15">
        <f>HYPERLINK("https://www.tradingview.com/chart/?symbol=NSE:MCX","Chart 📈")</f>
        <v/>
      </c>
    </row>
    <row r="60" ht="16" customHeight="1">
      <c r="A60" s="8" t="inlineStr">
        <is>
          <t>NIFTY CONSUMER DURABLES</t>
        </is>
      </c>
      <c r="B60" s="17" t="inlineStr">
        <is>
          <t>CERA</t>
        </is>
      </c>
      <c r="C60" s="18" t="n">
        <v>5558.5</v>
      </c>
      <c r="D60" s="18" t="n">
        <v>5509.63</v>
      </c>
      <c r="E60" s="18" t="n">
        <v>5284.63</v>
      </c>
      <c r="F60" s="18" t="n">
        <v>5513.44</v>
      </c>
      <c r="G60" s="19">
        <f>HYPERLINK("https://www.tradingview.com/chart/?symbol=NSE:CERA","Chart 📈")</f>
        <v/>
      </c>
    </row>
    <row r="61" ht="16" customHeight="1">
      <c r="A61" s="20" t="inlineStr">
        <is>
          <t>NIFTY CONSUMER DURABLES</t>
        </is>
      </c>
      <c r="B61" s="17" t="inlineStr">
        <is>
          <t>CROMPTON</t>
        </is>
      </c>
      <c r="C61" s="18" t="n">
        <v>293.3</v>
      </c>
      <c r="D61" s="18" t="n">
        <v>278.59</v>
      </c>
      <c r="E61" s="18" t="n">
        <v>265.33</v>
      </c>
      <c r="F61" s="18" t="n">
        <v>276.11</v>
      </c>
      <c r="G61" s="19">
        <f>HYPERLINK("https://www.tradingview.com/chart/?symbol=NSE:CROMPTON","Chart 📈")</f>
        <v/>
      </c>
    </row>
    <row r="62" ht="16" customHeight="1">
      <c r="A62" s="12" t="inlineStr">
        <is>
          <t>NIFTY REALTY</t>
        </is>
      </c>
      <c r="B62" s="13" t="inlineStr">
        <is>
          <t>RAYMOND</t>
        </is>
      </c>
      <c r="C62" s="14" t="n">
        <v>502.55</v>
      </c>
      <c r="D62" s="14" t="n">
        <v>464.26</v>
      </c>
      <c r="E62" s="14" t="n">
        <v>435.24</v>
      </c>
      <c r="F62" s="14" t="n">
        <v>477.47</v>
      </c>
      <c r="G62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2026-05-18T18:26:31Z</dcterms:created>
  <dcterms:modified xsi:type="dcterms:W3CDTF">2026-05-18T18:26:31Z</dcterms:modified>
</cp:coreProperties>
</file>