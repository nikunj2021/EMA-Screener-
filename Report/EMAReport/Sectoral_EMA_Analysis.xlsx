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EMA Summary" sheetId="1" state="visible" r:id="rId1"/>
    <sheet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13-May-2026  18:35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PHARMA</t>
        </is>
      </c>
      <c r="B4" s="5" t="n">
        <v>20</v>
      </c>
      <c r="C4" s="5" t="n">
        <v>15</v>
      </c>
      <c r="D4" s="5" t="n">
        <v>16</v>
      </c>
      <c r="E4" s="5" t="n">
        <v>18</v>
      </c>
      <c r="F4" s="6" t="n">
        <v>0.75</v>
      </c>
      <c r="G4" s="6" t="n">
        <v>0.8</v>
      </c>
      <c r="H4" s="6" t="n">
        <v>0.9</v>
      </c>
      <c r="I4" s="7" t="n">
        <v>0.8167</v>
      </c>
    </row>
    <row r="5" ht="17" customHeight="1">
      <c r="A5" s="8" t="inlineStr">
        <is>
          <t>NIFTY METAL</t>
        </is>
      </c>
      <c r="B5" s="9" t="n">
        <v>15</v>
      </c>
      <c r="C5" s="9" t="n">
        <v>7</v>
      </c>
      <c r="D5" s="9" t="n">
        <v>11</v>
      </c>
      <c r="E5" s="9" t="n">
        <v>12</v>
      </c>
      <c r="F5" s="10" t="n">
        <v>0.467</v>
      </c>
      <c r="G5" s="10" t="n">
        <v>0.733</v>
      </c>
      <c r="H5" s="10" t="n">
        <v>0.8</v>
      </c>
      <c r="I5" s="11" t="n">
        <v>0.6667000000000001</v>
      </c>
    </row>
    <row r="6" ht="17" customHeight="1">
      <c r="A6" s="4" t="inlineStr">
        <is>
          <t>NIFTY FMCG</t>
        </is>
      </c>
      <c r="B6" s="5" t="n">
        <v>15</v>
      </c>
      <c r="C6" s="5" t="n">
        <v>7</v>
      </c>
      <c r="D6" s="5" t="n">
        <v>9</v>
      </c>
      <c r="E6" s="5" t="n">
        <v>6</v>
      </c>
      <c r="F6" s="6" t="n">
        <v>0.467</v>
      </c>
      <c r="G6" s="6" t="n">
        <v>0.6</v>
      </c>
      <c r="H6" s="6" t="n">
        <v>0.4</v>
      </c>
      <c r="I6" s="7" t="n">
        <v>0.489</v>
      </c>
    </row>
    <row r="7" ht="17" customHeight="1">
      <c r="A7" s="8" t="inlineStr">
        <is>
          <t>NIFTY ENERGY</t>
        </is>
      </c>
      <c r="B7" s="9" t="n">
        <v>40</v>
      </c>
      <c r="C7" s="9" t="n">
        <v>10</v>
      </c>
      <c r="D7" s="9" t="n">
        <v>19</v>
      </c>
      <c r="E7" s="9" t="n">
        <v>21</v>
      </c>
      <c r="F7" s="10" t="n">
        <v>0.25</v>
      </c>
      <c r="G7" s="10" t="n">
        <v>0.475</v>
      </c>
      <c r="H7" s="10" t="n">
        <v>0.525</v>
      </c>
      <c r="I7" s="11" t="n">
        <v>0.4167</v>
      </c>
    </row>
    <row r="8" ht="17" customHeight="1">
      <c r="A8" s="4" t="inlineStr">
        <is>
          <t>NIFTY MIDSMALL IT &amp; TELECOM</t>
        </is>
      </c>
      <c r="B8" s="5" t="n">
        <v>20</v>
      </c>
      <c r="C8" s="5" t="n">
        <v>10</v>
      </c>
      <c r="D8" s="5" t="n">
        <v>10</v>
      </c>
      <c r="E8" s="5" t="n">
        <v>3</v>
      </c>
      <c r="F8" s="6" t="n">
        <v>0.5</v>
      </c>
      <c r="G8" s="6" t="n">
        <v>0.5</v>
      </c>
      <c r="H8" s="6" t="n">
        <v>0.15</v>
      </c>
      <c r="I8" s="7" t="n">
        <v>0.3833</v>
      </c>
    </row>
    <row r="9" ht="17" customHeight="1">
      <c r="A9" s="8" t="inlineStr">
        <is>
          <t>NIFTY AUTO</t>
        </is>
      </c>
      <c r="B9" s="9" t="n">
        <v>15</v>
      </c>
      <c r="C9" s="9" t="n">
        <v>3</v>
      </c>
      <c r="D9" s="9" t="n">
        <v>5</v>
      </c>
      <c r="E9" s="9" t="n">
        <v>6</v>
      </c>
      <c r="F9" s="10" t="n">
        <v>0.2</v>
      </c>
      <c r="G9" s="10" t="n">
        <v>0.333</v>
      </c>
      <c r="H9" s="10" t="n">
        <v>0.4</v>
      </c>
      <c r="I9" s="11" t="n">
        <v>0.311</v>
      </c>
    </row>
    <row r="10" ht="17" customHeight="1">
      <c r="A10" s="4" t="inlineStr">
        <is>
          <t>NIFTY CONSUMER DURABLES</t>
        </is>
      </c>
      <c r="B10" s="5" t="n">
        <v>15</v>
      </c>
      <c r="C10" s="5" t="n">
        <v>3</v>
      </c>
      <c r="D10" s="5" t="n">
        <v>4</v>
      </c>
      <c r="E10" s="5" t="n">
        <v>6</v>
      </c>
      <c r="F10" s="6" t="n">
        <v>0.2</v>
      </c>
      <c r="G10" s="6" t="n">
        <v>0.267</v>
      </c>
      <c r="H10" s="6" t="n">
        <v>0.4</v>
      </c>
      <c r="I10" s="7" t="n">
        <v>0.289</v>
      </c>
    </row>
    <row r="11" ht="17" customHeight="1">
      <c r="A11" s="8" t="inlineStr">
        <is>
          <t>NIFTY MEDIA</t>
        </is>
      </c>
      <c r="B11" s="9" t="n">
        <v>10</v>
      </c>
      <c r="C11" s="9" t="n">
        <v>1</v>
      </c>
      <c r="D11" s="9" t="n">
        <v>5</v>
      </c>
      <c r="E11" s="9" t="n">
        <v>2</v>
      </c>
      <c r="F11" s="10" t="n">
        <v>0.1</v>
      </c>
      <c r="G11" s="10" t="n">
        <v>0.5</v>
      </c>
      <c r="H11" s="10" t="n">
        <v>0.2</v>
      </c>
      <c r="I11" s="11" t="n">
        <v>0.2667</v>
      </c>
    </row>
    <row r="12" ht="17" customHeight="1">
      <c r="A12" s="4" t="inlineStr">
        <is>
          <t>NIFTY REALTY</t>
        </is>
      </c>
      <c r="B12" s="5" t="n">
        <v>10</v>
      </c>
      <c r="C12" s="5" t="n">
        <v>1</v>
      </c>
      <c r="D12" s="5" t="n">
        <v>4</v>
      </c>
      <c r="E12" s="5" t="n">
        <v>2</v>
      </c>
      <c r="F12" s="6" t="n">
        <v>0.1</v>
      </c>
      <c r="G12" s="6" t="n">
        <v>0.4</v>
      </c>
      <c r="H12" s="6" t="n">
        <v>0.2</v>
      </c>
      <c r="I12" s="7" t="n">
        <v>0.2333</v>
      </c>
    </row>
    <row r="13" ht="17" customHeight="1">
      <c r="A13" s="8" t="inlineStr">
        <is>
          <t>NIFTY FINANCIAL SERVICES</t>
        </is>
      </c>
      <c r="B13" s="9" t="n">
        <v>20</v>
      </c>
      <c r="C13" s="9" t="n">
        <v>2</v>
      </c>
      <c r="D13" s="9" t="n">
        <v>3</v>
      </c>
      <c r="E13" s="9" t="n">
        <v>7</v>
      </c>
      <c r="F13" s="10" t="n">
        <v>0.1</v>
      </c>
      <c r="G13" s="10" t="n">
        <v>0.15</v>
      </c>
      <c r="H13" s="10" t="n">
        <v>0.35</v>
      </c>
      <c r="I13" s="11" t="n">
        <v>0.2</v>
      </c>
    </row>
    <row r="14" ht="17" customHeight="1">
      <c r="A14" s="4" t="inlineStr">
        <is>
          <t>NIFTY OIL &amp; GAS</t>
        </is>
      </c>
      <c r="B14" s="5" t="n">
        <v>15</v>
      </c>
      <c r="C14" s="5" t="n">
        <v>2</v>
      </c>
      <c r="D14" s="5" t="n">
        <v>4</v>
      </c>
      <c r="E14" s="5" t="n">
        <v>3</v>
      </c>
      <c r="F14" s="6" t="n">
        <v>0.133</v>
      </c>
      <c r="G14" s="6" t="n">
        <v>0.267</v>
      </c>
      <c r="H14" s="6" t="n">
        <v>0.2</v>
      </c>
      <c r="I14" s="7" t="n">
        <v>0.2</v>
      </c>
    </row>
    <row r="15" ht="17" customHeight="1">
      <c r="A15" s="8" t="inlineStr">
        <is>
          <t>NIFTY BANK</t>
        </is>
      </c>
      <c r="B15" s="9" t="n">
        <v>12</v>
      </c>
      <c r="C15" s="9" t="n">
        <v>0</v>
      </c>
      <c r="D15" s="9" t="n">
        <v>3</v>
      </c>
      <c r="E15" s="9" t="n">
        <v>3</v>
      </c>
      <c r="F15" s="10" t="n">
        <v>0</v>
      </c>
      <c r="G15" s="10" t="n">
        <v>0.25</v>
      </c>
      <c r="H15" s="10" t="n">
        <v>0.25</v>
      </c>
      <c r="I15" s="11" t="n">
        <v>0.1667</v>
      </c>
    </row>
    <row r="16" ht="17" customHeight="1">
      <c r="A16" s="4" t="inlineStr">
        <is>
          <t>NIFTY PSU BANK</t>
        </is>
      </c>
      <c r="B16" s="5" t="n">
        <v>12</v>
      </c>
      <c r="C16" s="5" t="n">
        <v>1</v>
      </c>
      <c r="D16" s="5" t="n">
        <v>1</v>
      </c>
      <c r="E16" s="5" t="n">
        <v>2</v>
      </c>
      <c r="F16" s="6" t="n">
        <v>0.083</v>
      </c>
      <c r="G16" s="6" t="n">
        <v>0.083</v>
      </c>
      <c r="H16" s="6" t="n">
        <v>0.167</v>
      </c>
      <c r="I16" s="7" t="n">
        <v>0.111</v>
      </c>
    </row>
    <row r="17" ht="17" customHeight="1">
      <c r="A17" s="8" t="inlineStr">
        <is>
          <t>NIFTY IT</t>
        </is>
      </c>
      <c r="B17" s="9" t="n">
        <v>10</v>
      </c>
      <c r="C17" s="9" t="n">
        <v>0</v>
      </c>
      <c r="D17" s="9" t="n">
        <v>0</v>
      </c>
      <c r="E17" s="9" t="n">
        <v>0</v>
      </c>
      <c r="F17" s="10" t="n">
        <v>0</v>
      </c>
      <c r="G17" s="10" t="n">
        <v>0</v>
      </c>
      <c r="H17" s="10" t="n">
        <v>0</v>
      </c>
      <c r="I17" s="11" t="n">
        <v>0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PHARMA</t>
        </is>
      </c>
      <c r="B3" s="13" t="inlineStr">
        <is>
          <t>AJANTPHARM</t>
        </is>
      </c>
      <c r="C3" s="14" t="n">
        <v>3091.7</v>
      </c>
      <c r="D3" s="14" t="n">
        <v>2923.93</v>
      </c>
      <c r="E3" s="14" t="n">
        <v>2879.54</v>
      </c>
      <c r="F3" s="14" t="n">
        <v>2742.39</v>
      </c>
      <c r="G3" s="15">
        <f>HYPERLINK("https://www.tradingview.com/chart/?symbol=NSE:AJANTPHARM","Chart 📈")</f>
        <v/>
      </c>
    </row>
    <row r="4" ht="16" customHeight="1">
      <c r="A4" s="16" t="inlineStr">
        <is>
          <t>NIFTY PHARMA</t>
        </is>
      </c>
      <c r="B4" s="13" t="inlineStr">
        <is>
          <t>ALKEM</t>
        </is>
      </c>
      <c r="C4" s="14" t="n">
        <v>5496.5</v>
      </c>
      <c r="D4" s="14" t="n">
        <v>5474.32</v>
      </c>
      <c r="E4" s="14" t="n">
        <v>5464.31</v>
      </c>
      <c r="F4" s="14" t="n">
        <v>5418.93</v>
      </c>
      <c r="G4" s="15">
        <f>HYPERLINK("https://www.tradingview.com/chart/?symbol=NSE:ALKEM","Chart 📈")</f>
        <v/>
      </c>
    </row>
    <row r="5" ht="16" customHeight="1">
      <c r="A5" s="16" t="inlineStr">
        <is>
          <t>NIFTY PHARMA</t>
        </is>
      </c>
      <c r="B5" s="13" t="inlineStr">
        <is>
          <t>AUROPHARMA</t>
        </is>
      </c>
      <c r="C5" s="14" t="n">
        <v>1488.2</v>
      </c>
      <c r="D5" s="14" t="n">
        <v>1421.89</v>
      </c>
      <c r="E5" s="14" t="n">
        <v>1352.98</v>
      </c>
      <c r="F5" s="14" t="n">
        <v>1237.04</v>
      </c>
      <c r="G5" s="15">
        <f>HYPERLINK("https://www.tradingview.com/chart/?symbol=NSE:AUROPHARMA","Chart 📈")</f>
        <v/>
      </c>
    </row>
    <row r="6" ht="16" customHeight="1">
      <c r="A6" s="16" t="inlineStr">
        <is>
          <t>NIFTY PHARMA</t>
        </is>
      </c>
      <c r="B6" s="13" t="inlineStr">
        <is>
          <t>BIOCON</t>
        </is>
      </c>
      <c r="C6" s="14" t="n">
        <v>402.45</v>
      </c>
      <c r="D6" s="14" t="n">
        <v>371.43</v>
      </c>
      <c r="E6" s="14" t="n">
        <v>369.93</v>
      </c>
      <c r="F6" s="14" t="n">
        <v>369.23</v>
      </c>
      <c r="G6" s="15">
        <f>HYPERLINK("https://www.tradingview.com/chart/?symbol=NSE:BIOCON","Chart 📈")</f>
        <v/>
      </c>
    </row>
    <row r="7" ht="16" customHeight="1">
      <c r="A7" s="16" t="inlineStr">
        <is>
          <t>NIFTY PHARMA</t>
        </is>
      </c>
      <c r="B7" s="13" t="inlineStr">
        <is>
          <t>DIVISLAB</t>
        </is>
      </c>
      <c r="C7" s="14" t="n">
        <v>6644</v>
      </c>
      <c r="D7" s="14" t="n">
        <v>6481.3</v>
      </c>
      <c r="E7" s="14" t="n">
        <v>6332.89</v>
      </c>
      <c r="F7" s="14" t="n">
        <v>6291.09</v>
      </c>
      <c r="G7" s="15">
        <f>HYPERLINK("https://www.tradingview.com/chart/?symbol=NSE:DIVISLAB","Chart 📈")</f>
        <v/>
      </c>
    </row>
    <row r="8" ht="16" customHeight="1">
      <c r="A8" s="16" t="inlineStr">
        <is>
          <t>NIFTY PHARMA</t>
        </is>
      </c>
      <c r="B8" s="13" t="inlineStr">
        <is>
          <t>GLAND</t>
        </is>
      </c>
      <c r="C8" s="14" t="n">
        <v>1872.1</v>
      </c>
      <c r="D8" s="14" t="n">
        <v>1804.1</v>
      </c>
      <c r="E8" s="14" t="n">
        <v>1769.07</v>
      </c>
      <c r="F8" s="14" t="n">
        <v>1751.97</v>
      </c>
      <c r="G8" s="15">
        <f>HYPERLINK("https://www.tradingview.com/chart/?symbol=NSE:GLAND","Chart 📈")</f>
        <v/>
      </c>
    </row>
    <row r="9" ht="16" customHeight="1">
      <c r="A9" s="16" t="inlineStr">
        <is>
          <t>NIFTY PHARMA</t>
        </is>
      </c>
      <c r="B9" s="13" t="inlineStr">
        <is>
          <t>GRANULES</t>
        </is>
      </c>
      <c r="C9" s="14" t="n">
        <v>729.05</v>
      </c>
      <c r="D9" s="14" t="n">
        <v>701.8</v>
      </c>
      <c r="E9" s="14" t="n">
        <v>657.2</v>
      </c>
      <c r="F9" s="14" t="n">
        <v>583.71</v>
      </c>
      <c r="G9" s="15">
        <f>HYPERLINK("https://www.tradingview.com/chart/?symbol=NSE:GRANULES","Chart 📈")</f>
        <v/>
      </c>
    </row>
    <row r="10" ht="16" customHeight="1">
      <c r="A10" s="16" t="inlineStr">
        <is>
          <t>NIFTY PHARMA</t>
        </is>
      </c>
      <c r="B10" s="13" t="inlineStr">
        <is>
          <t>JBCHEPHARM</t>
        </is>
      </c>
      <c r="C10" s="14" t="n">
        <v>2135.3</v>
      </c>
      <c r="D10" s="14" t="n">
        <v>2082.34</v>
      </c>
      <c r="E10" s="14" t="n">
        <v>2037.14</v>
      </c>
      <c r="F10" s="14" t="n">
        <v>1875.17</v>
      </c>
      <c r="G10" s="15">
        <f>HYPERLINK("https://www.tradingview.com/chart/?symbol=NSE:JBCHEPHARM","Chart 📈")</f>
        <v/>
      </c>
    </row>
    <row r="11" ht="16" customHeight="1">
      <c r="A11" s="16" t="inlineStr">
        <is>
          <t>NIFTY PHARMA</t>
        </is>
      </c>
      <c r="B11" s="13" t="inlineStr">
        <is>
          <t>LAURUSLABS</t>
        </is>
      </c>
      <c r="C11" s="14" t="n">
        <v>1268</v>
      </c>
      <c r="D11" s="14" t="n">
        <v>1155.29</v>
      </c>
      <c r="E11" s="14" t="n">
        <v>1098.63</v>
      </c>
      <c r="F11" s="14" t="n">
        <v>974.83</v>
      </c>
      <c r="G11" s="15">
        <f>HYPERLINK("https://www.tradingview.com/chart/?symbol=NSE:LAURUSLABS","Chart 📈")</f>
        <v/>
      </c>
    </row>
    <row r="12" ht="16" customHeight="1">
      <c r="A12" s="16" t="inlineStr">
        <is>
          <t>NIFTY PHARMA</t>
        </is>
      </c>
      <c r="B12" s="13" t="inlineStr">
        <is>
          <t>MANKIND</t>
        </is>
      </c>
      <c r="C12" s="14" t="n">
        <v>2378.9</v>
      </c>
      <c r="D12" s="14" t="n">
        <v>2279.28</v>
      </c>
      <c r="E12" s="14" t="n">
        <v>2199.57</v>
      </c>
      <c r="F12" s="14" t="n">
        <v>2263.29</v>
      </c>
      <c r="G12" s="15">
        <f>HYPERLINK("https://www.tradingview.com/chart/?symbol=NSE:MANKIND","Chart 📈")</f>
        <v/>
      </c>
    </row>
    <row r="13" ht="16" customHeight="1">
      <c r="A13" s="16" t="inlineStr">
        <is>
          <t>NIFTY PHARMA</t>
        </is>
      </c>
      <c r="B13" s="13" t="inlineStr">
        <is>
          <t>NATCOPHARM</t>
        </is>
      </c>
      <c r="C13" s="14" t="n">
        <v>1181.9</v>
      </c>
      <c r="D13" s="14" t="n">
        <v>1118.01</v>
      </c>
      <c r="E13" s="14" t="n">
        <v>1052.19</v>
      </c>
      <c r="F13" s="14" t="n">
        <v>938.87</v>
      </c>
      <c r="G13" s="15">
        <f>HYPERLINK("https://www.tradingview.com/chart/?symbol=NSE:NATCOPHARM","Chart 📈")</f>
        <v/>
      </c>
    </row>
    <row r="14" ht="16" customHeight="1">
      <c r="A14" s="16" t="inlineStr">
        <is>
          <t>NIFTY PHARMA</t>
        </is>
      </c>
      <c r="B14" s="13" t="inlineStr">
        <is>
          <t>SUNPHARMA</t>
        </is>
      </c>
      <c r="C14" s="14" t="n">
        <v>1845.7</v>
      </c>
      <c r="D14" s="14" t="n">
        <v>1786.59</v>
      </c>
      <c r="E14" s="14" t="n">
        <v>1755.04</v>
      </c>
      <c r="F14" s="14" t="n">
        <v>1715.33</v>
      </c>
      <c r="G14" s="15">
        <f>HYPERLINK("https://www.tradingview.com/chart/?symbol=NSE:SUNPHARMA","Chart 📈")</f>
        <v/>
      </c>
    </row>
    <row r="15" ht="16" customHeight="1">
      <c r="A15" s="16" t="inlineStr">
        <is>
          <t>NIFTY PHARMA</t>
        </is>
      </c>
      <c r="B15" s="13" t="inlineStr">
        <is>
          <t>TORNTPHARM</t>
        </is>
      </c>
      <c r="C15" s="14" t="n">
        <v>4381.9</v>
      </c>
      <c r="D15" s="14" t="n">
        <v>4273.97</v>
      </c>
      <c r="E15" s="14" t="n">
        <v>4209.65</v>
      </c>
      <c r="F15" s="14" t="n">
        <v>3900.06</v>
      </c>
      <c r="G15" s="15">
        <f>HYPERLINK("https://www.tradingview.com/chart/?symbol=NSE:TORNTPHARM","Chart 📈")</f>
        <v/>
      </c>
    </row>
    <row r="16" ht="16" customHeight="1">
      <c r="A16" s="16" t="inlineStr">
        <is>
          <t>NIFTY PHARMA</t>
        </is>
      </c>
      <c r="B16" s="13" t="inlineStr">
        <is>
          <t>ZYDUSLIFE</t>
        </is>
      </c>
      <c r="C16" s="14" t="n">
        <v>930.65</v>
      </c>
      <c r="D16" s="14" t="n">
        <v>923.46</v>
      </c>
      <c r="E16" s="14" t="n">
        <v>914.76</v>
      </c>
      <c r="F16" s="14" t="n">
        <v>923.53</v>
      </c>
      <c r="G16" s="15">
        <f>HYPERLINK("https://www.tradingview.com/chart/?symbol=NSE:ZYDUSLIFE","Chart 📈")</f>
        <v/>
      </c>
    </row>
    <row r="17" ht="16" customHeight="1">
      <c r="A17" s="8" t="inlineStr">
        <is>
          <t>NIFTY METAL</t>
        </is>
      </c>
      <c r="B17" s="17" t="inlineStr">
        <is>
          <t>ADANIENT</t>
        </is>
      </c>
      <c r="C17" s="18" t="n">
        <v>2405.2</v>
      </c>
      <c r="D17" s="18" t="n">
        <v>2358.76</v>
      </c>
      <c r="E17" s="18" t="n">
        <v>2230.11</v>
      </c>
      <c r="F17" s="18" t="n">
        <v>2262.98</v>
      </c>
      <c r="G17" s="19">
        <f>HYPERLINK("https://www.tradingview.com/chart/?symbol=NSE:ADANIENT","Chart 📈")</f>
        <v/>
      </c>
    </row>
    <row r="18" ht="16" customHeight="1">
      <c r="A18" s="20" t="inlineStr">
        <is>
          <t>NIFTY METAL</t>
        </is>
      </c>
      <c r="B18" s="17" t="inlineStr">
        <is>
          <t>HINDALCO</t>
        </is>
      </c>
      <c r="C18" s="18" t="n">
        <v>1041.4</v>
      </c>
      <c r="D18" s="18" t="n">
        <v>1028.85</v>
      </c>
      <c r="E18" s="18" t="n">
        <v>989.17</v>
      </c>
      <c r="F18" s="18" t="n">
        <v>872.22</v>
      </c>
      <c r="G18" s="19">
        <f>HYPERLINK("https://www.tradingview.com/chart/?symbol=NSE:HINDALCO","Chart 📈")</f>
        <v/>
      </c>
    </row>
    <row r="19" ht="16" customHeight="1">
      <c r="A19" s="20" t="inlineStr">
        <is>
          <t>NIFTY METAL</t>
        </is>
      </c>
      <c r="B19" s="17" t="inlineStr">
        <is>
          <t>HINDCOPPER</t>
        </is>
      </c>
      <c r="C19" s="18" t="n">
        <v>564.2</v>
      </c>
      <c r="D19" s="18" t="n">
        <v>549.11</v>
      </c>
      <c r="E19" s="18" t="n">
        <v>537.75</v>
      </c>
      <c r="F19" s="18" t="n">
        <v>444.44</v>
      </c>
      <c r="G19" s="19">
        <f>HYPERLINK("https://www.tradingview.com/chart/?symbol=NSE:HINDCOPPER","Chart 📈")</f>
        <v/>
      </c>
    </row>
    <row r="20" ht="16" customHeight="1">
      <c r="A20" s="20" t="inlineStr">
        <is>
          <t>NIFTY METAL</t>
        </is>
      </c>
      <c r="B20" s="17" t="inlineStr">
        <is>
          <t>HINDZINC</t>
        </is>
      </c>
      <c r="C20" s="18" t="n">
        <v>641.9</v>
      </c>
      <c r="D20" s="18" t="n">
        <v>603.52</v>
      </c>
      <c r="E20" s="18" t="n">
        <v>583.33</v>
      </c>
      <c r="F20" s="18" t="n">
        <v>536</v>
      </c>
      <c r="G20" s="19">
        <f>HYPERLINK("https://www.tradingview.com/chart/?symbol=NSE:HINDZINC","Chart 📈")</f>
        <v/>
      </c>
    </row>
    <row r="21" ht="16" customHeight="1">
      <c r="A21" s="20" t="inlineStr">
        <is>
          <t>NIFTY METAL</t>
        </is>
      </c>
      <c r="B21" s="17" t="inlineStr">
        <is>
          <t>RATNAMANI</t>
        </is>
      </c>
      <c r="C21" s="18" t="n">
        <v>2859.8</v>
      </c>
      <c r="D21" s="18" t="n">
        <v>2660.98</v>
      </c>
      <c r="E21" s="18" t="n">
        <v>2491.59</v>
      </c>
      <c r="F21" s="18" t="n">
        <v>2432.55</v>
      </c>
      <c r="G21" s="19">
        <f>HYPERLINK("https://www.tradingview.com/chart/?symbol=NSE:RATNAMANI","Chart 📈")</f>
        <v/>
      </c>
    </row>
    <row r="22" ht="16" customHeight="1">
      <c r="A22" s="20" t="inlineStr">
        <is>
          <t>NIFTY METAL</t>
        </is>
      </c>
      <c r="B22" s="17" t="inlineStr">
        <is>
          <t>TATASTEEL</t>
        </is>
      </c>
      <c r="C22" s="18" t="n">
        <v>212</v>
      </c>
      <c r="D22" s="18" t="n">
        <v>211.06</v>
      </c>
      <c r="E22" s="18" t="n">
        <v>205.22</v>
      </c>
      <c r="F22" s="18" t="n">
        <v>185.68</v>
      </c>
      <c r="G22" s="19">
        <f>HYPERLINK("https://www.tradingview.com/chart/?symbol=NSE:TATASTEEL","Chart 📈")</f>
        <v/>
      </c>
    </row>
    <row r="23" ht="16" customHeight="1">
      <c r="A23" s="20" t="inlineStr">
        <is>
          <t>NIFTY METAL</t>
        </is>
      </c>
      <c r="B23" s="17" t="inlineStr">
        <is>
          <t>WELCORP</t>
        </is>
      </c>
      <c r="C23" s="18" t="n">
        <v>1319.4</v>
      </c>
      <c r="D23" s="18" t="n">
        <v>1200.96</v>
      </c>
      <c r="E23" s="18" t="n">
        <v>1051.57</v>
      </c>
      <c r="F23" s="18" t="n">
        <v>898.39</v>
      </c>
      <c r="G23" s="19">
        <f>HYPERLINK("https://www.tradingview.com/chart/?symbol=NSE:WELCORP","Chart 📈")</f>
        <v/>
      </c>
    </row>
    <row r="24" ht="16" customHeight="1">
      <c r="A24" s="12" t="inlineStr">
        <is>
          <t>NIFTY FMCG</t>
        </is>
      </c>
      <c r="B24" s="13" t="inlineStr">
        <is>
          <t>BALRAMCHIN</t>
        </is>
      </c>
      <c r="C24" s="14" t="n">
        <v>534.15</v>
      </c>
      <c r="D24" s="14" t="n">
        <v>516.83</v>
      </c>
      <c r="E24" s="14" t="n">
        <v>498.61</v>
      </c>
      <c r="F24" s="14" t="n">
        <v>490.83</v>
      </c>
      <c r="G24" s="15">
        <f>HYPERLINK("https://www.tradingview.com/chart/?symbol=NSE:BALRAMCHIN","Chart 📈")</f>
        <v/>
      </c>
    </row>
    <row r="25" ht="16" customHeight="1">
      <c r="A25" s="16" t="inlineStr">
        <is>
          <t>NIFTY FMCG</t>
        </is>
      </c>
      <c r="B25" s="13" t="inlineStr">
        <is>
          <t>MARICO</t>
        </is>
      </c>
      <c r="C25" s="14" t="n">
        <v>830</v>
      </c>
      <c r="D25" s="14" t="n">
        <v>795.92</v>
      </c>
      <c r="E25" s="14" t="n">
        <v>776.97</v>
      </c>
      <c r="F25" s="14" t="n">
        <v>749.34</v>
      </c>
      <c r="G25" s="15">
        <f>HYPERLINK("https://www.tradingview.com/chart/?symbol=NSE:MARICO","Chart 📈")</f>
        <v/>
      </c>
    </row>
    <row r="26" ht="16" customHeight="1">
      <c r="A26" s="16" t="inlineStr">
        <is>
          <t>NIFTY FMCG</t>
        </is>
      </c>
      <c r="B26" s="13" t="inlineStr">
        <is>
          <t>NESTLEIND</t>
        </is>
      </c>
      <c r="C26" s="14" t="n">
        <v>1468.6</v>
      </c>
      <c r="D26" s="14" t="n">
        <v>1415.49</v>
      </c>
      <c r="E26" s="14" t="n">
        <v>1342.99</v>
      </c>
      <c r="F26" s="14" t="n">
        <v>1265.71</v>
      </c>
      <c r="G26" s="15">
        <f>HYPERLINK("https://www.tradingview.com/chart/?symbol=NSE:NESTLEIND","Chart 📈")</f>
        <v/>
      </c>
    </row>
    <row r="27" ht="16" customHeight="1">
      <c r="A27" s="16" t="inlineStr">
        <is>
          <t>NIFTY FMCG</t>
        </is>
      </c>
      <c r="B27" s="13" t="inlineStr">
        <is>
          <t>RADICO</t>
        </is>
      </c>
      <c r="C27" s="14" t="n">
        <v>3428.6</v>
      </c>
      <c r="D27" s="14" t="n">
        <v>3283.41</v>
      </c>
      <c r="E27" s="14" t="n">
        <v>3081.76</v>
      </c>
      <c r="F27" s="14" t="n">
        <v>2938.82</v>
      </c>
      <c r="G27" s="15">
        <f>HYPERLINK("https://www.tradingview.com/chart/?symbol=NSE:RADICO","Chart 📈")</f>
        <v/>
      </c>
    </row>
    <row r="28" ht="16" customHeight="1">
      <c r="A28" s="16" t="inlineStr">
        <is>
          <t>NIFTY FMCG</t>
        </is>
      </c>
      <c r="B28" s="13" t="inlineStr">
        <is>
          <t>TATACONSUM</t>
        </is>
      </c>
      <c r="C28" s="14" t="n">
        <v>1253</v>
      </c>
      <c r="D28" s="14" t="n">
        <v>1162.51</v>
      </c>
      <c r="E28" s="14" t="n">
        <v>1136.31</v>
      </c>
      <c r="F28" s="14" t="n">
        <v>1131.11</v>
      </c>
      <c r="G28" s="15">
        <f>HYPERLINK("https://www.tradingview.com/chart/?symbol=NSE:TATACONSUM","Chart 📈")</f>
        <v/>
      </c>
    </row>
    <row r="29" ht="16" customHeight="1">
      <c r="A29" s="8" t="inlineStr">
        <is>
          <t>NIFTY ENERGY</t>
        </is>
      </c>
      <c r="B29" s="17" t="inlineStr">
        <is>
          <t>ADANIENSOL</t>
        </is>
      </c>
      <c r="C29" s="18" t="n">
        <v>1318.2</v>
      </c>
      <c r="D29" s="18" t="n">
        <v>1309.25</v>
      </c>
      <c r="E29" s="18" t="n">
        <v>1193.44</v>
      </c>
      <c r="F29" s="18" t="n">
        <v>1024.11</v>
      </c>
      <c r="G29" s="19">
        <f>HYPERLINK("https://www.tradingview.com/chart/?symbol=NSE:ADANIENSOL","Chart 📈")</f>
        <v/>
      </c>
    </row>
    <row r="30" ht="16" customHeight="1">
      <c r="A30" s="20" t="inlineStr">
        <is>
          <t>NIFTY ENERGY</t>
        </is>
      </c>
      <c r="B30" s="17" t="inlineStr">
        <is>
          <t>ADANIGREEN</t>
        </is>
      </c>
      <c r="C30" s="18" t="n">
        <v>1308</v>
      </c>
      <c r="D30" s="18" t="n">
        <v>1239.07</v>
      </c>
      <c r="E30" s="18" t="n">
        <v>1111.44</v>
      </c>
      <c r="F30" s="18" t="n">
        <v>1016.45</v>
      </c>
      <c r="G30" s="19">
        <f>HYPERLINK("https://www.tradingview.com/chart/?symbol=NSE:ADANIGREEN","Chart 📈")</f>
        <v/>
      </c>
    </row>
    <row r="31" ht="16" customHeight="1">
      <c r="A31" s="20" t="inlineStr">
        <is>
          <t>NIFTY ENERGY</t>
        </is>
      </c>
      <c r="B31" s="17" t="inlineStr">
        <is>
          <t>BHEL</t>
        </is>
      </c>
      <c r="C31" s="18" t="n">
        <v>391.75</v>
      </c>
      <c r="D31" s="18" t="n">
        <v>356.22</v>
      </c>
      <c r="E31" s="18" t="n">
        <v>316.62</v>
      </c>
      <c r="F31" s="18" t="n">
        <v>275.42</v>
      </c>
      <c r="G31" s="19">
        <f>HYPERLINK("https://www.tradingview.com/chart/?symbol=NSE:BHEL","Chart 📈")</f>
        <v/>
      </c>
    </row>
    <row r="32" ht="16" customHeight="1">
      <c r="A32" s="20" t="inlineStr">
        <is>
          <t>NIFTY ENERGY</t>
        </is>
      </c>
      <c r="B32" s="17" t="inlineStr">
        <is>
          <t>CESC</t>
        </is>
      </c>
      <c r="C32" s="18" t="n">
        <v>180.5</v>
      </c>
      <c r="D32" s="18" t="n">
        <v>180.38</v>
      </c>
      <c r="E32" s="18" t="n">
        <v>170.87</v>
      </c>
      <c r="F32" s="18" t="n">
        <v>164.12</v>
      </c>
      <c r="G32" s="19">
        <f>HYPERLINK("https://www.tradingview.com/chart/?symbol=NSE:CESC","Chart 📈")</f>
        <v/>
      </c>
    </row>
    <row r="33" ht="16" customHeight="1">
      <c r="A33" s="20" t="inlineStr">
        <is>
          <t>NIFTY ENERGY</t>
        </is>
      </c>
      <c r="B33" s="17" t="inlineStr">
        <is>
          <t>CGPOWER</t>
        </is>
      </c>
      <c r="C33" s="18" t="n">
        <v>833.7</v>
      </c>
      <c r="D33" s="18" t="n">
        <v>812.3200000000001</v>
      </c>
      <c r="E33" s="18" t="n">
        <v>762.17</v>
      </c>
      <c r="F33" s="18" t="n">
        <v>705.98</v>
      </c>
      <c r="G33" s="19">
        <f>HYPERLINK("https://www.tradingview.com/chart/?symbol=NSE:CGPOWER","Chart 📈")</f>
        <v/>
      </c>
    </row>
    <row r="34" ht="16" customHeight="1">
      <c r="A34" s="20" t="inlineStr">
        <is>
          <t>NIFTY ENERGY</t>
        </is>
      </c>
      <c r="B34" s="17" t="inlineStr">
        <is>
          <t>COALINDIA</t>
        </is>
      </c>
      <c r="C34" s="18" t="n">
        <v>463.05</v>
      </c>
      <c r="D34" s="18" t="n">
        <v>461.74</v>
      </c>
      <c r="E34" s="18" t="n">
        <v>450.9</v>
      </c>
      <c r="F34" s="18" t="n">
        <v>413.79</v>
      </c>
      <c r="G34" s="19">
        <f>HYPERLINK("https://www.tradingview.com/chart/?symbol=NSE:COALINDIA","Chart 📈")</f>
        <v/>
      </c>
    </row>
    <row r="35" ht="16" customHeight="1">
      <c r="A35" s="20" t="inlineStr">
        <is>
          <t>NIFTY ENERGY</t>
        </is>
      </c>
      <c r="B35" s="17" t="inlineStr">
        <is>
          <t>POWERINDIA</t>
        </is>
      </c>
      <c r="C35" s="18" t="n">
        <v>32265</v>
      </c>
      <c r="D35" s="18" t="n">
        <v>31835.24</v>
      </c>
      <c r="E35" s="18" t="n">
        <v>28588.45</v>
      </c>
      <c r="F35" s="18" t="n">
        <v>22759.87</v>
      </c>
      <c r="G35" s="19">
        <f>HYPERLINK("https://www.tradingview.com/chart/?symbol=NSE:POWERINDIA","Chart 📈")</f>
        <v/>
      </c>
    </row>
    <row r="36" ht="16" customHeight="1">
      <c r="A36" s="20" t="inlineStr">
        <is>
          <t>NIFTY ENERGY</t>
        </is>
      </c>
      <c r="B36" s="17" t="inlineStr">
        <is>
          <t>SCHNEIDER</t>
        </is>
      </c>
      <c r="C36" s="18" t="n">
        <v>1265.2</v>
      </c>
      <c r="D36" s="18" t="n">
        <v>1202.16</v>
      </c>
      <c r="E36" s="18" t="n">
        <v>1058.73</v>
      </c>
      <c r="F36" s="18" t="n">
        <v>868.8099999999999</v>
      </c>
      <c r="G36" s="19">
        <f>HYPERLINK("https://www.tradingview.com/chart/?symbol=NSE:SCHNEIDER","Chart 📈")</f>
        <v/>
      </c>
    </row>
    <row r="37" ht="16" customHeight="1">
      <c r="A37" s="20" t="inlineStr">
        <is>
          <t>NIFTY ENERGY</t>
        </is>
      </c>
      <c r="B37" s="17" t="inlineStr">
        <is>
          <t>THERMAX</t>
        </is>
      </c>
      <c r="C37" s="18" t="n">
        <v>4483</v>
      </c>
      <c r="D37" s="18" t="n">
        <v>4117.47</v>
      </c>
      <c r="E37" s="18" t="n">
        <v>3745.69</v>
      </c>
      <c r="F37" s="18" t="n">
        <v>3350.11</v>
      </c>
      <c r="G37" s="19">
        <f>HYPERLINK("https://www.tradingview.com/chart/?symbol=NSE:THERMAX","Chart 📈")</f>
        <v/>
      </c>
    </row>
    <row r="38" ht="16" customHeight="1">
      <c r="A38" s="20" t="inlineStr">
        <is>
          <t>NIFTY ENERGY</t>
        </is>
      </c>
      <c r="B38" s="17" t="inlineStr">
        <is>
          <t>TRITURBINE</t>
        </is>
      </c>
      <c r="C38" s="18" t="n">
        <v>560.7</v>
      </c>
      <c r="D38" s="18" t="n">
        <v>553.97</v>
      </c>
      <c r="E38" s="18" t="n">
        <v>523.75</v>
      </c>
      <c r="F38" s="18" t="n">
        <v>521.7</v>
      </c>
      <c r="G38" s="19">
        <f>HYPERLINK("https://www.tradingview.com/chart/?symbol=NSE:TRITURBINE","Chart 📈")</f>
        <v/>
      </c>
    </row>
    <row r="39" ht="16" customHeight="1">
      <c r="A39" s="12" t="inlineStr">
        <is>
          <t>NIFTY MIDSMALL IT &amp; TELECOM</t>
        </is>
      </c>
      <c r="B39" s="13" t="inlineStr">
        <is>
          <t>HFCL</t>
        </is>
      </c>
      <c r="C39" s="14" t="n">
        <v>147.78</v>
      </c>
      <c r="D39" s="14" t="n">
        <v>119</v>
      </c>
      <c r="E39" s="14" t="n">
        <v>97.98999999999999</v>
      </c>
      <c r="F39" s="14" t="n">
        <v>80.8</v>
      </c>
      <c r="G39" s="15">
        <f>HYPERLINK("https://www.tradingview.com/chart/?symbol=NSE:HFCL","Chart 📈")</f>
        <v/>
      </c>
    </row>
    <row r="40" ht="16" customHeight="1">
      <c r="A40" s="16" t="inlineStr">
        <is>
          <t>NIFTY MIDSMALL IT &amp; TELECOM</t>
        </is>
      </c>
      <c r="B40" s="13" t="inlineStr">
        <is>
          <t>IDEA</t>
        </is>
      </c>
      <c r="C40" s="14" t="n">
        <v>11.89</v>
      </c>
      <c r="D40" s="14" t="n">
        <v>10.54</v>
      </c>
      <c r="E40" s="14" t="n">
        <v>10.16</v>
      </c>
      <c r="F40" s="14" t="n">
        <v>9.539999999999999</v>
      </c>
      <c r="G40" s="15">
        <f>HYPERLINK("https://www.tradingview.com/chart/?symbol=NSE:IDEA","Chart 📈")</f>
        <v/>
      </c>
    </row>
    <row r="41" ht="16" customHeight="1">
      <c r="A41" s="16" t="inlineStr">
        <is>
          <t>NIFTY MIDSMALL IT &amp; TELECOM</t>
        </is>
      </c>
      <c r="B41" s="13" t="inlineStr">
        <is>
          <t>OFSS</t>
        </is>
      </c>
      <c r="C41" s="14" t="n">
        <v>9010.5</v>
      </c>
      <c r="D41" s="14" t="n">
        <v>8762.389999999999</v>
      </c>
      <c r="E41" s="14" t="n">
        <v>7976.6</v>
      </c>
      <c r="F41" s="14" t="n">
        <v>7758.59</v>
      </c>
      <c r="G41" s="15">
        <f>HYPERLINK("https://www.tradingview.com/chart/?symbol=NSE:OFSS","Chart 📈")</f>
        <v/>
      </c>
    </row>
    <row r="42" ht="16" customHeight="1">
      <c r="A42" s="8" t="inlineStr">
        <is>
          <t>NIFTY AUTO</t>
        </is>
      </c>
      <c r="B42" s="17" t="inlineStr">
        <is>
          <t>BAJAJ-AUTO</t>
        </is>
      </c>
      <c r="C42" s="18" t="n">
        <v>10397</v>
      </c>
      <c r="D42" s="18" t="n">
        <v>10023.05</v>
      </c>
      <c r="E42" s="18" t="n">
        <v>9720.93</v>
      </c>
      <c r="F42" s="18" t="n">
        <v>9205.040000000001</v>
      </c>
      <c r="G42" s="19">
        <f>HYPERLINK("https://www.tradingview.com/chart/?symbol=NSE:BAJAJ-AUTO","Chart 📈")</f>
        <v/>
      </c>
    </row>
    <row r="43" ht="16" customHeight="1">
      <c r="A43" s="20" t="inlineStr">
        <is>
          <t>NIFTY AUTO</t>
        </is>
      </c>
      <c r="B43" s="17" t="inlineStr">
        <is>
          <t>BHARATFORG</t>
        </is>
      </c>
      <c r="C43" s="18" t="n">
        <v>1913</v>
      </c>
      <c r="D43" s="18" t="n">
        <v>1887.3</v>
      </c>
      <c r="E43" s="18" t="n">
        <v>1807.73</v>
      </c>
      <c r="F43" s="18" t="n">
        <v>1548.94</v>
      </c>
      <c r="G43" s="19">
        <f>HYPERLINK("https://www.tradingview.com/chart/?symbol=NSE:BHARATFORG","Chart 📈")</f>
        <v/>
      </c>
    </row>
    <row r="44" ht="16" customHeight="1">
      <c r="A44" s="20" t="inlineStr">
        <is>
          <t>NIFTY AUTO</t>
        </is>
      </c>
      <c r="B44" s="17" t="inlineStr">
        <is>
          <t>BOSCHLTD</t>
        </is>
      </c>
      <c r="C44" s="18" t="n">
        <v>36510</v>
      </c>
      <c r="D44" s="18" t="n">
        <v>36470.96</v>
      </c>
      <c r="E44" s="18" t="n">
        <v>35536.03</v>
      </c>
      <c r="F44" s="18" t="n">
        <v>35459.13</v>
      </c>
      <c r="G44" s="19">
        <f>HYPERLINK("https://www.tradingview.com/chart/?symbol=NSE:BOSCHLTD","Chart 📈")</f>
        <v/>
      </c>
    </row>
    <row r="45" ht="16" customHeight="1">
      <c r="A45" s="12" t="inlineStr">
        <is>
          <t>NIFTY CONSUMER DURABLES</t>
        </is>
      </c>
      <c r="B45" s="13" t="inlineStr">
        <is>
          <t>AMBER</t>
        </is>
      </c>
      <c r="C45" s="14" t="n">
        <v>8163.5</v>
      </c>
      <c r="D45" s="14" t="n">
        <v>8067.22</v>
      </c>
      <c r="E45" s="14" t="n">
        <v>7604.29</v>
      </c>
      <c r="F45" s="14" t="n">
        <v>7188.81</v>
      </c>
      <c r="G45" s="15">
        <f>HYPERLINK("https://www.tradingview.com/chart/?symbol=NSE:AMBER","Chart 📈")</f>
        <v/>
      </c>
    </row>
    <row r="46" ht="16" customHeight="1">
      <c r="A46" s="16" t="inlineStr">
        <is>
          <t>NIFTY CONSUMER DURABLES</t>
        </is>
      </c>
      <c r="B46" s="13" t="inlineStr">
        <is>
          <t>CERA</t>
        </is>
      </c>
      <c r="C46" s="14" t="n">
        <v>5926.5</v>
      </c>
      <c r="D46" s="14" t="n">
        <v>5434.06</v>
      </c>
      <c r="E46" s="14" t="n">
        <v>5217.91</v>
      </c>
      <c r="F46" s="14" t="n">
        <v>5506.38</v>
      </c>
      <c r="G46" s="15">
        <f>HYPERLINK("https://www.tradingview.com/chart/?symbol=NSE:CERA","Chart 📈")</f>
        <v/>
      </c>
    </row>
    <row r="47" ht="16" customHeight="1">
      <c r="A47" s="16" t="inlineStr">
        <is>
          <t>NIFTY CONSUMER DURABLES</t>
        </is>
      </c>
      <c r="B47" s="13" t="inlineStr">
        <is>
          <t>CROMPTON</t>
        </is>
      </c>
      <c r="C47" s="14" t="n">
        <v>282.05</v>
      </c>
      <c r="D47" s="14" t="n">
        <v>271.63</v>
      </c>
      <c r="E47" s="14" t="n">
        <v>260.62</v>
      </c>
      <c r="F47" s="14" t="n">
        <v>273.73</v>
      </c>
      <c r="G47" s="15">
        <f>HYPERLINK("https://www.tradingview.com/chart/?symbol=NSE:CROMPTON","Chart 📈")</f>
        <v/>
      </c>
    </row>
    <row r="48" ht="16" customHeight="1">
      <c r="A48" s="8" t="inlineStr">
        <is>
          <t>NIFTY MEDIA</t>
        </is>
      </c>
      <c r="B48" s="17" t="inlineStr">
        <is>
          <t>TIPSMUSIC</t>
        </is>
      </c>
      <c r="C48" s="18" t="n">
        <v>641.8</v>
      </c>
      <c r="D48" s="18" t="n">
        <v>626.4299999999999</v>
      </c>
      <c r="E48" s="18" t="n">
        <v>587.8200000000001</v>
      </c>
      <c r="F48" s="18" t="n">
        <v>566.01</v>
      </c>
      <c r="G48" s="19">
        <f>HYPERLINK("https://www.tradingview.com/chart/?symbol=NSE:TIPSMUSIC","Chart 📈")</f>
        <v/>
      </c>
    </row>
    <row r="49" ht="16" customHeight="1">
      <c r="A49" s="12" t="inlineStr">
        <is>
          <t>NIFTY FINANCIAL SERVICES</t>
        </is>
      </c>
      <c r="B49" s="13" t="inlineStr">
        <is>
          <t>LICHSGFIN</t>
        </is>
      </c>
      <c r="C49" s="14" t="n">
        <v>567.65</v>
      </c>
      <c r="D49" s="14" t="n">
        <v>557.49</v>
      </c>
      <c r="E49" s="14" t="n">
        <v>539.87</v>
      </c>
      <c r="F49" s="14" t="n">
        <v>546.28</v>
      </c>
      <c r="G49" s="15">
        <f>HYPERLINK("https://www.tradingview.com/chart/?symbol=NSE:LICHSGFIN","Chart 📈")</f>
        <v/>
      </c>
    </row>
    <row r="50" ht="16" customHeight="1">
      <c r="A50" s="16" t="inlineStr">
        <is>
          <t>NIFTY FINANCIAL SERVICES</t>
        </is>
      </c>
      <c r="B50" s="13" t="inlineStr">
        <is>
          <t>MCX</t>
        </is>
      </c>
      <c r="C50" s="14" t="n">
        <v>3156.9</v>
      </c>
      <c r="D50" s="14" t="n">
        <v>2924.92</v>
      </c>
      <c r="E50" s="14" t="n">
        <v>2728.97</v>
      </c>
      <c r="F50" s="14" t="n">
        <v>2214.53</v>
      </c>
      <c r="G50" s="15">
        <f>HYPERLINK("https://www.tradingview.com/chart/?symbol=NSE:MCX","Chart 📈")</f>
        <v/>
      </c>
    </row>
    <row r="51" ht="16" customHeight="1">
      <c r="A51" s="8" t="inlineStr">
        <is>
          <t>NIFTY OIL &amp; GAS</t>
        </is>
      </c>
      <c r="B51" s="17" t="inlineStr">
        <is>
          <t>OIL</t>
        </is>
      </c>
      <c r="C51" s="18" t="n">
        <v>490.95</v>
      </c>
      <c r="D51" s="18" t="n">
        <v>472</v>
      </c>
      <c r="E51" s="18" t="n">
        <v>470.01</v>
      </c>
      <c r="F51" s="18" t="n">
        <v>443</v>
      </c>
      <c r="G51" s="19">
        <f>HYPERLINK("https://www.tradingview.com/chart/?symbol=NSE:OIL","Chart 📈")</f>
        <v/>
      </c>
    </row>
    <row r="52" ht="16" customHeight="1">
      <c r="A52" s="20" t="inlineStr">
        <is>
          <t>NIFTY OIL &amp; GAS</t>
        </is>
      </c>
      <c r="B52" s="17" t="inlineStr">
        <is>
          <t>ONGC</t>
        </is>
      </c>
      <c r="C52" s="18" t="n">
        <v>294.5</v>
      </c>
      <c r="D52" s="18" t="n">
        <v>287.18</v>
      </c>
      <c r="E52" s="18" t="n">
        <v>280.18</v>
      </c>
      <c r="F52" s="18" t="n">
        <v>255.59</v>
      </c>
      <c r="G52" s="19">
        <f>HYPERLINK("https://www.tradingview.com/chart/?symbol=NSE:ONGC","Chart 📈")</f>
        <v/>
      </c>
    </row>
    <row r="53" ht="16" customHeight="1">
      <c r="A53" s="12" t="inlineStr">
        <is>
          <t>NIFTY PSU BANK</t>
        </is>
      </c>
      <c r="B53" s="13" t="inlineStr">
        <is>
          <t>MAHABANK</t>
        </is>
      </c>
      <c r="C53" s="14" t="n">
        <v>78.37</v>
      </c>
      <c r="D53" s="14" t="n">
        <v>78.3</v>
      </c>
      <c r="E53" s="14" t="n">
        <v>73.33</v>
      </c>
      <c r="F53" s="14" t="n">
        <v>63.75</v>
      </c>
      <c r="G53" s="15">
        <f>HYPERLINK("https://www.tradingview.com/chart/?symbol=NSE:MAHABANK","Chart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2026-05-13T18:35:04Z</dcterms:created>
  <dcterms:modified xsi:type="dcterms:W3CDTF">2026-05-13T18:35:04Z</dcterms:modified>
</cp:coreProperties>
</file>