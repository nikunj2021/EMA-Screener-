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30-Sep-2026  16:50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6</v>
      </c>
      <c r="D4" s="5" t="n">
        <v>10</v>
      </c>
      <c r="E4" s="5" t="n">
        <v>13</v>
      </c>
      <c r="F4" s="6" t="n">
        <v>0.3</v>
      </c>
      <c r="G4" s="6" t="n">
        <v>0.5</v>
      </c>
      <c r="H4" s="6" t="n">
        <v>0.65</v>
      </c>
      <c r="I4" s="7" t="n">
        <v>0.4833</v>
      </c>
    </row>
    <row r="5" ht="17" customHeight="1">
      <c r="A5" s="8" t="inlineStr">
        <is>
          <t>NIFTY MEDIA</t>
        </is>
      </c>
      <c r="B5" s="9" t="n">
        <v>10</v>
      </c>
      <c r="C5" s="9" t="n">
        <v>4</v>
      </c>
      <c r="D5" s="9" t="n">
        <v>4</v>
      </c>
      <c r="E5" s="9" t="n">
        <v>5</v>
      </c>
      <c r="F5" s="10" t="n">
        <v>0.4</v>
      </c>
      <c r="G5" s="10" t="n">
        <v>0.4</v>
      </c>
      <c r="H5" s="10" t="n">
        <v>0.5</v>
      </c>
      <c r="I5" s="11" t="n">
        <v>0.4333</v>
      </c>
    </row>
    <row r="6" ht="17" customHeight="1">
      <c r="A6" s="4" t="inlineStr">
        <is>
          <t>NIFTY METAL</t>
        </is>
      </c>
      <c r="B6" s="5" t="n">
        <v>15</v>
      </c>
      <c r="C6" s="5" t="n">
        <v>4</v>
      </c>
      <c r="D6" s="5" t="n">
        <v>6</v>
      </c>
      <c r="E6" s="5" t="n">
        <v>9</v>
      </c>
      <c r="F6" s="6" t="n">
        <v>0.267</v>
      </c>
      <c r="G6" s="6" t="n">
        <v>0.4</v>
      </c>
      <c r="H6" s="6" t="n">
        <v>0.6</v>
      </c>
      <c r="I6" s="7" t="n">
        <v>0.4223</v>
      </c>
    </row>
    <row r="7" ht="17" customHeight="1">
      <c r="A7" s="8" t="inlineStr">
        <is>
          <t>NIFTY REALTY</t>
        </is>
      </c>
      <c r="B7" s="9" t="n">
        <v>10</v>
      </c>
      <c r="C7" s="9" t="n">
        <v>3</v>
      </c>
      <c r="D7" s="9" t="n">
        <v>3</v>
      </c>
      <c r="E7" s="9" t="n">
        <v>6</v>
      </c>
      <c r="F7" s="10" t="n">
        <v>0.3</v>
      </c>
      <c r="G7" s="10" t="n">
        <v>0.3</v>
      </c>
      <c r="H7" s="10" t="n">
        <v>0.6</v>
      </c>
      <c r="I7" s="11" t="n">
        <v>0.4</v>
      </c>
    </row>
    <row r="8" ht="17" customHeight="1">
      <c r="A8" s="4" t="inlineStr">
        <is>
          <t>NIFTY AUTO</t>
        </is>
      </c>
      <c r="B8" s="5" t="n">
        <v>15</v>
      </c>
      <c r="C8" s="5" t="n">
        <v>1</v>
      </c>
      <c r="D8" s="5" t="n">
        <v>3</v>
      </c>
      <c r="E8" s="5" t="n">
        <v>6</v>
      </c>
      <c r="F8" s="6" t="n">
        <v>0.067</v>
      </c>
      <c r="G8" s="6" t="n">
        <v>0.2</v>
      </c>
      <c r="H8" s="6" t="n">
        <v>0.4</v>
      </c>
      <c r="I8" s="7" t="n">
        <v>0.2223</v>
      </c>
    </row>
    <row r="9" ht="17" customHeight="1">
      <c r="A9" s="8" t="inlineStr">
        <is>
          <t>NIFTY OIL &amp; GAS</t>
        </is>
      </c>
      <c r="B9" s="9" t="n">
        <v>15</v>
      </c>
      <c r="C9" s="9" t="n">
        <v>2</v>
      </c>
      <c r="D9" s="9" t="n">
        <v>2</v>
      </c>
      <c r="E9" s="9" t="n">
        <v>4</v>
      </c>
      <c r="F9" s="10" t="n">
        <v>0.133</v>
      </c>
      <c r="G9" s="10" t="n">
        <v>0.133</v>
      </c>
      <c r="H9" s="10" t="n">
        <v>0.267</v>
      </c>
      <c r="I9" s="11" t="n">
        <v>0.1777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2</v>
      </c>
      <c r="D10" s="5" t="n">
        <v>2</v>
      </c>
      <c r="E10" s="5" t="n">
        <v>4</v>
      </c>
      <c r="F10" s="6" t="n">
        <v>0.133</v>
      </c>
      <c r="G10" s="6" t="n">
        <v>0.133</v>
      </c>
      <c r="H10" s="6" t="n">
        <v>0.267</v>
      </c>
      <c r="I10" s="7" t="n">
        <v>0.1777</v>
      </c>
    </row>
    <row r="11" ht="17" customHeight="1">
      <c r="A11" s="8" t="inlineStr">
        <is>
          <t>NIFTY MIDSMALL IT &amp; TELECOM</t>
        </is>
      </c>
      <c r="B11" s="9" t="n">
        <v>20</v>
      </c>
      <c r="C11" s="9" t="n">
        <v>2</v>
      </c>
      <c r="D11" s="9" t="n">
        <v>2</v>
      </c>
      <c r="E11" s="9" t="n">
        <v>6</v>
      </c>
      <c r="F11" s="10" t="n">
        <v>0.1</v>
      </c>
      <c r="G11" s="10" t="n">
        <v>0.1</v>
      </c>
      <c r="H11" s="10" t="n">
        <v>0.3</v>
      </c>
      <c r="I11" s="11" t="n">
        <v>0.1667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3</v>
      </c>
      <c r="D12" s="5" t="n">
        <v>3</v>
      </c>
      <c r="E12" s="5" t="n">
        <v>3</v>
      </c>
      <c r="F12" s="6" t="n">
        <v>0.15</v>
      </c>
      <c r="G12" s="6" t="n">
        <v>0.15</v>
      </c>
      <c r="H12" s="6" t="n">
        <v>0.15</v>
      </c>
      <c r="I12" s="7" t="n">
        <v>0.15</v>
      </c>
    </row>
    <row r="13" ht="17" customHeight="1">
      <c r="A13" s="8" t="inlineStr">
        <is>
          <t>NIFTY ENERGY</t>
        </is>
      </c>
      <c r="B13" s="9" t="n">
        <v>40</v>
      </c>
      <c r="C13" s="9" t="n">
        <v>1</v>
      </c>
      <c r="D13" s="9" t="n">
        <v>1</v>
      </c>
      <c r="E13" s="9" t="n">
        <v>10</v>
      </c>
      <c r="F13" s="10" t="n">
        <v>0.025</v>
      </c>
      <c r="G13" s="10" t="n">
        <v>0.025</v>
      </c>
      <c r="H13" s="10" t="n">
        <v>0.25</v>
      </c>
      <c r="I13" s="11" t="n">
        <v>0.1</v>
      </c>
    </row>
    <row r="14" ht="17" customHeight="1">
      <c r="A14" s="4" t="inlineStr">
        <is>
          <t>NIFTY FMCG</t>
        </is>
      </c>
      <c r="B14" s="5" t="n">
        <v>15</v>
      </c>
      <c r="C14" s="5" t="n">
        <v>1</v>
      </c>
      <c r="D14" s="5" t="n">
        <v>1</v>
      </c>
      <c r="E14" s="5" t="n">
        <v>2</v>
      </c>
      <c r="F14" s="6" t="n">
        <v>0.067</v>
      </c>
      <c r="G14" s="6" t="n">
        <v>0.067</v>
      </c>
      <c r="H14" s="6" t="n">
        <v>0.133</v>
      </c>
      <c r="I14" s="7" t="n">
        <v>0.08900000000000001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0</v>
      </c>
      <c r="E15" s="9" t="n">
        <v>3</v>
      </c>
      <c r="F15" s="10" t="n">
        <v>0</v>
      </c>
      <c r="G15" s="10" t="n">
        <v>0</v>
      </c>
      <c r="H15" s="10" t="n">
        <v>0.25</v>
      </c>
      <c r="I15" s="11" t="n">
        <v>0.0833</v>
      </c>
    </row>
    <row r="16" ht="17" customHeight="1">
      <c r="A16" s="4" t="inlineStr">
        <is>
          <t>NIFTY PSU BANK</t>
        </is>
      </c>
      <c r="B16" s="5" t="n">
        <v>12</v>
      </c>
      <c r="C16" s="5" t="n">
        <v>0</v>
      </c>
      <c r="D16" s="5" t="n">
        <v>0</v>
      </c>
      <c r="E16" s="5" t="n">
        <v>3</v>
      </c>
      <c r="F16" s="6" t="n">
        <v>0</v>
      </c>
      <c r="G16" s="6" t="n">
        <v>0</v>
      </c>
      <c r="H16" s="6" t="n">
        <v>0.25</v>
      </c>
      <c r="I16" s="7" t="n">
        <v>0.0833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27125</v>
      </c>
      <c r="D3" s="14" t="n">
        <v>26649.02</v>
      </c>
      <c r="E3" s="14" t="n">
        <v>26587.61</v>
      </c>
      <c r="F3" s="14" t="n">
        <v>26728.39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3620.8</v>
      </c>
      <c r="D4" s="14" t="n">
        <v>3545.55</v>
      </c>
      <c r="E4" s="14" t="n">
        <v>3493.88</v>
      </c>
      <c r="F4" s="14" t="n">
        <v>3136.1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DRREDDY</t>
        </is>
      </c>
      <c r="C5" s="14" t="n">
        <v>1233</v>
      </c>
      <c r="D5" s="14" t="n">
        <v>1194.52</v>
      </c>
      <c r="E5" s="14" t="n">
        <v>1194.91</v>
      </c>
      <c r="F5" s="14" t="n">
        <v>1228</v>
      </c>
      <c r="G5" s="15">
        <f>HYPERLINK("https://www.tradingview.com/chart/?symbol=NSE:DRREDDY","Chart 📈")</f>
        <v/>
      </c>
    </row>
    <row r="6" ht="16" customHeight="1">
      <c r="A6" s="16" t="inlineStr">
        <is>
          <t>NIFTY PHARMA</t>
        </is>
      </c>
      <c r="B6" s="13" t="inlineStr">
        <is>
          <t>LAURUSLABS</t>
        </is>
      </c>
      <c r="C6" s="14" t="n">
        <v>1980</v>
      </c>
      <c r="D6" s="14" t="n">
        <v>1959.05</v>
      </c>
      <c r="E6" s="14" t="n">
        <v>1852.73</v>
      </c>
      <c r="F6" s="14" t="n">
        <v>1457.26</v>
      </c>
      <c r="G6" s="15">
        <f>HYPERLINK("https://www.tradingview.com/chart/?symbol=NSE:LAURUSLABS","Chart 📈")</f>
        <v/>
      </c>
    </row>
    <row r="7" ht="16" customHeight="1">
      <c r="A7" s="16" t="inlineStr">
        <is>
          <t>NIFTY PHARMA</t>
        </is>
      </c>
      <c r="B7" s="13" t="inlineStr">
        <is>
          <t>MANKIND</t>
        </is>
      </c>
      <c r="C7" s="14" t="n">
        <v>2503.8</v>
      </c>
      <c r="D7" s="14" t="n">
        <v>2412.6</v>
      </c>
      <c r="E7" s="14" t="n">
        <v>2405.9</v>
      </c>
      <c r="F7" s="14" t="n">
        <v>2361.71</v>
      </c>
      <c r="G7" s="15">
        <f>HYPERLINK("https://www.tradingview.com/chart/?symbol=NSE:MANKIND","Chart 📈")</f>
        <v/>
      </c>
    </row>
    <row r="8" ht="16" customHeight="1">
      <c r="A8" s="16" t="inlineStr">
        <is>
          <t>NIFTY PHARMA</t>
        </is>
      </c>
      <c r="B8" s="13" t="inlineStr">
        <is>
          <t>ZYDUSLIFE</t>
        </is>
      </c>
      <c r="C8" s="14" t="n">
        <v>1162</v>
      </c>
      <c r="D8" s="14" t="n">
        <v>1161.25</v>
      </c>
      <c r="E8" s="14" t="n">
        <v>1141.25</v>
      </c>
      <c r="F8" s="14" t="n">
        <v>1054.72</v>
      </c>
      <c r="G8" s="15">
        <f>HYPERLINK("https://www.tradingview.com/chart/?symbol=NSE:ZYDUSLIFE","Chart 📈")</f>
        <v/>
      </c>
    </row>
    <row r="9" ht="16" customHeight="1">
      <c r="A9" s="8" t="inlineStr">
        <is>
          <t>NIFTY MEDIA</t>
        </is>
      </c>
      <c r="B9" s="17" t="inlineStr">
        <is>
          <t>NAZARA</t>
        </is>
      </c>
      <c r="C9" s="18" t="n">
        <v>392.85</v>
      </c>
      <c r="D9" s="18" t="n">
        <v>371.96</v>
      </c>
      <c r="E9" s="18" t="n">
        <v>355.01</v>
      </c>
      <c r="F9" s="18" t="n">
        <v>306.38</v>
      </c>
      <c r="G9" s="19">
        <f>HYPERLINK("https://www.tradingview.com/chart/?symbol=NSE:NAZARA","Chart 📈")</f>
        <v/>
      </c>
    </row>
    <row r="10" ht="16" customHeight="1">
      <c r="A10" s="20" t="inlineStr">
        <is>
          <t>NIFTY MEDIA</t>
        </is>
      </c>
      <c r="B10" s="17" t="inlineStr">
        <is>
          <t>SAREGAMA</t>
        </is>
      </c>
      <c r="C10" s="18" t="n">
        <v>506.55</v>
      </c>
      <c r="D10" s="18" t="n">
        <v>498.02</v>
      </c>
      <c r="E10" s="18" t="n">
        <v>495.51</v>
      </c>
      <c r="F10" s="18" t="n">
        <v>448.54</v>
      </c>
      <c r="G10" s="19">
        <f>HYPERLINK("https://www.tradingview.com/chart/?symbol=NSE:SAREGAMA","Chart 📈")</f>
        <v/>
      </c>
    </row>
    <row r="11" ht="16" customHeight="1">
      <c r="A11" s="20" t="inlineStr">
        <is>
          <t>NIFTY MEDIA</t>
        </is>
      </c>
      <c r="B11" s="17" t="inlineStr">
        <is>
          <t>SUNTV</t>
        </is>
      </c>
      <c r="C11" s="18" t="n">
        <v>605</v>
      </c>
      <c r="D11" s="18" t="n">
        <v>499.47</v>
      </c>
      <c r="E11" s="18" t="n">
        <v>490.02</v>
      </c>
      <c r="F11" s="18" t="n">
        <v>515.9299999999999</v>
      </c>
      <c r="G11" s="19">
        <f>HYPERLINK("https://www.tradingview.com/chart/?symbol=NSE:SUNTV","Chart 📈")</f>
        <v/>
      </c>
    </row>
    <row r="12" ht="16" customHeight="1">
      <c r="A12" s="12" t="inlineStr">
        <is>
          <t>NIFTY METAL</t>
        </is>
      </c>
      <c r="B12" s="13" t="inlineStr">
        <is>
          <t>APLAPOLLO</t>
        </is>
      </c>
      <c r="C12" s="14" t="n">
        <v>2190.1</v>
      </c>
      <c r="D12" s="14" t="n">
        <v>2176.25</v>
      </c>
      <c r="E12" s="14" t="n">
        <v>2100.91</v>
      </c>
      <c r="F12" s="14" t="n">
        <v>1958.91</v>
      </c>
      <c r="G12" s="15">
        <f>HYPERLINK("https://www.tradingview.com/chart/?symbol=NSE:APLAPOLLO","Chart 📈")</f>
        <v/>
      </c>
    </row>
    <row r="13" ht="16" customHeight="1">
      <c r="A13" s="16" t="inlineStr">
        <is>
          <t>NIFTY METAL</t>
        </is>
      </c>
      <c r="B13" s="13" t="inlineStr">
        <is>
          <t>JSL</t>
        </is>
      </c>
      <c r="C13" s="14" t="n">
        <v>747.4</v>
      </c>
      <c r="D13" s="14" t="n">
        <v>741.6799999999999</v>
      </c>
      <c r="E13" s="14" t="n">
        <v>733.62</v>
      </c>
      <c r="F13" s="14" t="n">
        <v>735.48</v>
      </c>
      <c r="G13" s="15">
        <f>HYPERLINK("https://www.tradingview.com/chart/?symbol=NSE:JSL","Chart 📈")</f>
        <v/>
      </c>
    </row>
    <row r="14" ht="16" customHeight="1">
      <c r="A14" s="16" t="inlineStr">
        <is>
          <t>NIFTY METAL</t>
        </is>
      </c>
      <c r="B14" s="13" t="inlineStr">
        <is>
          <t>SAIL</t>
        </is>
      </c>
      <c r="C14" s="14" t="n">
        <v>181.49</v>
      </c>
      <c r="D14" s="14" t="n">
        <v>179.61</v>
      </c>
      <c r="E14" s="14" t="n">
        <v>177.79</v>
      </c>
      <c r="F14" s="14" t="n">
        <v>167.07</v>
      </c>
      <c r="G14" s="15">
        <f>HYPERLINK("https://www.tradingview.com/chart/?symbol=NSE:SAIL","Chart 📈")</f>
        <v/>
      </c>
    </row>
    <row r="15" ht="16" customHeight="1">
      <c r="A15" s="16" t="inlineStr">
        <is>
          <t>NIFTY METAL</t>
        </is>
      </c>
      <c r="B15" s="13" t="inlineStr">
        <is>
          <t>WELCORP</t>
        </is>
      </c>
      <c r="C15" s="14" t="n">
        <v>2717</v>
      </c>
      <c r="D15" s="14" t="n">
        <v>2627.54</v>
      </c>
      <c r="E15" s="14" t="n">
        <v>2319.15</v>
      </c>
      <c r="F15" s="14" t="n">
        <v>1586.88</v>
      </c>
      <c r="G15" s="15">
        <f>HYPERLINK("https://www.tradingview.com/chart/?symbol=NSE:WELCORP","Chart 📈")</f>
        <v/>
      </c>
    </row>
    <row r="16" ht="16" customHeight="1">
      <c r="A16" s="8" t="inlineStr">
        <is>
          <t>NIFTY REALTY</t>
        </is>
      </c>
      <c r="B16" s="17" t="inlineStr">
        <is>
          <t>DLF</t>
        </is>
      </c>
      <c r="C16" s="18" t="n">
        <v>674</v>
      </c>
      <c r="D16" s="18" t="n">
        <v>662.3099999999999</v>
      </c>
      <c r="E16" s="18" t="n">
        <v>657.04</v>
      </c>
      <c r="F16" s="18" t="n">
        <v>642.5</v>
      </c>
      <c r="G16" s="19">
        <f>HYPERLINK("https://www.tradingview.com/chart/?symbol=NSE:DLF","Chart 📈")</f>
        <v/>
      </c>
    </row>
    <row r="17" ht="16" customHeight="1">
      <c r="A17" s="20" t="inlineStr">
        <is>
          <t>NIFTY REALTY</t>
        </is>
      </c>
      <c r="B17" s="17" t="inlineStr">
        <is>
          <t>PHOENIXLTD</t>
        </is>
      </c>
      <c r="C17" s="18" t="n">
        <v>1935</v>
      </c>
      <c r="D17" s="18" t="n">
        <v>1925.63</v>
      </c>
      <c r="E17" s="18" t="n">
        <v>1921.49</v>
      </c>
      <c r="F17" s="18" t="n">
        <v>1829.94</v>
      </c>
      <c r="G17" s="19">
        <f>HYPERLINK("https://www.tradingview.com/chart/?symbol=NSE:PHOENIXLTD","Chart 📈")</f>
        <v/>
      </c>
    </row>
    <row r="18" ht="16" customHeight="1">
      <c r="A18" s="20" t="inlineStr">
        <is>
          <t>NIFTY REALTY</t>
        </is>
      </c>
      <c r="B18" s="17" t="inlineStr">
        <is>
          <t>RAYMOND</t>
        </is>
      </c>
      <c r="C18" s="18" t="n">
        <v>1213.05</v>
      </c>
      <c r="D18" s="18" t="n">
        <v>1020.29</v>
      </c>
      <c r="E18" s="18" t="n">
        <v>843.62</v>
      </c>
      <c r="F18" s="18" t="n">
        <v>622.83</v>
      </c>
      <c r="G18" s="19">
        <f>HYPERLINK("https://www.tradingview.com/chart/?symbol=NSE:RAYMOND","Chart 📈")</f>
        <v/>
      </c>
    </row>
    <row r="19" ht="16" customHeight="1">
      <c r="A19" s="12" t="inlineStr">
        <is>
          <t>NIFTY AUTO</t>
        </is>
      </c>
      <c r="B19" s="13" t="inlineStr">
        <is>
          <t>MOTHERSON</t>
        </is>
      </c>
      <c r="C19" s="14" t="n">
        <v>163.26</v>
      </c>
      <c r="D19" s="14" t="n">
        <v>162.63</v>
      </c>
      <c r="E19" s="14" t="n">
        <v>159.77</v>
      </c>
      <c r="F19" s="14" t="n">
        <v>140.33</v>
      </c>
      <c r="G19" s="15">
        <f>HYPERLINK("https://www.tradingview.com/chart/?symbol=NSE:MOTHERSON","Chart 📈")</f>
        <v/>
      </c>
    </row>
    <row r="20" ht="16" customHeight="1">
      <c r="A20" s="8" t="inlineStr">
        <is>
          <t>NIFTY OIL &amp; GAS</t>
        </is>
      </c>
      <c r="B20" s="17" t="inlineStr">
        <is>
          <t>AEGISLOG</t>
        </is>
      </c>
      <c r="C20" s="18" t="n">
        <v>1380.1</v>
      </c>
      <c r="D20" s="18" t="n">
        <v>1351.11</v>
      </c>
      <c r="E20" s="18" t="n">
        <v>1302.28</v>
      </c>
      <c r="F20" s="18" t="n">
        <v>1032.37</v>
      </c>
      <c r="G20" s="19">
        <f>HYPERLINK("https://www.tradingview.com/chart/?symbol=NSE:AEGISLOG","Chart 📈")</f>
        <v/>
      </c>
    </row>
    <row r="21" ht="16" customHeight="1">
      <c r="A21" s="20" t="inlineStr">
        <is>
          <t>NIFTY OIL &amp; GAS</t>
        </is>
      </c>
      <c r="B21" s="17" t="inlineStr">
        <is>
          <t>CASTROLIND</t>
        </is>
      </c>
      <c r="C21" s="18" t="n">
        <v>200.52</v>
      </c>
      <c r="D21" s="18" t="n">
        <v>193.9</v>
      </c>
      <c r="E21" s="18" t="n">
        <v>188.95</v>
      </c>
      <c r="F21" s="18" t="n">
        <v>182.63</v>
      </c>
      <c r="G21" s="19">
        <f>HYPERLINK("https://www.tradingview.com/chart/?symbol=NSE:CASTROLIND","Chart 📈")</f>
        <v/>
      </c>
    </row>
    <row r="22" ht="16" customHeight="1">
      <c r="A22" s="12" t="inlineStr">
        <is>
          <t>NIFTY CONSUMER DURABLES</t>
        </is>
      </c>
      <c r="B22" s="13" t="inlineStr">
        <is>
          <t>KAJARIACER</t>
        </is>
      </c>
      <c r="C22" s="14" t="n">
        <v>1235.1</v>
      </c>
      <c r="D22" s="14" t="n">
        <v>1212.78</v>
      </c>
      <c r="E22" s="14" t="n">
        <v>1206.41</v>
      </c>
      <c r="F22" s="14" t="n">
        <v>1142.73</v>
      </c>
      <c r="G22" s="15">
        <f>HYPERLINK("https://www.tradingview.com/chart/?symbol=NSE:KAJARIACER","Chart 📈")</f>
        <v/>
      </c>
    </row>
    <row r="23" ht="16" customHeight="1">
      <c r="A23" s="16" t="inlineStr">
        <is>
          <t>NIFTY CONSUMER DURABLES</t>
        </is>
      </c>
      <c r="B23" s="13" t="inlineStr">
        <is>
          <t>WHIRLPOOL</t>
        </is>
      </c>
      <c r="C23" s="14" t="n">
        <v>890.25</v>
      </c>
      <c r="D23" s="14" t="n">
        <v>819.89</v>
      </c>
      <c r="E23" s="14" t="n">
        <v>803.08</v>
      </c>
      <c r="F23" s="14" t="n">
        <v>866.97</v>
      </c>
      <c r="G23" s="15">
        <f>HYPERLINK("https://www.tradingview.com/chart/?symbol=NSE:WHIRLPOOL","Chart 📈")</f>
        <v/>
      </c>
    </row>
    <row r="24" ht="16" customHeight="1">
      <c r="A24" s="8" t="inlineStr">
        <is>
          <t>NIFTY MIDSMALL IT &amp; TELECOM</t>
        </is>
      </c>
      <c r="B24" s="17" t="inlineStr">
        <is>
          <t>CYIENT</t>
        </is>
      </c>
      <c r="C24" s="18" t="n">
        <v>1100.7</v>
      </c>
      <c r="D24" s="18" t="n">
        <v>1064.07</v>
      </c>
      <c r="E24" s="18" t="n">
        <v>1008.38</v>
      </c>
      <c r="F24" s="18" t="n">
        <v>977.84</v>
      </c>
      <c r="G24" s="19">
        <f>HYPERLINK("https://www.tradingview.com/chart/?symbol=NSE:CYIENT","Chart 📈")</f>
        <v/>
      </c>
    </row>
    <row r="25" ht="16" customHeight="1">
      <c r="A25" s="20" t="inlineStr">
        <is>
          <t>NIFTY MIDSMALL IT &amp; TELECOM</t>
        </is>
      </c>
      <c r="B25" s="17" t="inlineStr">
        <is>
          <t>HFCL</t>
        </is>
      </c>
      <c r="C25" s="18" t="n">
        <v>227.02</v>
      </c>
      <c r="D25" s="18" t="n">
        <v>220.82</v>
      </c>
      <c r="E25" s="18" t="n">
        <v>217.86</v>
      </c>
      <c r="F25" s="18" t="n">
        <v>162.8</v>
      </c>
      <c r="G25" s="19">
        <f>HYPERLINK("https://www.tradingview.com/chart/?symbol=NSE:HFCL","Chart 📈")</f>
        <v/>
      </c>
    </row>
    <row r="26" ht="16" customHeight="1">
      <c r="A26" s="12" t="inlineStr">
        <is>
          <t>NIFTY FINANCIAL SERVICES</t>
        </is>
      </c>
      <c r="B26" s="13" t="inlineStr">
        <is>
          <t>KOTAKBANK</t>
        </is>
      </c>
      <c r="C26" s="14" t="n">
        <v>417</v>
      </c>
      <c r="D26" s="14" t="n">
        <v>411.07</v>
      </c>
      <c r="E26" s="14" t="n">
        <v>406.19</v>
      </c>
      <c r="F26" s="14" t="n">
        <v>399.61</v>
      </c>
      <c r="G26" s="15">
        <f>HYPERLINK("https://www.tradingview.com/chart/?symbol=NSE:KOTAKBANK","Chart 📈")</f>
        <v/>
      </c>
    </row>
    <row r="27" ht="16" customHeight="1">
      <c r="A27" s="16" t="inlineStr">
        <is>
          <t>NIFTY FINANCIAL SERVICES</t>
        </is>
      </c>
      <c r="B27" s="13" t="inlineStr">
        <is>
          <t>MCX</t>
        </is>
      </c>
      <c r="C27" s="14" t="n">
        <v>3300.4</v>
      </c>
      <c r="D27" s="14" t="n">
        <v>3263.95</v>
      </c>
      <c r="E27" s="14" t="n">
        <v>3143.17</v>
      </c>
      <c r="F27" s="14" t="n">
        <v>2745.49</v>
      </c>
      <c r="G27" s="15">
        <f>HYPERLINK("https://www.tradingview.com/chart/?symbol=NSE:MCX","Chart 📈")</f>
        <v/>
      </c>
    </row>
    <row r="28" ht="16" customHeight="1">
      <c r="A28" s="8" t="inlineStr">
        <is>
          <t>NIFTY ENERGY</t>
        </is>
      </c>
      <c r="B28" s="17" t="inlineStr">
        <is>
          <t>COALINDIA</t>
        </is>
      </c>
      <c r="C28" s="18" t="n">
        <v>425</v>
      </c>
      <c r="D28" s="18" t="n">
        <v>419.99</v>
      </c>
      <c r="E28" s="18" t="n">
        <v>417.46</v>
      </c>
      <c r="F28" s="18" t="n">
        <v>415.04</v>
      </c>
      <c r="G28" s="19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2026-09-30T16:50:25Z</dcterms:created>
  <dcterms:modified xmlns:dcterms="http://purl.org/dc/terms/" xmlns:xsi="http://www.w3.org/2001/XMLSchema-instance" xsi:type="dcterms:W3CDTF">2026-09-30T16:50:25Z</dcterms:modified>
</cp:coreProperties>
</file>