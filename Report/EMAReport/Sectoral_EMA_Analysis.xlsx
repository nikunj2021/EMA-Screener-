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01-May-2026  14:53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10</v>
      </c>
      <c r="D4" s="5" t="n">
        <v>13</v>
      </c>
      <c r="E4" s="5" t="n">
        <v>14</v>
      </c>
      <c r="F4" s="6" t="n">
        <v>0.667</v>
      </c>
      <c r="G4" s="6" t="n">
        <v>0.867</v>
      </c>
      <c r="H4" s="6" t="n">
        <v>0.9329999999999999</v>
      </c>
      <c r="I4" s="7" t="n">
        <v>0.8223</v>
      </c>
    </row>
    <row r="5" ht="17" customHeight="1">
      <c r="A5" s="8" t="inlineStr">
        <is>
          <t>NIFTY PHARMA</t>
        </is>
      </c>
      <c r="B5" s="9" t="n">
        <v>20</v>
      </c>
      <c r="C5" s="9" t="n">
        <v>16</v>
      </c>
      <c r="D5" s="9" t="n">
        <v>15</v>
      </c>
      <c r="E5" s="9" t="n">
        <v>15</v>
      </c>
      <c r="F5" s="10" t="n">
        <v>0.8</v>
      </c>
      <c r="G5" s="10" t="n">
        <v>0.75</v>
      </c>
      <c r="H5" s="10" t="n">
        <v>0.75</v>
      </c>
      <c r="I5" s="11" t="n">
        <v>0.7667</v>
      </c>
    </row>
    <row r="6" ht="17" customHeight="1">
      <c r="A6" s="4" t="inlineStr">
        <is>
          <t>NIFTY REALTY</t>
        </is>
      </c>
      <c r="B6" s="5" t="n">
        <v>10</v>
      </c>
      <c r="C6" s="5" t="n">
        <v>10</v>
      </c>
      <c r="D6" s="5" t="n">
        <v>8</v>
      </c>
      <c r="E6" s="5" t="n">
        <v>3</v>
      </c>
      <c r="F6" s="6" t="n">
        <v>1</v>
      </c>
      <c r="G6" s="6" t="n">
        <v>0.8</v>
      </c>
      <c r="H6" s="6" t="n">
        <v>0.3</v>
      </c>
      <c r="I6" s="7" t="n">
        <v>0.7</v>
      </c>
    </row>
    <row r="7" ht="17" customHeight="1">
      <c r="A7" s="8" t="inlineStr">
        <is>
          <t>NIFTY MEDIA</t>
        </is>
      </c>
      <c r="B7" s="9" t="n">
        <v>10</v>
      </c>
      <c r="C7" s="9" t="n">
        <v>8</v>
      </c>
      <c r="D7" s="9" t="n">
        <v>9</v>
      </c>
      <c r="E7" s="9" t="n">
        <v>3</v>
      </c>
      <c r="F7" s="10" t="n">
        <v>0.8</v>
      </c>
      <c r="G7" s="10" t="n">
        <v>0.9</v>
      </c>
      <c r="H7" s="10" t="n">
        <v>0.3</v>
      </c>
      <c r="I7" s="11" t="n">
        <v>0.6667000000000001</v>
      </c>
    </row>
    <row r="8" ht="17" customHeight="1">
      <c r="A8" s="4" t="inlineStr">
        <is>
          <t>NIFTY OIL &amp; GAS</t>
        </is>
      </c>
      <c r="B8" s="5" t="n">
        <v>15</v>
      </c>
      <c r="C8" s="5" t="n">
        <v>13</v>
      </c>
      <c r="D8" s="5" t="n">
        <v>12</v>
      </c>
      <c r="E8" s="5" t="n">
        <v>4</v>
      </c>
      <c r="F8" s="6" t="n">
        <v>0.867</v>
      </c>
      <c r="G8" s="6" t="n">
        <v>0.8</v>
      </c>
      <c r="H8" s="6" t="n">
        <v>0.267</v>
      </c>
      <c r="I8" s="7" t="n">
        <v>0.6446999999999999</v>
      </c>
    </row>
    <row r="9" ht="17" customHeight="1">
      <c r="A9" s="8" t="inlineStr">
        <is>
          <t>NIFTY ENERGY</t>
        </is>
      </c>
      <c r="B9" s="9" t="n">
        <v>40</v>
      </c>
      <c r="C9" s="9" t="n">
        <v>25</v>
      </c>
      <c r="D9" s="9" t="n">
        <v>25</v>
      </c>
      <c r="E9" s="9" t="n">
        <v>23</v>
      </c>
      <c r="F9" s="10" t="n">
        <v>0.625</v>
      </c>
      <c r="G9" s="10" t="n">
        <v>0.625</v>
      </c>
      <c r="H9" s="10" t="n">
        <v>0.575</v>
      </c>
      <c r="I9" s="11" t="n">
        <v>0.6083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11</v>
      </c>
      <c r="D10" s="5" t="n">
        <v>10</v>
      </c>
      <c r="E10" s="5" t="n">
        <v>6</v>
      </c>
      <c r="F10" s="6" t="n">
        <v>0.733</v>
      </c>
      <c r="G10" s="6" t="n">
        <v>0.667</v>
      </c>
      <c r="H10" s="6" t="n">
        <v>0.4</v>
      </c>
      <c r="I10" s="7" t="n">
        <v>0.6</v>
      </c>
    </row>
    <row r="11" ht="17" customHeight="1">
      <c r="A11" s="8" t="inlineStr">
        <is>
          <t>NIFTY FMCG</t>
        </is>
      </c>
      <c r="B11" s="9" t="n">
        <v>15</v>
      </c>
      <c r="C11" s="9" t="n">
        <v>11</v>
      </c>
      <c r="D11" s="9" t="n">
        <v>9</v>
      </c>
      <c r="E11" s="9" t="n">
        <v>6</v>
      </c>
      <c r="F11" s="10" t="n">
        <v>0.733</v>
      </c>
      <c r="G11" s="10" t="n">
        <v>0.6</v>
      </c>
      <c r="H11" s="10" t="n">
        <v>0.4</v>
      </c>
      <c r="I11" s="11" t="n">
        <v>0.5777</v>
      </c>
    </row>
    <row r="12" ht="17" customHeight="1">
      <c r="A12" s="4" t="inlineStr">
        <is>
          <t>NIFTY PSU BANK</t>
        </is>
      </c>
      <c r="B12" s="5" t="n">
        <v>12</v>
      </c>
      <c r="C12" s="5" t="n">
        <v>5</v>
      </c>
      <c r="D12" s="5" t="n">
        <v>5</v>
      </c>
      <c r="E12" s="5" t="n">
        <v>5</v>
      </c>
      <c r="F12" s="6" t="n">
        <v>0.417</v>
      </c>
      <c r="G12" s="6" t="n">
        <v>0.417</v>
      </c>
      <c r="H12" s="6" t="n">
        <v>0.417</v>
      </c>
      <c r="I12" s="7" t="n">
        <v>0.417</v>
      </c>
    </row>
    <row r="13" ht="17" customHeight="1">
      <c r="A13" s="8" t="inlineStr">
        <is>
          <t>NIFTY AUTO</t>
        </is>
      </c>
      <c r="B13" s="9" t="n">
        <v>15</v>
      </c>
      <c r="C13" s="9" t="n">
        <v>5</v>
      </c>
      <c r="D13" s="9" t="n">
        <v>5</v>
      </c>
      <c r="E13" s="9" t="n">
        <v>8</v>
      </c>
      <c r="F13" s="10" t="n">
        <v>0.333</v>
      </c>
      <c r="G13" s="10" t="n">
        <v>0.333</v>
      </c>
      <c r="H13" s="10" t="n">
        <v>0.5329999999999999</v>
      </c>
      <c r="I13" s="11" t="n">
        <v>0.3997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6</v>
      </c>
      <c r="D14" s="5" t="n">
        <v>7</v>
      </c>
      <c r="E14" s="5" t="n">
        <v>7</v>
      </c>
      <c r="F14" s="6" t="n">
        <v>0.3</v>
      </c>
      <c r="G14" s="6" t="n">
        <v>0.35</v>
      </c>
      <c r="H14" s="6" t="n">
        <v>0.35</v>
      </c>
      <c r="I14" s="7" t="n">
        <v>0.3333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9</v>
      </c>
      <c r="D15" s="9" t="n">
        <v>8</v>
      </c>
      <c r="E15" s="9" t="n">
        <v>3</v>
      </c>
      <c r="F15" s="10" t="n">
        <v>0.45</v>
      </c>
      <c r="G15" s="10" t="n">
        <v>0.4</v>
      </c>
      <c r="H15" s="10" t="n">
        <v>0.15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2408.4</v>
      </c>
      <c r="D3" s="14" t="n">
        <v>2212.81</v>
      </c>
      <c r="E3" s="14" t="n">
        <v>2136.63</v>
      </c>
      <c r="F3" s="14" t="n">
        <v>2232.62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1038</v>
      </c>
      <c r="D4" s="14" t="n">
        <v>1011.99</v>
      </c>
      <c r="E4" s="14" t="n">
        <v>968.85</v>
      </c>
      <c r="F4" s="14" t="n">
        <v>857.61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595.95</v>
      </c>
      <c r="D5" s="14" t="n">
        <v>574.95</v>
      </c>
      <c r="E5" s="14" t="n">
        <v>567.61</v>
      </c>
      <c r="F5" s="14" t="n">
        <v>528.6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767.4</v>
      </c>
      <c r="D6" s="14" t="n">
        <v>766.21</v>
      </c>
      <c r="E6" s="14" t="n">
        <v>761.36</v>
      </c>
      <c r="F6" s="14" t="n">
        <v>743.99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JSWSTEEL</t>
        </is>
      </c>
      <c r="C7" s="14" t="n">
        <v>1264.5</v>
      </c>
      <c r="D7" s="14" t="n">
        <v>1237.42</v>
      </c>
      <c r="E7" s="14" t="n">
        <v>1212.89</v>
      </c>
      <c r="F7" s="14" t="n">
        <v>1149.77</v>
      </c>
      <c r="G7" s="15">
        <f>HYPERLINK("https://www.tradingview.com/chart/?symbol=NSE:JSWSTEEL","Chart 📈")</f>
        <v/>
      </c>
    </row>
    <row r="8" ht="16" customHeight="1">
      <c r="A8" s="16" t="inlineStr">
        <is>
          <t>NIFTY METAL</t>
        </is>
      </c>
      <c r="B8" s="13" t="inlineStr">
        <is>
          <t>NMDC</t>
        </is>
      </c>
      <c r="C8" s="14" t="n">
        <v>90.37</v>
      </c>
      <c r="D8" s="14" t="n">
        <v>86.93000000000001</v>
      </c>
      <c r="E8" s="14" t="n">
        <v>83.41</v>
      </c>
      <c r="F8" s="14" t="n">
        <v>76.63</v>
      </c>
      <c r="G8" s="15">
        <f>HYPERLINK("https://www.tradingview.com/chart/?symbol=NSE:NMDC","Chart 📈")</f>
        <v/>
      </c>
    </row>
    <row r="9" ht="16" customHeight="1">
      <c r="A9" s="16" t="inlineStr">
        <is>
          <t>NIFTY METAL</t>
        </is>
      </c>
      <c r="B9" s="13" t="inlineStr">
        <is>
          <t>RATNAMANI</t>
        </is>
      </c>
      <c r="C9" s="14" t="n">
        <v>2645</v>
      </c>
      <c r="D9" s="14" t="n">
        <v>2475.23</v>
      </c>
      <c r="E9" s="14" t="n">
        <v>2380.89</v>
      </c>
      <c r="F9" s="14" t="n">
        <v>2396.01</v>
      </c>
      <c r="G9" s="15">
        <f>HYPERLINK("https://www.tradingview.com/chart/?symbol=NSE:RATNAMANI","Chart 📈")</f>
        <v/>
      </c>
    </row>
    <row r="10" ht="16" customHeight="1">
      <c r="A10" s="16" t="inlineStr">
        <is>
          <t>NIFTY METAL</t>
        </is>
      </c>
      <c r="B10" s="13" t="inlineStr">
        <is>
          <t>SAIL</t>
        </is>
      </c>
      <c r="C10" s="14" t="n">
        <v>184.62</v>
      </c>
      <c r="D10" s="14" t="n">
        <v>173.02</v>
      </c>
      <c r="E10" s="14" t="n">
        <v>163.69</v>
      </c>
      <c r="F10" s="14" t="n">
        <v>145.3</v>
      </c>
      <c r="G10" s="15">
        <f>HYPERLINK("https://www.tradingview.com/chart/?symbol=NSE:SAIL","Chart 📈")</f>
        <v/>
      </c>
    </row>
    <row r="11" ht="16" customHeight="1">
      <c r="A11" s="16" t="inlineStr">
        <is>
          <t>NIFTY METAL</t>
        </is>
      </c>
      <c r="B11" s="13" t="inlineStr">
        <is>
          <t>TATASTEEL</t>
        </is>
      </c>
      <c r="C11" s="14" t="n">
        <v>211.36</v>
      </c>
      <c r="D11" s="14" t="n">
        <v>208.3</v>
      </c>
      <c r="E11" s="14" t="n">
        <v>202.18</v>
      </c>
      <c r="F11" s="14" t="n">
        <v>182.7</v>
      </c>
      <c r="G11" s="15">
        <f>HYPERLINK("https://www.tradingview.com/chart/?symbol=NSE:TATASTEEL","Chart 📈")</f>
        <v/>
      </c>
    </row>
    <row r="12" ht="16" customHeight="1">
      <c r="A12" s="16" t="inlineStr">
        <is>
          <t>NIFTY METAL</t>
        </is>
      </c>
      <c r="B12" s="13" t="inlineStr">
        <is>
          <t>WELCORP</t>
        </is>
      </c>
      <c r="C12" s="14" t="n">
        <v>1266.75</v>
      </c>
      <c r="D12" s="14" t="n">
        <v>1089.92</v>
      </c>
      <c r="E12" s="14" t="n">
        <v>962.4299999999999</v>
      </c>
      <c r="F12" s="14" t="n">
        <v>865.51</v>
      </c>
      <c r="G12" s="15">
        <f>HYPERLINK("https://www.tradingview.com/chart/?symbol=NSE:WELCORP","Chart 📈")</f>
        <v/>
      </c>
    </row>
    <row r="13" ht="16" customHeight="1">
      <c r="A13" s="8" t="inlineStr">
        <is>
          <t>NIFTY PHARMA</t>
        </is>
      </c>
      <c r="B13" s="17" t="inlineStr">
        <is>
          <t>AUROPHARMA</t>
        </is>
      </c>
      <c r="C13" s="18" t="n">
        <v>1389.5</v>
      </c>
      <c r="D13" s="18" t="n">
        <v>1374.26</v>
      </c>
      <c r="E13" s="18" t="n">
        <v>1314.21</v>
      </c>
      <c r="F13" s="18" t="n">
        <v>1217.48</v>
      </c>
      <c r="G13" s="19">
        <f>HYPERLINK("https://www.tradingview.com/chart/?symbol=NSE:AUROPHARMA","Chart 📈")</f>
        <v/>
      </c>
    </row>
    <row r="14" ht="16" customHeight="1">
      <c r="A14" s="20" t="inlineStr">
        <is>
          <t>NIFTY PHARMA</t>
        </is>
      </c>
      <c r="B14" s="17" t="inlineStr">
        <is>
          <t>DIVISLAB</t>
        </is>
      </c>
      <c r="C14" s="18" t="n">
        <v>6502.5</v>
      </c>
      <c r="D14" s="18" t="n">
        <v>6279.56</v>
      </c>
      <c r="E14" s="18" t="n">
        <v>6221.11</v>
      </c>
      <c r="F14" s="18" t="n">
        <v>6263.2</v>
      </c>
      <c r="G14" s="19">
        <f>HYPERLINK("https://www.tradingview.com/chart/?symbol=NSE:DIVISLAB","Chart 📈")</f>
        <v/>
      </c>
    </row>
    <row r="15" ht="16" customHeight="1">
      <c r="A15" s="20" t="inlineStr">
        <is>
          <t>NIFTY PHARMA</t>
        </is>
      </c>
      <c r="B15" s="17" t="inlineStr">
        <is>
          <t>DRREDDY</t>
        </is>
      </c>
      <c r="C15" s="18" t="n">
        <v>1322.9</v>
      </c>
      <c r="D15" s="18" t="n">
        <v>1279.18</v>
      </c>
      <c r="E15" s="18" t="n">
        <v>1267.54</v>
      </c>
      <c r="F15" s="18" t="n">
        <v>1252.08</v>
      </c>
      <c r="G15" s="19">
        <f>HYPERLINK("https://www.tradingview.com/chart/?symbol=NSE:DRREDDY","Chart 📈")</f>
        <v/>
      </c>
    </row>
    <row r="16" ht="16" customHeight="1">
      <c r="A16" s="20" t="inlineStr">
        <is>
          <t>NIFTY PHARMA</t>
        </is>
      </c>
      <c r="B16" s="17" t="inlineStr">
        <is>
          <t>GLAND</t>
        </is>
      </c>
      <c r="C16" s="18" t="n">
        <v>1750.8</v>
      </c>
      <c r="D16" s="18" t="n">
        <v>1746.95</v>
      </c>
      <c r="E16" s="18" t="n">
        <v>1740.75</v>
      </c>
      <c r="F16" s="18" t="n">
        <v>1742.02</v>
      </c>
      <c r="G16" s="19">
        <f>HYPERLINK("https://www.tradingview.com/chart/?symbol=NSE:GLAND","Chart 📈")</f>
        <v/>
      </c>
    </row>
    <row r="17" ht="16" customHeight="1">
      <c r="A17" s="20" t="inlineStr">
        <is>
          <t>NIFTY PHARMA</t>
        </is>
      </c>
      <c r="B17" s="17" t="inlineStr">
        <is>
          <t>GLENMARK</t>
        </is>
      </c>
      <c r="C17" s="18" t="n">
        <v>2406.3</v>
      </c>
      <c r="D17" s="18" t="n">
        <v>2269.62</v>
      </c>
      <c r="E17" s="18" t="n">
        <v>2181.04</v>
      </c>
      <c r="F17" s="18" t="n">
        <v>1983.08</v>
      </c>
      <c r="G17" s="19">
        <f>HYPERLINK("https://www.tradingview.com/chart/?symbol=NSE:GLENMARK","Chart 📈")</f>
        <v/>
      </c>
    </row>
    <row r="18" ht="16" customHeight="1">
      <c r="A18" s="20" t="inlineStr">
        <is>
          <t>NIFTY PHARMA</t>
        </is>
      </c>
      <c r="B18" s="17" t="inlineStr">
        <is>
          <t>GRANULES</t>
        </is>
      </c>
      <c r="C18" s="18" t="n">
        <v>699.7</v>
      </c>
      <c r="D18" s="18" t="n">
        <v>664.16</v>
      </c>
      <c r="E18" s="18" t="n">
        <v>629.5700000000001</v>
      </c>
      <c r="F18" s="18" t="n">
        <v>569.34</v>
      </c>
      <c r="G18" s="19">
        <f>HYPERLINK("https://www.tradingview.com/chart/?symbol=NSE:GRANULES","Chart 📈")</f>
        <v/>
      </c>
    </row>
    <row r="19" ht="16" customHeight="1">
      <c r="A19" s="20" t="inlineStr">
        <is>
          <t>NIFTY PHARMA</t>
        </is>
      </c>
      <c r="B19" s="17" t="inlineStr">
        <is>
          <t>IPCALAB</t>
        </is>
      </c>
      <c r="C19" s="18" t="n">
        <v>1530.9</v>
      </c>
      <c r="D19" s="18" t="n">
        <v>1509.89</v>
      </c>
      <c r="E19" s="18" t="n">
        <v>1499.65</v>
      </c>
      <c r="F19" s="18" t="n">
        <v>1446.33</v>
      </c>
      <c r="G19" s="19">
        <f>HYPERLINK("https://www.tradingview.com/chart/?symbol=NSE:IPCALAB","Chart 📈")</f>
        <v/>
      </c>
    </row>
    <row r="20" ht="16" customHeight="1">
      <c r="A20" s="20" t="inlineStr">
        <is>
          <t>NIFTY PHARMA</t>
        </is>
      </c>
      <c r="B20" s="17" t="inlineStr">
        <is>
          <t>JBCHEPHARM</t>
        </is>
      </c>
      <c r="C20" s="18" t="n">
        <v>2043.4</v>
      </c>
      <c r="D20" s="18" t="n">
        <v>2019.64</v>
      </c>
      <c r="E20" s="18" t="n">
        <v>2002.7</v>
      </c>
      <c r="F20" s="18" t="n">
        <v>1853.52</v>
      </c>
      <c r="G20" s="19">
        <f>HYPERLINK("https://www.tradingview.com/chart/?symbol=NSE:JBCHEPHARM","Chart 📈")</f>
        <v/>
      </c>
    </row>
    <row r="21" ht="16" customHeight="1">
      <c r="A21" s="20" t="inlineStr">
        <is>
          <t>NIFTY PHARMA</t>
        </is>
      </c>
      <c r="B21" s="17" t="inlineStr">
        <is>
          <t>LAURUSLABS</t>
        </is>
      </c>
      <c r="C21" s="18" t="n">
        <v>1100.95</v>
      </c>
      <c r="D21" s="18" t="n">
        <v>1091.23</v>
      </c>
      <c r="E21" s="18" t="n">
        <v>1060.94</v>
      </c>
      <c r="F21" s="18" t="n">
        <v>959.2</v>
      </c>
      <c r="G21" s="19">
        <f>HYPERLINK("https://www.tradingview.com/chart/?symbol=NSE:LAURUSLABS","Chart 📈")</f>
        <v/>
      </c>
    </row>
    <row r="22" ht="16" customHeight="1">
      <c r="A22" s="20" t="inlineStr">
        <is>
          <t>NIFTY PHARMA</t>
        </is>
      </c>
      <c r="B22" s="17" t="inlineStr">
        <is>
          <t>MANKIND</t>
        </is>
      </c>
      <c r="C22" s="18" t="n">
        <v>2246.7</v>
      </c>
      <c r="D22" s="18" t="n">
        <v>2176.89</v>
      </c>
      <c r="E22" s="18" t="n">
        <v>2143.06</v>
      </c>
      <c r="F22" s="18" t="n">
        <v>2240.73</v>
      </c>
      <c r="G22" s="19">
        <f>HYPERLINK("https://www.tradingview.com/chart/?symbol=NSE:MANKIND","Chart 📈")</f>
        <v/>
      </c>
    </row>
    <row r="23" ht="16" customHeight="1">
      <c r="A23" s="20" t="inlineStr">
        <is>
          <t>NIFTY PHARMA</t>
        </is>
      </c>
      <c r="B23" s="17" t="inlineStr">
        <is>
          <t>NATCOPHARM</t>
        </is>
      </c>
      <c r="C23" s="18" t="n">
        <v>1095.75</v>
      </c>
      <c r="D23" s="18" t="n">
        <v>1069.16</v>
      </c>
      <c r="E23" s="18" t="n">
        <v>1014.01</v>
      </c>
      <c r="F23" s="18" t="n">
        <v>922.71</v>
      </c>
      <c r="G23" s="19">
        <f>HYPERLINK("https://www.tradingview.com/chart/?symbol=NSE:NATCOPHARM","Chart 📈")</f>
        <v/>
      </c>
    </row>
    <row r="24" ht="16" customHeight="1">
      <c r="A24" s="20" t="inlineStr">
        <is>
          <t>NIFTY PHARMA</t>
        </is>
      </c>
      <c r="B24" s="17" t="inlineStr">
        <is>
          <t>SUNPHARMA</t>
        </is>
      </c>
      <c r="C24" s="18" t="n">
        <v>1808.3</v>
      </c>
      <c r="D24" s="18" t="n">
        <v>1719.35</v>
      </c>
      <c r="E24" s="18" t="n">
        <v>1723.25</v>
      </c>
      <c r="F24" s="18" t="n">
        <v>1715.89</v>
      </c>
      <c r="G24" s="19">
        <f>HYPERLINK("https://www.tradingview.com/chart/?symbol=NSE:SUNPHARMA","Chart 📈")</f>
        <v/>
      </c>
    </row>
    <row r="25" ht="16" customHeight="1">
      <c r="A25" s="20" t="inlineStr">
        <is>
          <t>NIFTY PHARMA</t>
        </is>
      </c>
      <c r="B25" s="17" t="inlineStr">
        <is>
          <t>TORNTPHARM</t>
        </is>
      </c>
      <c r="C25" s="18" t="n">
        <v>4185.1</v>
      </c>
      <c r="D25" s="18" t="n">
        <v>4171.75</v>
      </c>
      <c r="E25" s="18" t="n">
        <v>4158.01</v>
      </c>
      <c r="F25" s="18" t="n">
        <v>3863.05</v>
      </c>
      <c r="G25" s="19">
        <f>HYPERLINK("https://www.tradingview.com/chart/?symbol=NSE:TORNTPHARM","Chart 📈")</f>
        <v/>
      </c>
    </row>
    <row r="26" ht="16" customHeight="1">
      <c r="A26" s="12" t="inlineStr">
        <is>
          <t>NIFTY REALTY</t>
        </is>
      </c>
      <c r="B26" s="13" t="inlineStr">
        <is>
          <t>OBEROIRLTY</t>
        </is>
      </c>
      <c r="C26" s="14" t="n">
        <v>1669.6</v>
      </c>
      <c r="D26" s="14" t="n">
        <v>1655.66</v>
      </c>
      <c r="E26" s="14" t="n">
        <v>1600.07</v>
      </c>
      <c r="F26" s="14" t="n">
        <v>1614.9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PHOENIXLTD</t>
        </is>
      </c>
      <c r="C27" s="14" t="n">
        <v>1765</v>
      </c>
      <c r="D27" s="14" t="n">
        <v>1735.61</v>
      </c>
      <c r="E27" s="14" t="n">
        <v>1701.56</v>
      </c>
      <c r="F27" s="14" t="n">
        <v>1670.92</v>
      </c>
      <c r="G27" s="15">
        <f>HYPERLINK("https://www.tradingview.com/chart/?symbol=NSE:PHOENIXLTD","Chart 📈")</f>
        <v/>
      </c>
    </row>
    <row r="28" ht="16" customHeight="1">
      <c r="A28" s="16" t="inlineStr">
        <is>
          <t>NIFTY REALTY</t>
        </is>
      </c>
      <c r="B28" s="13" t="inlineStr">
        <is>
          <t>SOBHA</t>
        </is>
      </c>
      <c r="C28" s="14" t="n">
        <v>1433.4</v>
      </c>
      <c r="D28" s="14" t="n">
        <v>1362.96</v>
      </c>
      <c r="E28" s="14" t="n">
        <v>1359.91</v>
      </c>
      <c r="F28" s="14" t="n">
        <v>1426.47</v>
      </c>
      <c r="G28" s="15">
        <f>HYPERLINK("https://www.tradingview.com/chart/?symbol=NSE:SOBHA","Chart 📈")</f>
        <v/>
      </c>
    </row>
    <row r="29" ht="16" customHeight="1">
      <c r="A29" s="8" t="inlineStr">
        <is>
          <t>NIFTY MEDIA</t>
        </is>
      </c>
      <c r="B29" s="17" t="inlineStr">
        <is>
          <t>PVRINOX</t>
        </is>
      </c>
      <c r="C29" s="18" t="n">
        <v>1068.9</v>
      </c>
      <c r="D29" s="18" t="n">
        <v>998.45</v>
      </c>
      <c r="E29" s="18" t="n">
        <v>994.97</v>
      </c>
      <c r="F29" s="18" t="n">
        <v>1021.25</v>
      </c>
      <c r="G29" s="19">
        <f>HYPERLINK("https://www.tradingview.com/chart/?symbol=NSE:PVRINOX","Chart 📈")</f>
        <v/>
      </c>
    </row>
    <row r="30" ht="16" customHeight="1">
      <c r="A30" s="20" t="inlineStr">
        <is>
          <t>NIFTY MEDIA</t>
        </is>
      </c>
      <c r="B30" s="17" t="inlineStr">
        <is>
          <t>TIPSMUSIC</t>
        </is>
      </c>
      <c r="C30" s="18" t="n">
        <v>649.7</v>
      </c>
      <c r="D30" s="18" t="n">
        <v>600.23</v>
      </c>
      <c r="E30" s="18" t="n">
        <v>565.1900000000001</v>
      </c>
      <c r="F30" s="18" t="n">
        <v>558.96</v>
      </c>
      <c r="G30" s="19">
        <f>HYPERLINK("https://www.tradingview.com/chart/?symbol=NSE:TIPSMUSIC","Chart 📈")</f>
        <v/>
      </c>
    </row>
    <row r="31" ht="16" customHeight="1">
      <c r="A31" s="12" t="inlineStr">
        <is>
          <t>NIFTY OIL &amp; GAS</t>
        </is>
      </c>
      <c r="B31" s="13" t="inlineStr">
        <is>
          <t>ATGL</t>
        </is>
      </c>
      <c r="C31" s="14" t="n">
        <v>634.7</v>
      </c>
      <c r="D31" s="14" t="n">
        <v>602.99</v>
      </c>
      <c r="E31" s="14" t="n">
        <v>571.48</v>
      </c>
      <c r="F31" s="14" t="n">
        <v>580.4299999999999</v>
      </c>
      <c r="G31" s="15">
        <f>HYPERLINK("https://www.tradingview.com/chart/?symbol=NSE:ATGL","Chart 📈")</f>
        <v/>
      </c>
    </row>
    <row r="32" ht="16" customHeight="1">
      <c r="A32" s="16" t="inlineStr">
        <is>
          <t>NIFTY OIL &amp; GAS</t>
        </is>
      </c>
      <c r="B32" s="13" t="inlineStr">
        <is>
          <t>OIL</t>
        </is>
      </c>
      <c r="C32" s="14" t="n">
        <v>490.8</v>
      </c>
      <c r="D32" s="14" t="n">
        <v>477.33</v>
      </c>
      <c r="E32" s="14" t="n">
        <v>470.77</v>
      </c>
      <c r="F32" s="14" t="n">
        <v>440.76</v>
      </c>
      <c r="G32" s="15">
        <f>HYPERLINK("https://www.tradingview.com/chart/?symbol=NSE:OIL","Chart 📈")</f>
        <v/>
      </c>
    </row>
    <row r="33" ht="16" customHeight="1">
      <c r="A33" s="16" t="inlineStr">
        <is>
          <t>NIFTY OIL &amp; GAS</t>
        </is>
      </c>
      <c r="B33" s="13" t="inlineStr">
        <is>
          <t>ONGC</t>
        </is>
      </c>
      <c r="C33" s="14" t="n">
        <v>299.55</v>
      </c>
      <c r="D33" s="14" t="n">
        <v>287.3</v>
      </c>
      <c r="E33" s="14" t="n">
        <v>277.44</v>
      </c>
      <c r="F33" s="14" t="n">
        <v>253.04</v>
      </c>
      <c r="G33" s="15">
        <f>HYPERLINK("https://www.tradingview.com/chart/?symbol=NSE:ONGC","Chart 📈")</f>
        <v/>
      </c>
    </row>
    <row r="34" ht="16" customHeight="1">
      <c r="A34" s="16" t="inlineStr">
        <is>
          <t>NIFTY OIL &amp; GAS</t>
        </is>
      </c>
      <c r="B34" s="13" t="inlineStr">
        <is>
          <t>RELIANCE</t>
        </is>
      </c>
      <c r="C34" s="14" t="n">
        <v>1430.8</v>
      </c>
      <c r="D34" s="14" t="n">
        <v>1371.16</v>
      </c>
      <c r="E34" s="14" t="n">
        <v>1385.69</v>
      </c>
      <c r="F34" s="14" t="n">
        <v>1425.58</v>
      </c>
      <c r="G34" s="15">
        <f>HYPERLINK("https://www.tradingview.com/chart/?symbol=NSE:RELIANCE","Chart 📈")</f>
        <v/>
      </c>
    </row>
    <row r="35" ht="16" customHeight="1">
      <c r="A35" s="8" t="inlineStr">
        <is>
          <t>NIFTY ENERGY</t>
        </is>
      </c>
      <c r="B35" s="17" t="inlineStr">
        <is>
          <t>ABB</t>
        </is>
      </c>
      <c r="C35" s="18" t="n">
        <v>7230</v>
      </c>
      <c r="D35" s="18" t="n">
        <v>6966.53</v>
      </c>
      <c r="E35" s="18" t="n">
        <v>6473.35</v>
      </c>
      <c r="F35" s="18" t="n">
        <v>5747</v>
      </c>
      <c r="G35" s="19">
        <f>HYPERLINK("https://www.tradingview.com/chart/?symbol=NSE:ABB","Chart 📈")</f>
        <v/>
      </c>
    </row>
    <row r="36" ht="16" customHeight="1">
      <c r="A36" s="20" t="inlineStr">
        <is>
          <t>NIFTY ENERGY</t>
        </is>
      </c>
      <c r="B36" s="17" t="inlineStr">
        <is>
          <t>ADANIENSOL</t>
        </is>
      </c>
      <c r="C36" s="18" t="n">
        <v>1342.25</v>
      </c>
      <c r="D36" s="18" t="n">
        <v>1255.03</v>
      </c>
      <c r="E36" s="18" t="n">
        <v>1131.08</v>
      </c>
      <c r="F36" s="18" t="n">
        <v>996.14</v>
      </c>
      <c r="G36" s="19">
        <f>HYPERLINK("https://www.tradingview.com/chart/?symbol=NSE:ADANIENSOL","Chart 📈")</f>
        <v/>
      </c>
    </row>
    <row r="37" ht="16" customHeight="1">
      <c r="A37" s="20" t="inlineStr">
        <is>
          <t>NIFTY ENERGY</t>
        </is>
      </c>
      <c r="B37" s="17" t="inlineStr">
        <is>
          <t>ADANIGREEN</t>
        </is>
      </c>
      <c r="C37" s="18" t="n">
        <v>1227.15</v>
      </c>
      <c r="D37" s="18" t="n">
        <v>1123.06</v>
      </c>
      <c r="E37" s="18" t="n">
        <v>1028.97</v>
      </c>
      <c r="F37" s="18" t="n">
        <v>985.86</v>
      </c>
      <c r="G37" s="19">
        <f>HYPERLINK("https://www.tradingview.com/chart/?symbol=NSE:ADANIGREEN","Chart 📈")</f>
        <v/>
      </c>
    </row>
    <row r="38" ht="16" customHeight="1">
      <c r="A38" s="20" t="inlineStr">
        <is>
          <t>NIFTY ENERGY</t>
        </is>
      </c>
      <c r="B38" s="17" t="inlineStr">
        <is>
          <t>ADANIPOWER</t>
        </is>
      </c>
      <c r="C38" s="18" t="n">
        <v>221.85</v>
      </c>
      <c r="D38" s="18" t="n">
        <v>196.64</v>
      </c>
      <c r="E38" s="18" t="n">
        <v>174.27</v>
      </c>
      <c r="F38" s="18" t="n">
        <v>147.6</v>
      </c>
      <c r="G38" s="19">
        <f>HYPERLINK("https://www.tradingview.com/chart/?symbol=NSE:ADANIPOWER","Chart 📈")</f>
        <v/>
      </c>
    </row>
    <row r="39" ht="16" customHeight="1">
      <c r="A39" s="20" t="inlineStr">
        <is>
          <t>NIFTY ENERGY</t>
        </is>
      </c>
      <c r="B39" s="17" t="inlineStr">
        <is>
          <t>BHEL</t>
        </is>
      </c>
      <c r="C39" s="18" t="n">
        <v>352.41</v>
      </c>
      <c r="D39" s="18" t="n">
        <v>315.07</v>
      </c>
      <c r="E39" s="18" t="n">
        <v>289.68</v>
      </c>
      <c r="F39" s="18" t="n">
        <v>264.89</v>
      </c>
      <c r="G39" s="19">
        <f>HYPERLINK("https://www.tradingview.com/chart/?symbol=NSE:BHEL","Chart 📈")</f>
        <v/>
      </c>
    </row>
    <row r="40" ht="16" customHeight="1">
      <c r="A40" s="20" t="inlineStr">
        <is>
          <t>NIFTY ENERGY</t>
        </is>
      </c>
      <c r="B40" s="17" t="inlineStr">
        <is>
          <t>CESC</t>
        </is>
      </c>
      <c r="C40" s="18" t="n">
        <v>187.53</v>
      </c>
      <c r="D40" s="18" t="n">
        <v>173.98</v>
      </c>
      <c r="E40" s="18" t="n">
        <v>165.12</v>
      </c>
      <c r="F40" s="18" t="n">
        <v>161.82</v>
      </c>
      <c r="G40" s="19">
        <f>HYPERLINK("https://www.tradingview.com/chart/?symbol=NSE:CESC","Chart 📈")</f>
        <v/>
      </c>
    </row>
    <row r="41" ht="16" customHeight="1">
      <c r="A41" s="20" t="inlineStr">
        <is>
          <t>NIFTY ENERGY</t>
        </is>
      </c>
      <c r="B41" s="17" t="inlineStr">
        <is>
          <t>CGPOWER</t>
        </is>
      </c>
      <c r="C41" s="18" t="n">
        <v>813.35</v>
      </c>
      <c r="D41" s="18" t="n">
        <v>777.85</v>
      </c>
      <c r="E41" s="18" t="n">
        <v>733.41</v>
      </c>
      <c r="F41" s="18" t="n">
        <v>692.1900000000001</v>
      </c>
      <c r="G41" s="19">
        <f>HYPERLINK("https://www.tradingview.com/chart/?symbol=NSE:CGPOWER","Chart 📈")</f>
        <v/>
      </c>
    </row>
    <row r="42" ht="16" customHeight="1">
      <c r="A42" s="20" t="inlineStr">
        <is>
          <t>NIFTY ENERGY</t>
        </is>
      </c>
      <c r="B42" s="17" t="inlineStr">
        <is>
          <t>COALINDIA</t>
        </is>
      </c>
      <c r="C42" s="18" t="n">
        <v>481.45</v>
      </c>
      <c r="D42" s="18" t="n">
        <v>454.3</v>
      </c>
      <c r="E42" s="18" t="n">
        <v>444.18</v>
      </c>
      <c r="F42" s="18" t="n">
        <v>408.21</v>
      </c>
      <c r="G42" s="19">
        <f>HYPERLINK("https://www.tradingview.com/chart/?symbol=NSE:COALINDIA","Chart 📈")</f>
        <v/>
      </c>
    </row>
    <row r="43" ht="16" customHeight="1">
      <c r="A43" s="20" t="inlineStr">
        <is>
          <t>NIFTY ENERGY</t>
        </is>
      </c>
      <c r="B43" s="17" t="inlineStr">
        <is>
          <t>GVT&amp;D</t>
        </is>
      </c>
      <c r="C43" s="18" t="n">
        <v>4466.2</v>
      </c>
      <c r="D43" s="18" t="n">
        <v>4214.23</v>
      </c>
      <c r="E43" s="18" t="n">
        <v>3903.62</v>
      </c>
      <c r="F43" s="18" t="n">
        <v>3183.41</v>
      </c>
      <c r="G43" s="19">
        <f>HYPERLINK("https://www.tradingview.com/chart/?symbol=NSE:GVT&amp;D","Chart 📈")</f>
        <v/>
      </c>
    </row>
    <row r="44" ht="16" customHeight="1">
      <c r="A44" s="20" t="inlineStr">
        <is>
          <t>NIFTY ENERGY</t>
        </is>
      </c>
      <c r="B44" s="17" t="inlineStr">
        <is>
          <t>JPPOWER</t>
        </is>
      </c>
      <c r="C44" s="18" t="n">
        <v>19.72</v>
      </c>
      <c r="D44" s="18" t="n">
        <v>18.4</v>
      </c>
      <c r="E44" s="18" t="n">
        <v>16.99</v>
      </c>
      <c r="F44" s="18" t="n">
        <v>16.81</v>
      </c>
      <c r="G44" s="19">
        <f>HYPERLINK("https://www.tradingview.com/chart/?symbol=NSE:JPPOWER","Chart 📈")</f>
        <v/>
      </c>
    </row>
    <row r="45" ht="16" customHeight="1">
      <c r="A45" s="20" t="inlineStr">
        <is>
          <t>NIFTY ENERGY</t>
        </is>
      </c>
      <c r="B45" s="17" t="inlineStr">
        <is>
          <t>JSWENERGY</t>
        </is>
      </c>
      <c r="C45" s="18" t="n">
        <v>561.15</v>
      </c>
      <c r="D45" s="18" t="n">
        <v>537.6900000000001</v>
      </c>
      <c r="E45" s="18" t="n">
        <v>514.86</v>
      </c>
      <c r="F45" s="18" t="n">
        <v>501.27</v>
      </c>
      <c r="G45" s="19">
        <f>HYPERLINK("https://www.tradingview.com/chart/?symbol=NSE:JSWENERGY","Chart 📈")</f>
        <v/>
      </c>
    </row>
    <row r="46" ht="16" customHeight="1">
      <c r="A46" s="20" t="inlineStr">
        <is>
          <t>NIFTY ENERGY</t>
        </is>
      </c>
      <c r="B46" s="17" t="inlineStr">
        <is>
          <t>NHPC</t>
        </is>
      </c>
      <c r="C46" s="18" t="n">
        <v>83.2</v>
      </c>
      <c r="D46" s="18" t="n">
        <v>80.86</v>
      </c>
      <c r="E46" s="18" t="n">
        <v>78.68000000000001</v>
      </c>
      <c r="F46" s="18" t="n">
        <v>79.23</v>
      </c>
      <c r="G46" s="19">
        <f>HYPERLINK("https://www.tradingview.com/chart/?symbol=NSE:NHPC","Chart 📈")</f>
        <v/>
      </c>
    </row>
    <row r="47" ht="16" customHeight="1">
      <c r="A47" s="20" t="inlineStr">
        <is>
          <t>NIFTY ENERGY</t>
        </is>
      </c>
      <c r="B47" s="17" t="inlineStr">
        <is>
          <t>NLCINDIA</t>
        </is>
      </c>
      <c r="C47" s="18" t="n">
        <v>316.6</v>
      </c>
      <c r="D47" s="18" t="n">
        <v>294.81</v>
      </c>
      <c r="E47" s="18" t="n">
        <v>278.19</v>
      </c>
      <c r="F47" s="18" t="n">
        <v>255.87</v>
      </c>
      <c r="G47" s="19">
        <f>HYPERLINK("https://www.tradingview.com/chart/?symbol=NSE:NLCINDIA","Chart 📈")</f>
        <v/>
      </c>
    </row>
    <row r="48" ht="16" customHeight="1">
      <c r="A48" s="20" t="inlineStr">
        <is>
          <t>NIFTY ENERGY</t>
        </is>
      </c>
      <c r="B48" s="17" t="inlineStr">
        <is>
          <t>NTPC</t>
        </is>
      </c>
      <c r="C48" s="18" t="n">
        <v>399.15</v>
      </c>
      <c r="D48" s="18" t="n">
        <v>393.23</v>
      </c>
      <c r="E48" s="18" t="n">
        <v>380.7</v>
      </c>
      <c r="F48" s="18" t="n">
        <v>353.46</v>
      </c>
      <c r="G48" s="19">
        <f>HYPERLINK("https://www.tradingview.com/chart/?symbol=NSE:NTPC","Chart 📈")</f>
        <v/>
      </c>
    </row>
    <row r="49" ht="16" customHeight="1">
      <c r="A49" s="20" t="inlineStr">
        <is>
          <t>NIFTY ENERGY</t>
        </is>
      </c>
      <c r="B49" s="17" t="inlineStr">
        <is>
          <t>POWERGRID</t>
        </is>
      </c>
      <c r="C49" s="18" t="n">
        <v>318.35</v>
      </c>
      <c r="D49" s="18" t="n">
        <v>312.02</v>
      </c>
      <c r="E49" s="18" t="n">
        <v>301.69</v>
      </c>
      <c r="F49" s="18" t="n">
        <v>286.47</v>
      </c>
      <c r="G49" s="19">
        <f>HYPERLINK("https://www.tradingview.com/chart/?symbol=NSE:POWERGRID","Chart 📈")</f>
        <v/>
      </c>
    </row>
    <row r="50" ht="16" customHeight="1">
      <c r="A50" s="20" t="inlineStr">
        <is>
          <t>NIFTY ENERGY</t>
        </is>
      </c>
      <c r="B50" s="17" t="inlineStr">
        <is>
          <t>POWERINDIA</t>
        </is>
      </c>
      <c r="C50" s="18" t="n">
        <v>33550</v>
      </c>
      <c r="D50" s="18" t="n">
        <v>29730.86</v>
      </c>
      <c r="E50" s="18" t="n">
        <v>26696.69</v>
      </c>
      <c r="F50" s="18" t="n">
        <v>21742.83</v>
      </c>
      <c r="G50" s="19">
        <f>HYPERLINK("https://www.tradingview.com/chart/?symbol=NSE:POWERINDIA","Chart 📈")</f>
        <v/>
      </c>
    </row>
    <row r="51" ht="16" customHeight="1">
      <c r="A51" s="20" t="inlineStr">
        <is>
          <t>NIFTY ENERGY</t>
        </is>
      </c>
      <c r="B51" s="17" t="inlineStr">
        <is>
          <t>SCHNEIDER</t>
        </is>
      </c>
      <c r="C51" s="18" t="n">
        <v>1243.7</v>
      </c>
      <c r="D51" s="18" t="n">
        <v>1073</v>
      </c>
      <c r="E51" s="18" t="n">
        <v>965.08</v>
      </c>
      <c r="F51" s="18" t="n">
        <v>828.35</v>
      </c>
      <c r="G51" s="19">
        <f>HYPERLINK("https://www.tradingview.com/chart/?symbol=NSE:SCHNEIDER","Chart 📈")</f>
        <v/>
      </c>
    </row>
    <row r="52" ht="16" customHeight="1">
      <c r="A52" s="20" t="inlineStr">
        <is>
          <t>NIFTY ENERGY</t>
        </is>
      </c>
      <c r="B52" s="17" t="inlineStr">
        <is>
          <t>SIEMENS</t>
        </is>
      </c>
      <c r="C52" s="18" t="n">
        <v>3808.2</v>
      </c>
      <c r="D52" s="18" t="n">
        <v>3594.63</v>
      </c>
      <c r="E52" s="18" t="n">
        <v>3389.98</v>
      </c>
      <c r="F52" s="18" t="n">
        <v>3199.96</v>
      </c>
      <c r="G52" s="19">
        <f>HYPERLINK("https://www.tradingview.com/chart/?symbol=NSE:SIEMENS","Chart 📈")</f>
        <v/>
      </c>
    </row>
    <row r="53" ht="16" customHeight="1">
      <c r="A53" s="20" t="inlineStr">
        <is>
          <t>NIFTY ENERGY</t>
        </is>
      </c>
      <c r="B53" s="17" t="inlineStr">
        <is>
          <t>SUZLON</t>
        </is>
      </c>
      <c r="C53" s="18" t="n">
        <v>55.58</v>
      </c>
      <c r="D53" s="18" t="n">
        <v>51.03</v>
      </c>
      <c r="E53" s="18" t="n">
        <v>47.91</v>
      </c>
      <c r="F53" s="18" t="n">
        <v>51.36</v>
      </c>
      <c r="G53" s="19">
        <f>HYPERLINK("https://www.tradingview.com/chart/?symbol=NSE:SUZLON","Chart 📈")</f>
        <v/>
      </c>
    </row>
    <row r="54" ht="16" customHeight="1">
      <c r="A54" s="20" t="inlineStr">
        <is>
          <t>NIFTY ENERGY</t>
        </is>
      </c>
      <c r="B54" s="17" t="inlineStr">
        <is>
          <t>TATAPOWER</t>
        </is>
      </c>
      <c r="C54" s="18" t="n">
        <v>444.55</v>
      </c>
      <c r="D54" s="18" t="n">
        <v>426.11</v>
      </c>
      <c r="E54" s="18" t="n">
        <v>405.47</v>
      </c>
      <c r="F54" s="18" t="n">
        <v>389.8</v>
      </c>
      <c r="G54" s="19">
        <f>HYPERLINK("https://www.tradingview.com/chart/?symbol=NSE:TATAPOWER","Chart 📈")</f>
        <v/>
      </c>
    </row>
    <row r="55" ht="16" customHeight="1">
      <c r="A55" s="20" t="inlineStr">
        <is>
          <t>NIFTY ENERGY</t>
        </is>
      </c>
      <c r="B55" s="17" t="inlineStr">
        <is>
          <t>THERMAX</t>
        </is>
      </c>
      <c r="C55" s="18" t="n">
        <v>4077.6</v>
      </c>
      <c r="D55" s="18" t="n">
        <v>3853.66</v>
      </c>
      <c r="E55" s="18" t="n">
        <v>3533.52</v>
      </c>
      <c r="F55" s="18" t="n">
        <v>3263.39</v>
      </c>
      <c r="G55" s="19">
        <f>HYPERLINK("https://www.tradingview.com/chart/?symbol=NSE:THERMAX","Chart 📈")</f>
        <v/>
      </c>
    </row>
    <row r="56" ht="16" customHeight="1">
      <c r="A56" s="20" t="inlineStr">
        <is>
          <t>NIFTY ENERGY</t>
        </is>
      </c>
      <c r="B56" s="17" t="inlineStr">
        <is>
          <t>TORNTPOWER</t>
        </is>
      </c>
      <c r="C56" s="18" t="n">
        <v>1736</v>
      </c>
      <c r="D56" s="18" t="n">
        <v>1603.87</v>
      </c>
      <c r="E56" s="18" t="n">
        <v>1512.01</v>
      </c>
      <c r="F56" s="18" t="n">
        <v>1405.94</v>
      </c>
      <c r="G56" s="19">
        <f>HYPERLINK("https://www.tradingview.com/chart/?symbol=NSE:TORNTPOWER","Chart 📈")</f>
        <v/>
      </c>
    </row>
    <row r="57" ht="16" customHeight="1">
      <c r="A57" s="20" t="inlineStr">
        <is>
          <t>NIFTY ENERGY</t>
        </is>
      </c>
      <c r="B57" s="17" t="inlineStr">
        <is>
          <t>TRITURBINE</t>
        </is>
      </c>
      <c r="C57" s="18" t="n">
        <v>573.25</v>
      </c>
      <c r="D57" s="18" t="n">
        <v>531.67</v>
      </c>
      <c r="E57" s="18" t="n">
        <v>505.65</v>
      </c>
      <c r="F57" s="18" t="n">
        <v>513.96</v>
      </c>
      <c r="G57" s="19">
        <f>HYPERLINK("https://www.tradingview.com/chart/?symbol=NSE:TRITURBINE","Chart 📈")</f>
        <v/>
      </c>
    </row>
    <row r="58" ht="16" customHeight="1">
      <c r="A58" s="12" t="inlineStr">
        <is>
          <t>NIFTY CONSUMER DURABLES</t>
        </is>
      </c>
      <c r="B58" s="13" t="inlineStr">
        <is>
          <t>AMBER</t>
        </is>
      </c>
      <c r="C58" s="14" t="n">
        <v>8024</v>
      </c>
      <c r="D58" s="14" t="n">
        <v>7612.4</v>
      </c>
      <c r="E58" s="14" t="n">
        <v>7296.01</v>
      </c>
      <c r="F58" s="14" t="n">
        <v>7083.59</v>
      </c>
      <c r="G58" s="15">
        <f>HYPERLINK("https://www.tradingview.com/chart/?symbol=NSE:AMBER","Chart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CENTURYPLY</t>
        </is>
      </c>
      <c r="C59" s="14" t="n">
        <v>797.65</v>
      </c>
      <c r="D59" s="14" t="n">
        <v>761.58</v>
      </c>
      <c r="E59" s="14" t="n">
        <v>746.11</v>
      </c>
      <c r="F59" s="14" t="n">
        <v>752.34</v>
      </c>
      <c r="G59" s="15">
        <f>HYPERLINK("https://www.tradingview.com/chart/?symbol=NSE:CENTURYPLY","Chart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CROMPTON</t>
        </is>
      </c>
      <c r="C60" s="14" t="n">
        <v>272.36</v>
      </c>
      <c r="D60" s="14" t="n">
        <v>256.02</v>
      </c>
      <c r="E60" s="14" t="n">
        <v>251.91</v>
      </c>
      <c r="F60" s="14" t="n">
        <v>272.19</v>
      </c>
      <c r="G60" s="15">
        <f>HYPERLINK("https://www.tradingview.com/chart/?symbol=NSE:CROMPTON","Chart 📈")</f>
        <v/>
      </c>
    </row>
    <row r="61" ht="16" customHeight="1">
      <c r="A61" s="16" t="inlineStr">
        <is>
          <t>NIFTY CONSUMER DURABLES</t>
        </is>
      </c>
      <c r="B61" s="13" t="inlineStr">
        <is>
          <t>KAJARIACER</t>
        </is>
      </c>
      <c r="C61" s="14" t="n">
        <v>1187.65</v>
      </c>
      <c r="D61" s="14" t="n">
        <v>1141.4</v>
      </c>
      <c r="E61" s="14" t="n">
        <v>1063.57</v>
      </c>
      <c r="F61" s="14" t="n">
        <v>1034.21</v>
      </c>
      <c r="G61" s="15">
        <f>HYPERLINK("https://www.tradingview.com/chart/?symbol=NSE:KAJARIACER","Chart 📈")</f>
        <v/>
      </c>
    </row>
    <row r="62" ht="16" customHeight="1">
      <c r="A62" s="16" t="inlineStr">
        <is>
          <t>NIFTY CONSUMER DURABLES</t>
        </is>
      </c>
      <c r="B62" s="13" t="inlineStr">
        <is>
          <t>TITAN</t>
        </is>
      </c>
      <c r="C62" s="14" t="n">
        <v>4385.2</v>
      </c>
      <c r="D62" s="14" t="n">
        <v>4379.94</v>
      </c>
      <c r="E62" s="14" t="n">
        <v>4272.81</v>
      </c>
      <c r="F62" s="14" t="n">
        <v>3952.75</v>
      </c>
      <c r="G62" s="15">
        <f>HYPERLINK("https://www.tradingview.com/chart/?symbol=NSE:TITAN","Chart 📈")</f>
        <v/>
      </c>
    </row>
    <row r="63" ht="16" customHeight="1">
      <c r="A63" s="16" t="inlineStr">
        <is>
          <t>NIFTY CONSUMER DURABLES</t>
        </is>
      </c>
      <c r="B63" s="13" t="inlineStr">
        <is>
          <t>VOLTAS</t>
        </is>
      </c>
      <c r="C63" s="14" t="n">
        <v>1430.4</v>
      </c>
      <c r="D63" s="14" t="n">
        <v>1421.58</v>
      </c>
      <c r="E63" s="14" t="n">
        <v>1408.03</v>
      </c>
      <c r="F63" s="14" t="n">
        <v>1376.98</v>
      </c>
      <c r="G63" s="15">
        <f>HYPERLINK("https://www.tradingview.com/chart/?symbol=NSE:VOLTAS","Chart 📈")</f>
        <v/>
      </c>
    </row>
    <row r="64" ht="16" customHeight="1">
      <c r="A64" s="8" t="inlineStr">
        <is>
          <t>NIFTY FMCG</t>
        </is>
      </c>
      <c r="B64" s="17" t="inlineStr">
        <is>
          <t>BALRAMCHIN</t>
        </is>
      </c>
      <c r="C64" s="18" t="n">
        <v>521.05</v>
      </c>
      <c r="D64" s="18" t="n">
        <v>504.78</v>
      </c>
      <c r="E64" s="18" t="n">
        <v>488.13</v>
      </c>
      <c r="F64" s="18" t="n">
        <v>487.27</v>
      </c>
      <c r="G64" s="19">
        <f>HYPERLINK("https://www.tradingview.com/chart/?symbol=NSE:BALRAMCHIN","Chart 📈")</f>
        <v/>
      </c>
    </row>
    <row r="65" ht="16" customHeight="1">
      <c r="A65" s="20" t="inlineStr">
        <is>
          <t>NIFTY FMCG</t>
        </is>
      </c>
      <c r="B65" s="17" t="inlineStr">
        <is>
          <t>MARICO</t>
        </is>
      </c>
      <c r="C65" s="18" t="n">
        <v>775</v>
      </c>
      <c r="D65" s="18" t="n">
        <v>767.29</v>
      </c>
      <c r="E65" s="18" t="n">
        <v>762.03</v>
      </c>
      <c r="F65" s="18" t="n">
        <v>741.4400000000001</v>
      </c>
      <c r="G65" s="19">
        <f>HYPERLINK("https://www.tradingview.com/chart/?symbol=NSE:MARICO","Chart 📈")</f>
        <v/>
      </c>
    </row>
    <row r="66" ht="16" customHeight="1">
      <c r="A66" s="20" t="inlineStr">
        <is>
          <t>NIFTY FMCG</t>
        </is>
      </c>
      <c r="B66" s="17" t="inlineStr">
        <is>
          <t>NESTLEIND</t>
        </is>
      </c>
      <c r="C66" s="18" t="n">
        <v>1458.6</v>
      </c>
      <c r="D66" s="18" t="n">
        <v>1342.94</v>
      </c>
      <c r="E66" s="18" t="n">
        <v>1293.56</v>
      </c>
      <c r="F66" s="18" t="n">
        <v>1246.71</v>
      </c>
      <c r="G66" s="19">
        <f>HYPERLINK("https://www.tradingview.com/chart/?symbol=NSE:NESTLEIND","Chart 📈")</f>
        <v/>
      </c>
    </row>
    <row r="67" ht="16" customHeight="1">
      <c r="A67" s="20" t="inlineStr">
        <is>
          <t>NIFTY FMCG</t>
        </is>
      </c>
      <c r="B67" s="17" t="inlineStr">
        <is>
          <t>RADICO</t>
        </is>
      </c>
      <c r="C67" s="18" t="n">
        <v>3423.1</v>
      </c>
      <c r="D67" s="18" t="n">
        <v>3115.34</v>
      </c>
      <c r="E67" s="18" t="n">
        <v>2955.53</v>
      </c>
      <c r="F67" s="18" t="n">
        <v>2886.68</v>
      </c>
      <c r="G67" s="19">
        <f>HYPERLINK("https://www.tradingview.com/chart/?symbol=NSE:RADICO","Chart 📈")</f>
        <v/>
      </c>
    </row>
    <row r="68" ht="16" customHeight="1">
      <c r="A68" s="20" t="inlineStr">
        <is>
          <t>NIFTY FMCG</t>
        </is>
      </c>
      <c r="B68" s="17" t="inlineStr">
        <is>
          <t>TATACONSUM</t>
        </is>
      </c>
      <c r="C68" s="18" t="n">
        <v>1144.6</v>
      </c>
      <c r="D68" s="18" t="n">
        <v>1126.57</v>
      </c>
      <c r="E68" s="18" t="n">
        <v>1117.45</v>
      </c>
      <c r="F68" s="18" t="n">
        <v>1129.87</v>
      </c>
      <c r="G68" s="19">
        <f>HYPERLINK("https://www.tradingview.com/chart/?symbol=NSE:TATACONSUM","Chart 📈")</f>
        <v/>
      </c>
    </row>
    <row r="69" ht="16" customHeight="1">
      <c r="A69" s="20" t="inlineStr">
        <is>
          <t>NIFTY FMCG</t>
        </is>
      </c>
      <c r="B69" s="17" t="inlineStr">
        <is>
          <t>VBL</t>
        </is>
      </c>
      <c r="C69" s="18" t="n">
        <v>513.7</v>
      </c>
      <c r="D69" s="18" t="n">
        <v>471.92</v>
      </c>
      <c r="E69" s="18" t="n">
        <v>453.57</v>
      </c>
      <c r="F69" s="18" t="n">
        <v>465.14</v>
      </c>
      <c r="G69" s="19">
        <f>HYPERLINK("https://www.tradingview.com/chart/?symbol=NSE:VBL","Chart 📈")</f>
        <v/>
      </c>
    </row>
    <row r="70" ht="16" customHeight="1">
      <c r="A70" s="12" t="inlineStr">
        <is>
          <t>NIFTY PSU BANK</t>
        </is>
      </c>
      <c r="B70" s="13" t="inlineStr">
        <is>
          <t>MAHABANK</t>
        </is>
      </c>
      <c r="C70" s="14" t="n">
        <v>78.37</v>
      </c>
      <c r="D70" s="14" t="n">
        <v>74.34999999999999</v>
      </c>
      <c r="E70" s="14" t="n">
        <v>70.25</v>
      </c>
      <c r="F70" s="14" t="n">
        <v>62.14</v>
      </c>
      <c r="G70" s="15">
        <f>HYPERLINK("https://www.tradingview.com/chart/?symbol=NSE:MAHABANK","Chart 📈")</f>
        <v/>
      </c>
    </row>
    <row r="71" ht="16" customHeight="1">
      <c r="A71" s="8" t="inlineStr">
        <is>
          <t>NIFTY AUTO</t>
        </is>
      </c>
      <c r="B71" s="17" t="inlineStr">
        <is>
          <t>BAJAJ-AUTO</t>
        </is>
      </c>
      <c r="C71" s="18" t="n">
        <v>9994</v>
      </c>
      <c r="D71" s="18" t="n">
        <v>9568.299999999999</v>
      </c>
      <c r="E71" s="18" t="n">
        <v>9476.790000000001</v>
      </c>
      <c r="F71" s="18" t="n">
        <v>9088.25</v>
      </c>
      <c r="G71" s="19">
        <f>HYPERLINK("https://www.tradingview.com/chart/?symbol=NSE:BAJAJ-AUTO","Chart 📈")</f>
        <v/>
      </c>
    </row>
    <row r="72" ht="16" customHeight="1">
      <c r="A72" s="20" t="inlineStr">
        <is>
          <t>NIFTY AUTO</t>
        </is>
      </c>
      <c r="B72" s="17" t="inlineStr">
        <is>
          <t>BHARATFORG</t>
        </is>
      </c>
      <c r="C72" s="18" t="n">
        <v>1881.6</v>
      </c>
      <c r="D72" s="18" t="n">
        <v>1838.36</v>
      </c>
      <c r="E72" s="18" t="n">
        <v>1764.52</v>
      </c>
      <c r="F72" s="18" t="n">
        <v>1509.26</v>
      </c>
      <c r="G72" s="19">
        <f>HYPERLINK("https://www.tradingview.com/chart/?symbol=NSE:BHARATFORG","Chart 📈")</f>
        <v/>
      </c>
    </row>
    <row r="73" ht="16" customHeight="1">
      <c r="A73" s="20" t="inlineStr">
        <is>
          <t>NIFTY AUTO</t>
        </is>
      </c>
      <c r="B73" s="17" t="inlineStr">
        <is>
          <t>BOSCHLTD</t>
        </is>
      </c>
      <c r="C73" s="18" t="n">
        <v>35995</v>
      </c>
      <c r="D73" s="18" t="n">
        <v>35964.46</v>
      </c>
      <c r="E73" s="18" t="n">
        <v>35087.14</v>
      </c>
      <c r="F73" s="18" t="n">
        <v>35208.49</v>
      </c>
      <c r="G73" s="19">
        <f>HYPERLINK("https://www.tradingview.com/chart/?symbol=NSE:BOSCHLTD","Chart 📈")</f>
        <v/>
      </c>
    </row>
    <row r="74" ht="16" customHeight="1">
      <c r="A74" s="20" t="inlineStr">
        <is>
          <t>NIFTY AUTO</t>
        </is>
      </c>
      <c r="B74" s="17" t="inlineStr">
        <is>
          <t>EXIDEIND</t>
        </is>
      </c>
      <c r="C74" s="18" t="n">
        <v>360.55</v>
      </c>
      <c r="D74" s="18" t="n">
        <v>336.49</v>
      </c>
      <c r="E74" s="18" t="n">
        <v>329.58</v>
      </c>
      <c r="F74" s="18" t="n">
        <v>350.56</v>
      </c>
      <c r="G74" s="19">
        <f>HYPERLINK("https://www.tradingview.com/chart/?symbol=NSE:EXIDEIND","Chart 📈")</f>
        <v/>
      </c>
    </row>
    <row r="75" ht="16" customHeight="1">
      <c r="A75" s="12" t="inlineStr">
        <is>
          <t>NIFTY FINANCIAL SERVICES</t>
        </is>
      </c>
      <c r="B75" s="13" t="inlineStr">
        <is>
          <t>HDFCAMC</t>
        </is>
      </c>
      <c r="C75" s="14" t="n">
        <v>2712.6</v>
      </c>
      <c r="D75" s="14" t="n">
        <v>2658.2</v>
      </c>
      <c r="E75" s="14" t="n">
        <v>2602.35</v>
      </c>
      <c r="F75" s="14" t="n">
        <v>2590.1</v>
      </c>
      <c r="G75" s="15">
        <f>HYPERLINK("https://www.tradingview.com/chart/?symbol=NSE:HDFCAMC","Chart 📈")</f>
        <v/>
      </c>
    </row>
    <row r="76" ht="16" customHeight="1">
      <c r="A76" s="16" t="inlineStr">
        <is>
          <t>NIFTY FINANCIAL SERVICES</t>
        </is>
      </c>
      <c r="B76" s="13" t="inlineStr">
        <is>
          <t>LICHSGFIN</t>
        </is>
      </c>
      <c r="C76" s="14" t="n">
        <v>554.7</v>
      </c>
      <c r="D76" s="14" t="n">
        <v>538.01</v>
      </c>
      <c r="E76" s="14" t="n">
        <v>527.6</v>
      </c>
      <c r="F76" s="14" t="n">
        <v>543.96</v>
      </c>
      <c r="G76" s="15">
        <f>HYPERLINK("https://www.tradingview.com/chart/?symbol=NSE:LICHSGFIN","Chart 📈")</f>
        <v/>
      </c>
    </row>
    <row r="77" ht="16" customHeight="1">
      <c r="A77" s="16" t="inlineStr">
        <is>
          <t>NIFTY FINANCIAL SERVICES</t>
        </is>
      </c>
      <c r="B77" s="13" t="inlineStr">
        <is>
          <t>MCX</t>
        </is>
      </c>
      <c r="C77" s="14" t="n">
        <v>2971.5</v>
      </c>
      <c r="D77" s="14" t="n">
        <v>2769.28</v>
      </c>
      <c r="E77" s="14" t="n">
        <v>2612.01</v>
      </c>
      <c r="F77" s="14" t="n">
        <v>2152.27</v>
      </c>
      <c r="G77" s="15">
        <f>HYPERLINK("https://www.tradingview.com/chart/?symbol=NSE:MCX","Chart 📈")</f>
        <v/>
      </c>
    </row>
    <row r="78" ht="16" customHeight="1">
      <c r="A78" s="8" t="inlineStr">
        <is>
          <t>NIFTY MIDSMALL IT &amp; TELECOM</t>
        </is>
      </c>
      <c r="B78" s="17" t="inlineStr">
        <is>
          <t>HFCL</t>
        </is>
      </c>
      <c r="C78" s="18" t="n">
        <v>116.03</v>
      </c>
      <c r="D78" s="18" t="n">
        <v>94.16</v>
      </c>
      <c r="E78" s="18" t="n">
        <v>82.93000000000001</v>
      </c>
      <c r="F78" s="18" t="n">
        <v>75.68000000000001</v>
      </c>
      <c r="G78" s="19">
        <f>HYPERLINK("https://www.tradingview.com/chart/?symbol=NSE:HFCL","Chart 📈")</f>
        <v/>
      </c>
    </row>
    <row r="79" ht="16" customHeight="1">
      <c r="A79" s="20" t="inlineStr">
        <is>
          <t>NIFTY MIDSMALL IT &amp; TELECOM</t>
        </is>
      </c>
      <c r="B79" s="17" t="inlineStr">
        <is>
          <t>IDEA</t>
        </is>
      </c>
      <c r="C79" s="18" t="n">
        <v>10.22</v>
      </c>
      <c r="D79" s="18" t="n">
        <v>9.609999999999999</v>
      </c>
      <c r="E79" s="18" t="n">
        <v>9.76</v>
      </c>
      <c r="F79" s="18" t="n">
        <v>9.42</v>
      </c>
      <c r="G79" s="19">
        <f>HYPERLINK("https://www.tradingview.com/chart/?symbol=NSE:IDEA","Chart 📈")</f>
        <v/>
      </c>
    </row>
    <row r="80" ht="16" customHeight="1">
      <c r="A80" s="20" t="inlineStr">
        <is>
          <t>NIFTY MIDSMALL IT &amp; TELECOM</t>
        </is>
      </c>
      <c r="B80" s="17" t="inlineStr">
        <is>
          <t>OFSS</t>
        </is>
      </c>
      <c r="C80" s="18" t="n">
        <v>9726.5</v>
      </c>
      <c r="D80" s="18" t="n">
        <v>8297.610000000001</v>
      </c>
      <c r="E80" s="18" t="n">
        <v>7673.25</v>
      </c>
      <c r="F80" s="18" t="n">
        <v>7837</v>
      </c>
      <c r="G80" s="19">
        <f>HYPERLINK("https://www.tradingview.com/chart/?symbol=NSE:OFSS","Chart 📈")</f>
        <v/>
      </c>
    </row>
    <row r="81" ht="16" customHeight="1">
      <c r="A81" s="12" t="inlineStr">
        <is>
          <t>NIFTY BANK</t>
        </is>
      </c>
      <c r="B81" s="13" t="inlineStr">
        <is>
          <t>AUBANK</t>
        </is>
      </c>
      <c r="C81" s="14" t="n">
        <v>1015.95</v>
      </c>
      <c r="D81" s="14" t="n">
        <v>994.91</v>
      </c>
      <c r="E81" s="14" t="n">
        <v>969.75</v>
      </c>
      <c r="F81" s="14" t="n">
        <v>897.28</v>
      </c>
      <c r="G81" s="15">
        <f>HYPERLINK("https://www.tradingview.com/chart/?symbol=NSE:AUBANK","Chart 📈")</f>
        <v/>
      </c>
    </row>
    <row r="82" ht="16" customHeight="1">
      <c r="A82" s="16" t="inlineStr">
        <is>
          <t>NIFTY BANK</t>
        </is>
      </c>
      <c r="B82" s="13" t="inlineStr">
        <is>
          <t>FEDERALBNK</t>
        </is>
      </c>
      <c r="C82" s="14" t="n">
        <v>286.95</v>
      </c>
      <c r="D82" s="14" t="n">
        <v>286.57</v>
      </c>
      <c r="E82" s="14" t="n">
        <v>281.21</v>
      </c>
      <c r="F82" s="14" t="n">
        <v>252.33</v>
      </c>
      <c r="G82" s="15">
        <f>HYPERLINK("https://www.tradingview.com/chart/?symbol=NSE:FEDERALBNK","Chart 📈")</f>
        <v/>
      </c>
    </row>
    <row r="83" ht="16" customHeight="1">
      <c r="A83" s="16" t="inlineStr">
        <is>
          <t>NIFTY BANK</t>
        </is>
      </c>
      <c r="B83" s="13" t="inlineStr">
        <is>
          <t>INDUSINDBK</t>
        </is>
      </c>
      <c r="C83" s="14" t="n">
        <v>916.05</v>
      </c>
      <c r="D83" s="14" t="n">
        <v>861.1900000000001</v>
      </c>
      <c r="E83" s="14" t="n">
        <v>859.87</v>
      </c>
      <c r="F83" s="14" t="n">
        <v>849.79</v>
      </c>
      <c r="G83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2026-05-01T14:53:46Z</dcterms:created>
  <dcterms:modified xsi:type="dcterms:W3CDTF">2026-05-01T14:53:46Z</dcterms:modified>
</cp:coreProperties>
</file>