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22-Sep-2026  15:35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13</v>
      </c>
      <c r="D4" s="5" t="n">
        <v>13</v>
      </c>
      <c r="E4" s="5" t="n">
        <v>13</v>
      </c>
      <c r="F4" s="6" t="n">
        <v>0.65</v>
      </c>
      <c r="G4" s="6" t="n">
        <v>0.65</v>
      </c>
      <c r="H4" s="6" t="n">
        <v>0.65</v>
      </c>
      <c r="I4" s="7" t="n">
        <v>0.65</v>
      </c>
    </row>
    <row r="5" ht="17" customHeight="1">
      <c r="A5" s="8" t="inlineStr">
        <is>
          <t>NIFTY METAL</t>
        </is>
      </c>
      <c r="B5" s="9" t="n">
        <v>15</v>
      </c>
      <c r="C5" s="9" t="n">
        <v>7</v>
      </c>
      <c r="D5" s="9" t="n">
        <v>7</v>
      </c>
      <c r="E5" s="9" t="n">
        <v>12</v>
      </c>
      <c r="F5" s="10" t="n">
        <v>0.467</v>
      </c>
      <c r="G5" s="10" t="n">
        <v>0.467</v>
      </c>
      <c r="H5" s="10" t="n">
        <v>0.8</v>
      </c>
      <c r="I5" s="11" t="n">
        <v>0.578</v>
      </c>
    </row>
    <row r="6" ht="17" customHeight="1">
      <c r="A6" s="4" t="inlineStr">
        <is>
          <t>NIFTY REALTY</t>
        </is>
      </c>
      <c r="B6" s="5" t="n">
        <v>10</v>
      </c>
      <c r="C6" s="5" t="n">
        <v>4</v>
      </c>
      <c r="D6" s="5" t="n">
        <v>5</v>
      </c>
      <c r="E6" s="5" t="n">
        <v>6</v>
      </c>
      <c r="F6" s="6" t="n">
        <v>0.4</v>
      </c>
      <c r="G6" s="6" t="n">
        <v>0.5</v>
      </c>
      <c r="H6" s="6" t="n">
        <v>0.6</v>
      </c>
      <c r="I6" s="7" t="n">
        <v>0.5</v>
      </c>
    </row>
    <row r="7" ht="17" customHeight="1">
      <c r="A7" s="8" t="inlineStr">
        <is>
          <t>NIFTY MEDIA</t>
        </is>
      </c>
      <c r="B7" s="9" t="n">
        <v>10</v>
      </c>
      <c r="C7" s="9" t="n">
        <v>5</v>
      </c>
      <c r="D7" s="9" t="n">
        <v>5</v>
      </c>
      <c r="E7" s="9" t="n">
        <v>4</v>
      </c>
      <c r="F7" s="10" t="n">
        <v>0.5</v>
      </c>
      <c r="G7" s="10" t="n">
        <v>0.5</v>
      </c>
      <c r="H7" s="10" t="n">
        <v>0.4</v>
      </c>
      <c r="I7" s="11" t="n">
        <v>0.4667</v>
      </c>
    </row>
    <row r="8" ht="17" customHeight="1">
      <c r="A8" s="4" t="inlineStr">
        <is>
          <t>NIFTY AUTO</t>
        </is>
      </c>
      <c r="B8" s="5" t="n">
        <v>15</v>
      </c>
      <c r="C8" s="5" t="n">
        <v>4</v>
      </c>
      <c r="D8" s="5" t="n">
        <v>4</v>
      </c>
      <c r="E8" s="5" t="n">
        <v>8</v>
      </c>
      <c r="F8" s="6" t="n">
        <v>0.267</v>
      </c>
      <c r="G8" s="6" t="n">
        <v>0.267</v>
      </c>
      <c r="H8" s="6" t="n">
        <v>0.5329999999999999</v>
      </c>
      <c r="I8" s="7" t="n">
        <v>0.3557</v>
      </c>
    </row>
    <row r="9" ht="17" customHeight="1">
      <c r="A9" s="8" t="inlineStr">
        <is>
          <t>NIFTY OIL &amp; GAS</t>
        </is>
      </c>
      <c r="B9" s="9" t="n">
        <v>15</v>
      </c>
      <c r="C9" s="9" t="n">
        <v>7</v>
      </c>
      <c r="D9" s="9" t="n">
        <v>4</v>
      </c>
      <c r="E9" s="9" t="n">
        <v>5</v>
      </c>
      <c r="F9" s="10" t="n">
        <v>0.467</v>
      </c>
      <c r="G9" s="10" t="n">
        <v>0.267</v>
      </c>
      <c r="H9" s="10" t="n">
        <v>0.333</v>
      </c>
      <c r="I9" s="11" t="n">
        <v>0.3557</v>
      </c>
    </row>
    <row r="10" ht="17" customHeight="1">
      <c r="A10" s="4" t="inlineStr">
        <is>
          <t>NIFTY MIDSMALL IT &amp; TELECOM</t>
        </is>
      </c>
      <c r="B10" s="5" t="n">
        <v>20</v>
      </c>
      <c r="C10" s="5" t="n">
        <v>4</v>
      </c>
      <c r="D10" s="5" t="n">
        <v>6</v>
      </c>
      <c r="E10" s="5" t="n">
        <v>8</v>
      </c>
      <c r="F10" s="6" t="n">
        <v>0.2</v>
      </c>
      <c r="G10" s="6" t="n">
        <v>0.3</v>
      </c>
      <c r="H10" s="6" t="n">
        <v>0.4</v>
      </c>
      <c r="I10" s="7" t="n">
        <v>0.3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6</v>
      </c>
      <c r="D11" s="9" t="n">
        <v>5</v>
      </c>
      <c r="E11" s="9" t="n">
        <v>6</v>
      </c>
      <c r="F11" s="10" t="n">
        <v>0.3</v>
      </c>
      <c r="G11" s="10" t="n">
        <v>0.25</v>
      </c>
      <c r="H11" s="10" t="n">
        <v>0.3</v>
      </c>
      <c r="I11" s="11" t="n">
        <v>0.2833</v>
      </c>
    </row>
    <row r="12" ht="17" customHeight="1">
      <c r="A12" s="4" t="inlineStr">
        <is>
          <t>NIFTY FMCG</t>
        </is>
      </c>
      <c r="B12" s="5" t="n">
        <v>15</v>
      </c>
      <c r="C12" s="5" t="n">
        <v>5</v>
      </c>
      <c r="D12" s="5" t="n">
        <v>3</v>
      </c>
      <c r="E12" s="5" t="n">
        <v>4</v>
      </c>
      <c r="F12" s="6" t="n">
        <v>0.333</v>
      </c>
      <c r="G12" s="6" t="n">
        <v>0.2</v>
      </c>
      <c r="H12" s="6" t="n">
        <v>0.267</v>
      </c>
      <c r="I12" s="7" t="n">
        <v>0.2667</v>
      </c>
    </row>
    <row r="13" ht="17" customHeight="1">
      <c r="A13" s="8" t="inlineStr">
        <is>
          <t>NIFTY PSU BANK</t>
        </is>
      </c>
      <c r="B13" s="9" t="n">
        <v>12</v>
      </c>
      <c r="C13" s="9" t="n">
        <v>2</v>
      </c>
      <c r="D13" s="9" t="n">
        <v>3</v>
      </c>
      <c r="E13" s="9" t="n">
        <v>4</v>
      </c>
      <c r="F13" s="10" t="n">
        <v>0.167</v>
      </c>
      <c r="G13" s="10" t="n">
        <v>0.25</v>
      </c>
      <c r="H13" s="10" t="n">
        <v>0.333</v>
      </c>
      <c r="I13" s="11" t="n">
        <v>0.25</v>
      </c>
    </row>
    <row r="14" ht="17" customHeight="1">
      <c r="A14" s="4" t="inlineStr">
        <is>
          <t>NIFTY ENERGY</t>
        </is>
      </c>
      <c r="B14" s="5" t="n">
        <v>40</v>
      </c>
      <c r="C14" s="5" t="n">
        <v>4</v>
      </c>
      <c r="D14" s="5" t="n">
        <v>4</v>
      </c>
      <c r="E14" s="5" t="n">
        <v>11</v>
      </c>
      <c r="F14" s="6" t="n">
        <v>0.1</v>
      </c>
      <c r="G14" s="6" t="n">
        <v>0.1</v>
      </c>
      <c r="H14" s="6" t="n">
        <v>0.275</v>
      </c>
      <c r="I14" s="7" t="n">
        <v>0.1583</v>
      </c>
    </row>
    <row r="15" ht="17" customHeight="1">
      <c r="A15" s="8" t="inlineStr">
        <is>
          <t>NIFTY BANK</t>
        </is>
      </c>
      <c r="B15" s="9" t="n">
        <v>12</v>
      </c>
      <c r="C15" s="9" t="n">
        <v>0</v>
      </c>
      <c r="D15" s="9" t="n">
        <v>1</v>
      </c>
      <c r="E15" s="9" t="n">
        <v>4</v>
      </c>
      <c r="F15" s="10" t="n">
        <v>0</v>
      </c>
      <c r="G15" s="10" t="n">
        <v>0.083</v>
      </c>
      <c r="H15" s="10" t="n">
        <v>0.333</v>
      </c>
      <c r="I15" s="11" t="n">
        <v>0.1387</v>
      </c>
    </row>
    <row r="16" ht="17" customHeight="1">
      <c r="A16" s="4" t="inlineStr">
        <is>
          <t>NIFTY CONSUMER DURABLES</t>
        </is>
      </c>
      <c r="B16" s="5" t="n">
        <v>15</v>
      </c>
      <c r="C16" s="5" t="n">
        <v>1</v>
      </c>
      <c r="D16" s="5" t="n">
        <v>2</v>
      </c>
      <c r="E16" s="5" t="n">
        <v>3</v>
      </c>
      <c r="F16" s="6" t="n">
        <v>0.067</v>
      </c>
      <c r="G16" s="6" t="n">
        <v>0.133</v>
      </c>
      <c r="H16" s="6" t="n">
        <v>0.2</v>
      </c>
      <c r="I16" s="7" t="n">
        <v>0.1333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1</v>
      </c>
      <c r="F17" s="10" t="n">
        <v>0.1</v>
      </c>
      <c r="G17" s="10" t="n">
        <v>0.1</v>
      </c>
      <c r="H17" s="10" t="n">
        <v>0.1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27225</v>
      </c>
      <c r="D3" s="14" t="n">
        <v>26361.9</v>
      </c>
      <c r="E3" s="14" t="n">
        <v>26479.17</v>
      </c>
      <c r="F3" s="14" t="n">
        <v>26788.18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1700</v>
      </c>
      <c r="D4" s="14" t="n">
        <v>1673.1</v>
      </c>
      <c r="E4" s="14" t="n">
        <v>1629.26</v>
      </c>
      <c r="F4" s="14" t="n">
        <v>1448.56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DIVISLAB</t>
        </is>
      </c>
      <c r="C5" s="14" t="n">
        <v>9352</v>
      </c>
      <c r="D5" s="14" t="n">
        <v>9181.83</v>
      </c>
      <c r="E5" s="14" t="n">
        <v>8600.540000000001</v>
      </c>
      <c r="F5" s="14" t="n">
        <v>7285.49</v>
      </c>
      <c r="G5" s="15">
        <f>HYPERLINK("https://www.tradingview.com/chart/?symbol=NSE:DIVISLAB","Chart 📈")</f>
        <v/>
      </c>
    </row>
    <row r="6" ht="16" customHeight="1">
      <c r="A6" s="16" t="inlineStr">
        <is>
          <t>NIFTY PHARMA</t>
        </is>
      </c>
      <c r="B6" s="13" t="inlineStr">
        <is>
          <t>GLAND</t>
        </is>
      </c>
      <c r="C6" s="14" t="n">
        <v>2916.6</v>
      </c>
      <c r="D6" s="14" t="n">
        <v>2896.44</v>
      </c>
      <c r="E6" s="14" t="n">
        <v>2753.8</v>
      </c>
      <c r="F6" s="14" t="n">
        <v>2292.5</v>
      </c>
      <c r="G6" s="15">
        <f>HYPERLINK("https://www.tradingview.com/chart/?symbol=NSE:GLAND","Chart 📈")</f>
        <v/>
      </c>
    </row>
    <row r="7" ht="16" customHeight="1">
      <c r="A7" s="16" t="inlineStr">
        <is>
          <t>NIFTY PHARMA</t>
        </is>
      </c>
      <c r="B7" s="13" t="inlineStr">
        <is>
          <t>GLENMARK</t>
        </is>
      </c>
      <c r="C7" s="14" t="n">
        <v>2461.4</v>
      </c>
      <c r="D7" s="14" t="n">
        <v>2418.66</v>
      </c>
      <c r="E7" s="14" t="n">
        <v>2361.06</v>
      </c>
      <c r="F7" s="14" t="n">
        <v>2218.65</v>
      </c>
      <c r="G7" s="15">
        <f>HYPERLINK("https://www.tradingview.com/chart/?symbol=NSE:GLENMARK","Chart 📈")</f>
        <v/>
      </c>
    </row>
    <row r="8" ht="16" customHeight="1">
      <c r="A8" s="16" t="inlineStr">
        <is>
          <t>NIFTY PHARMA</t>
        </is>
      </c>
      <c r="B8" s="13" t="inlineStr">
        <is>
          <t>IPCALAB</t>
        </is>
      </c>
      <c r="C8" s="14" t="n">
        <v>1992.4</v>
      </c>
      <c r="D8" s="14" t="n">
        <v>1954.21</v>
      </c>
      <c r="E8" s="14" t="n">
        <v>1876.02</v>
      </c>
      <c r="F8" s="14" t="n">
        <v>1660.95</v>
      </c>
      <c r="G8" s="15">
        <f>HYPERLINK("https://www.tradingview.com/chart/?symbol=NSE:IPCALAB","Chart 📈")</f>
        <v/>
      </c>
    </row>
    <row r="9" ht="16" customHeight="1">
      <c r="A9" s="16" t="inlineStr">
        <is>
          <t>NIFTY PHARMA</t>
        </is>
      </c>
      <c r="B9" s="13" t="inlineStr">
        <is>
          <t>LAURUSLABS</t>
        </is>
      </c>
      <c r="C9" s="14" t="n">
        <v>2006.5</v>
      </c>
      <c r="D9" s="14" t="n">
        <v>1923.06</v>
      </c>
      <c r="E9" s="14" t="n">
        <v>1811.48</v>
      </c>
      <c r="F9" s="14" t="n">
        <v>1428.51</v>
      </c>
      <c r="G9" s="15">
        <f>HYPERLINK("https://www.tradingview.com/chart/?symbol=NSE:LAURUSLABS","Chart 📈")</f>
        <v/>
      </c>
    </row>
    <row r="10" ht="16" customHeight="1">
      <c r="A10" s="16" t="inlineStr">
        <is>
          <t>NIFTY PHARMA</t>
        </is>
      </c>
      <c r="B10" s="13" t="inlineStr">
        <is>
          <t>MANKIND</t>
        </is>
      </c>
      <c r="C10" s="14" t="n">
        <v>2480</v>
      </c>
      <c r="D10" s="14" t="n">
        <v>2349</v>
      </c>
      <c r="E10" s="14" t="n">
        <v>2383.54</v>
      </c>
      <c r="F10" s="14" t="n">
        <v>2367.32</v>
      </c>
      <c r="G10" s="15">
        <f>HYPERLINK("https://www.tradingview.com/chart/?symbol=NSE:MANKIND","Chart 📈")</f>
        <v/>
      </c>
    </row>
    <row r="11" ht="16" customHeight="1">
      <c r="A11" s="16" t="inlineStr">
        <is>
          <t>NIFTY PHARMA</t>
        </is>
      </c>
      <c r="B11" s="13" t="inlineStr">
        <is>
          <t>TORNTPHARM</t>
        </is>
      </c>
      <c r="C11" s="14" t="n">
        <v>4935</v>
      </c>
      <c r="D11" s="14" t="n">
        <v>4920.06</v>
      </c>
      <c r="E11" s="14" t="n">
        <v>4883.64</v>
      </c>
      <c r="F11" s="14" t="n">
        <v>4476.21</v>
      </c>
      <c r="G11" s="15">
        <f>HYPERLINK("https://www.tradingview.com/chart/?symbol=NSE:TORNTPHARM","Chart 📈")</f>
        <v/>
      </c>
    </row>
    <row r="12" ht="16" customHeight="1">
      <c r="A12" s="16" t="inlineStr">
        <is>
          <t>NIFTY PHARMA</t>
        </is>
      </c>
      <c r="B12" s="13" t="inlineStr">
        <is>
          <t>ZYDUSLIFE</t>
        </is>
      </c>
      <c r="C12" s="14" t="n">
        <v>1162.3</v>
      </c>
      <c r="D12" s="14" t="n">
        <v>1138.69</v>
      </c>
      <c r="E12" s="14" t="n">
        <v>1128.37</v>
      </c>
      <c r="F12" s="14" t="n">
        <v>1050.93</v>
      </c>
      <c r="G12" s="15">
        <f>HYPERLINK("https://www.tradingview.com/chart/?symbol=NSE:ZYDUSLIFE","Chart 📈")</f>
        <v/>
      </c>
    </row>
    <row r="13" ht="16" customHeight="1">
      <c r="A13" s="8" t="inlineStr">
        <is>
          <t>NIFTY METAL</t>
        </is>
      </c>
      <c r="B13" s="17" t="inlineStr">
        <is>
          <t>ADANIENT</t>
        </is>
      </c>
      <c r="C13" s="18" t="n">
        <v>2997</v>
      </c>
      <c r="D13" s="18" t="n">
        <v>2992.93</v>
      </c>
      <c r="E13" s="18" t="n">
        <v>2991.57</v>
      </c>
      <c r="F13" s="18" t="n">
        <v>2733</v>
      </c>
      <c r="G13" s="19">
        <f>HYPERLINK("https://www.tradingview.com/chart/?symbol=NSE:ADANIENT","Chart 📈")</f>
        <v/>
      </c>
    </row>
    <row r="14" ht="16" customHeight="1">
      <c r="A14" s="20" t="inlineStr">
        <is>
          <t>NIFTY METAL</t>
        </is>
      </c>
      <c r="B14" s="17" t="inlineStr">
        <is>
          <t>APLAPOLLO</t>
        </is>
      </c>
      <c r="C14" s="18" t="n">
        <v>2195</v>
      </c>
      <c r="D14" s="18" t="n">
        <v>2161.04</v>
      </c>
      <c r="E14" s="18" t="n">
        <v>2075.4</v>
      </c>
      <c r="F14" s="18" t="n">
        <v>1943.74</v>
      </c>
      <c r="G14" s="19">
        <f>HYPERLINK("https://www.tradingview.com/chart/?symbol=NSE:APLAPOLLO","Chart 📈")</f>
        <v/>
      </c>
    </row>
    <row r="15" ht="16" customHeight="1">
      <c r="A15" s="20" t="inlineStr">
        <is>
          <t>NIFTY METAL</t>
        </is>
      </c>
      <c r="B15" s="17" t="inlineStr">
        <is>
          <t>HINDZINC</t>
        </is>
      </c>
      <c r="C15" s="18" t="n">
        <v>590.5</v>
      </c>
      <c r="D15" s="18" t="n">
        <v>585.39</v>
      </c>
      <c r="E15" s="18" t="n">
        <v>578.64</v>
      </c>
      <c r="F15" s="18" t="n">
        <v>561.48</v>
      </c>
      <c r="G15" s="19">
        <f>HYPERLINK("https://www.tradingview.com/chart/?symbol=NSE:HINDZINC","Chart 📈")</f>
        <v/>
      </c>
    </row>
    <row r="16" ht="16" customHeight="1">
      <c r="A16" s="20" t="inlineStr">
        <is>
          <t>NIFTY METAL</t>
        </is>
      </c>
      <c r="B16" s="17" t="inlineStr">
        <is>
          <t>JINDALSTEL</t>
        </is>
      </c>
      <c r="C16" s="18" t="n">
        <v>1141</v>
      </c>
      <c r="D16" s="18" t="n">
        <v>1130.35</v>
      </c>
      <c r="E16" s="18" t="n">
        <v>1123.33</v>
      </c>
      <c r="F16" s="18" t="n">
        <v>1118.81</v>
      </c>
      <c r="G16" s="19">
        <f>HYPERLINK("https://www.tradingview.com/chart/?symbol=NSE:JINDALSTEL","Chart 📈")</f>
        <v/>
      </c>
    </row>
    <row r="17" ht="16" customHeight="1">
      <c r="A17" s="20" t="inlineStr">
        <is>
          <t>NIFTY METAL</t>
        </is>
      </c>
      <c r="B17" s="17" t="inlineStr">
        <is>
          <t>JSL</t>
        </is>
      </c>
      <c r="C17" s="18" t="n">
        <v>743.45</v>
      </c>
      <c r="D17" s="18" t="n">
        <v>738.35</v>
      </c>
      <c r="E17" s="18" t="n">
        <v>730.27</v>
      </c>
      <c r="F17" s="18" t="n">
        <v>739.03</v>
      </c>
      <c r="G17" s="19">
        <f>HYPERLINK("https://www.tradingview.com/chart/?symbol=NSE:JSL","Chart 📈")</f>
        <v/>
      </c>
    </row>
    <row r="18" ht="16" customHeight="1">
      <c r="A18" s="20" t="inlineStr">
        <is>
          <t>NIFTY METAL</t>
        </is>
      </c>
      <c r="B18" s="17" t="inlineStr">
        <is>
          <t>RATNAMANI</t>
        </is>
      </c>
      <c r="C18" s="18" t="n">
        <v>2781.7</v>
      </c>
      <c r="D18" s="18" t="n">
        <v>2696.25</v>
      </c>
      <c r="E18" s="18" t="n">
        <v>2599.07</v>
      </c>
      <c r="F18" s="18" t="n">
        <v>2487.61</v>
      </c>
      <c r="G18" s="19">
        <f>HYPERLINK("https://www.tradingview.com/chart/?symbol=NSE:RATNAMANI","Chart 📈")</f>
        <v/>
      </c>
    </row>
    <row r="19" ht="16" customHeight="1">
      <c r="A19" s="20" t="inlineStr">
        <is>
          <t>NIFTY METAL</t>
        </is>
      </c>
      <c r="B19" s="17" t="inlineStr">
        <is>
          <t>WELCORP</t>
        </is>
      </c>
      <c r="C19" s="18" t="n">
        <v>2731.5</v>
      </c>
      <c r="D19" s="18" t="n">
        <v>2510.69</v>
      </c>
      <c r="E19" s="18" t="n">
        <v>2196.88</v>
      </c>
      <c r="F19" s="18" t="n">
        <v>1516.6</v>
      </c>
      <c r="G19" s="19">
        <f>HYPERLINK("https://www.tradingview.com/chart/?symbol=NSE:WELCORP","Chart 📈")</f>
        <v/>
      </c>
    </row>
    <row r="20" ht="16" customHeight="1">
      <c r="A20" s="12" t="inlineStr">
        <is>
          <t>NIFTY REALTY</t>
        </is>
      </c>
      <c r="B20" s="13" t="inlineStr">
        <is>
          <t>DLF</t>
        </is>
      </c>
      <c r="C20" s="14" t="n">
        <v>669.5</v>
      </c>
      <c r="D20" s="14" t="n">
        <v>656.63</v>
      </c>
      <c r="E20" s="14" t="n">
        <v>653.65</v>
      </c>
      <c r="F20" s="14" t="n">
        <v>645.76</v>
      </c>
      <c r="G20" s="15">
        <f>HYPERLINK("https://www.tradingview.com/chart/?symbol=NSE:DLF","Chart 📈")</f>
        <v/>
      </c>
    </row>
    <row r="21" ht="16" customHeight="1">
      <c r="A21" s="16" t="inlineStr">
        <is>
          <t>NIFTY REALTY</t>
        </is>
      </c>
      <c r="B21" s="13" t="inlineStr">
        <is>
          <t>OBEROIRLTY</t>
        </is>
      </c>
      <c r="C21" s="14" t="n">
        <v>1845.6</v>
      </c>
      <c r="D21" s="14" t="n">
        <v>1803.56</v>
      </c>
      <c r="E21" s="14" t="n">
        <v>1810.26</v>
      </c>
      <c r="F21" s="14" t="n">
        <v>1724.62</v>
      </c>
      <c r="G21" s="15">
        <f>HYPERLINK("https://www.tradingview.com/chart/?symbol=NSE:OBEROIRLTY","Chart 📈")</f>
        <v/>
      </c>
    </row>
    <row r="22" ht="16" customHeight="1">
      <c r="A22" s="16" t="inlineStr">
        <is>
          <t>NIFTY REALTY</t>
        </is>
      </c>
      <c r="B22" s="13" t="inlineStr">
        <is>
          <t>PHOENIXLTD</t>
        </is>
      </c>
      <c r="C22" s="14" t="n">
        <v>1953.4</v>
      </c>
      <c r="D22" s="14" t="n">
        <v>1902.38</v>
      </c>
      <c r="E22" s="14" t="n">
        <v>1912.19</v>
      </c>
      <c r="F22" s="14" t="n">
        <v>1829.01</v>
      </c>
      <c r="G22" s="15">
        <f>HYPERLINK("https://www.tradingview.com/chart/?symbol=NSE:PHOENIXLTD","Chart 📈")</f>
        <v/>
      </c>
    </row>
    <row r="23" ht="16" customHeight="1">
      <c r="A23" s="16" t="inlineStr">
        <is>
          <t>NIFTY REALTY</t>
        </is>
      </c>
      <c r="B23" s="13" t="inlineStr">
        <is>
          <t>RAYMOND</t>
        </is>
      </c>
      <c r="C23" s="14" t="n">
        <v>1116.95</v>
      </c>
      <c r="D23" s="14" t="n">
        <v>884.17</v>
      </c>
      <c r="E23" s="14" t="n">
        <v>751.37</v>
      </c>
      <c r="F23" s="14" t="n">
        <v>592.01</v>
      </c>
      <c r="G23" s="15">
        <f>HYPERLINK("https://www.tradingview.com/chart/?symbol=NSE:RAYMOND","Chart 📈")</f>
        <v/>
      </c>
    </row>
    <row r="24" ht="16" customHeight="1">
      <c r="A24" s="8" t="inlineStr">
        <is>
          <t>NIFTY MEDIA</t>
        </is>
      </c>
      <c r="B24" s="17" t="inlineStr">
        <is>
          <t>NAZARA</t>
        </is>
      </c>
      <c r="C24" s="18" t="n">
        <v>370.45</v>
      </c>
      <c r="D24" s="18" t="n">
        <v>363.71</v>
      </c>
      <c r="E24" s="18" t="n">
        <v>347.9</v>
      </c>
      <c r="F24" s="18" t="n">
        <v>303.62</v>
      </c>
      <c r="G24" s="19">
        <f>HYPERLINK("https://www.tradingview.com/chart/?symbol=NSE:NAZARA","Chart 📈")</f>
        <v/>
      </c>
    </row>
    <row r="25" ht="16" customHeight="1">
      <c r="A25" s="20" t="inlineStr">
        <is>
          <t>NIFTY MEDIA</t>
        </is>
      </c>
      <c r="B25" s="17" t="inlineStr">
        <is>
          <t>PVRINOX</t>
        </is>
      </c>
      <c r="C25" s="18" t="n">
        <v>1334.8</v>
      </c>
      <c r="D25" s="18" t="n">
        <v>1249.1</v>
      </c>
      <c r="E25" s="18" t="n">
        <v>1183.38</v>
      </c>
      <c r="F25" s="18" t="n">
        <v>1085.82</v>
      </c>
      <c r="G25" s="19">
        <f>HYPERLINK("https://www.tradingview.com/chart/?symbol=NSE:PVRINOX","Chart 📈")</f>
        <v/>
      </c>
    </row>
    <row r="26" ht="16" customHeight="1">
      <c r="A26" s="20" t="inlineStr">
        <is>
          <t>NIFTY MEDIA</t>
        </is>
      </c>
      <c r="B26" s="17" t="inlineStr">
        <is>
          <t>SAREGAMA</t>
        </is>
      </c>
      <c r="C26" s="18" t="n">
        <v>503.35</v>
      </c>
      <c r="D26" s="18" t="n">
        <v>497.36</v>
      </c>
      <c r="E26" s="18" t="n">
        <v>494.35</v>
      </c>
      <c r="F26" s="18" t="n">
        <v>446.12</v>
      </c>
      <c r="G26" s="19">
        <f>HYPERLINK("https://www.tradingview.com/chart/?symbol=NSE:SAREGAMA","Chart 📈")</f>
        <v/>
      </c>
    </row>
    <row r="27" ht="16" customHeight="1">
      <c r="A27" s="20" t="inlineStr">
        <is>
          <t>NIFTY MEDIA</t>
        </is>
      </c>
      <c r="B27" s="17" t="inlineStr">
        <is>
          <t>TIPSMUSIC</t>
        </is>
      </c>
      <c r="C27" s="18" t="n">
        <v>661.8</v>
      </c>
      <c r="D27" s="18" t="n">
        <v>656.01</v>
      </c>
      <c r="E27" s="18" t="n">
        <v>657.27</v>
      </c>
      <c r="F27" s="18" t="n">
        <v>622.34</v>
      </c>
      <c r="G27" s="19">
        <f>HYPERLINK("https://www.tradingview.com/chart/?symbol=NSE:TIPSMUSIC","Chart 📈")</f>
        <v/>
      </c>
    </row>
    <row r="28" ht="16" customHeight="1">
      <c r="A28" s="12" t="inlineStr">
        <is>
          <t>NIFTY AUTO</t>
        </is>
      </c>
      <c r="B28" s="13" t="inlineStr">
        <is>
          <t>BOSCHLTD</t>
        </is>
      </c>
      <c r="C28" s="14" t="n">
        <v>48290</v>
      </c>
      <c r="D28" s="14" t="n">
        <v>47623.61</v>
      </c>
      <c r="E28" s="14" t="n">
        <v>45648.19</v>
      </c>
      <c r="F28" s="14" t="n">
        <v>40532.81</v>
      </c>
      <c r="G28" s="15">
        <f>HYPERLINK("https://www.tradingview.com/chart/?symbol=NSE:BOSCHLTD","Chart 📈")</f>
        <v/>
      </c>
    </row>
    <row r="29" ht="16" customHeight="1">
      <c r="A29" s="16" t="inlineStr">
        <is>
          <t>NIFTY AUTO</t>
        </is>
      </c>
      <c r="B29" s="13" t="inlineStr">
        <is>
          <t>HEROMOTOCO</t>
        </is>
      </c>
      <c r="C29" s="14" t="n">
        <v>5373</v>
      </c>
      <c r="D29" s="14" t="n">
        <v>5356.53</v>
      </c>
      <c r="E29" s="14" t="n">
        <v>5337.27</v>
      </c>
      <c r="F29" s="14" t="n">
        <v>5255.78</v>
      </c>
      <c r="G29" s="15">
        <f>HYPERLINK("https://www.tradingview.com/chart/?symbol=NSE:HEROMOTOCO","Chart 📈")</f>
        <v/>
      </c>
    </row>
    <row r="30" ht="16" customHeight="1">
      <c r="A30" s="8" t="inlineStr">
        <is>
          <t>NIFTY OIL &amp; GAS</t>
        </is>
      </c>
      <c r="B30" s="17" t="inlineStr">
        <is>
          <t>AEGISLOG</t>
        </is>
      </c>
      <c r="C30" s="18" t="n">
        <v>1424.5</v>
      </c>
      <c r="D30" s="18" t="n">
        <v>1350.63</v>
      </c>
      <c r="E30" s="18" t="n">
        <v>1288.42</v>
      </c>
      <c r="F30" s="18" t="n">
        <v>1013</v>
      </c>
      <c r="G30" s="19">
        <f>HYPERLINK("https://www.tradingview.com/chart/?symbol=NSE:AEGISLOG","Chart 📈")</f>
        <v/>
      </c>
    </row>
    <row r="31" ht="16" customHeight="1">
      <c r="A31" s="20" t="inlineStr">
        <is>
          <t>NIFTY OIL &amp; GAS</t>
        </is>
      </c>
      <c r="B31" s="17" t="inlineStr">
        <is>
          <t>CASTROLIND</t>
        </is>
      </c>
      <c r="C31" s="18" t="n">
        <v>195.61</v>
      </c>
      <c r="D31" s="18" t="n">
        <v>189.77</v>
      </c>
      <c r="E31" s="18" t="n">
        <v>186.31</v>
      </c>
      <c r="F31" s="18" t="n">
        <v>181.89</v>
      </c>
      <c r="G31" s="19">
        <f>HYPERLINK("https://www.tradingview.com/chart/?symbol=NSE:CASTROLIND","Chart 📈")</f>
        <v/>
      </c>
    </row>
    <row r="32" ht="16" customHeight="1">
      <c r="A32" s="12" t="inlineStr">
        <is>
          <t>NIFTY MIDSMALL IT &amp; TELECOM</t>
        </is>
      </c>
      <c r="B32" s="13" t="inlineStr">
        <is>
          <t>CYIENT</t>
        </is>
      </c>
      <c r="C32" s="14" t="n">
        <v>1079</v>
      </c>
      <c r="D32" s="14" t="n">
        <v>1051.25</v>
      </c>
      <c r="E32" s="14" t="n">
        <v>986.6799999999999</v>
      </c>
      <c r="F32" s="14" t="n">
        <v>974.8200000000001</v>
      </c>
      <c r="G32" s="15">
        <f>HYPERLINK("https://www.tradingview.com/chart/?symbol=NSE:CYIENT","Chart 📈")</f>
        <v/>
      </c>
    </row>
    <row r="33" ht="16" customHeight="1">
      <c r="A33" s="8" t="inlineStr">
        <is>
          <t>NIFTY FINANCIAL SERVICES</t>
        </is>
      </c>
      <c r="B33" s="17" t="inlineStr">
        <is>
          <t>LICHSGFIN</t>
        </is>
      </c>
      <c r="C33" s="18" t="n">
        <v>565</v>
      </c>
      <c r="D33" s="18" t="n">
        <v>546.1</v>
      </c>
      <c r="E33" s="18" t="n">
        <v>534.91</v>
      </c>
      <c r="F33" s="18" t="n">
        <v>533.3099999999999</v>
      </c>
      <c r="G33" s="19">
        <f>HYPERLINK("https://www.tradingview.com/chart/?symbol=NSE:LICHSGFIN","Chart 📈")</f>
        <v/>
      </c>
    </row>
    <row r="34" ht="16" customHeight="1">
      <c r="A34" s="20" t="inlineStr">
        <is>
          <t>NIFTY FINANCIAL SERVICES</t>
        </is>
      </c>
      <c r="B34" s="17" t="inlineStr">
        <is>
          <t>MCX</t>
        </is>
      </c>
      <c r="C34" s="18" t="n">
        <v>3262.6</v>
      </c>
      <c r="D34" s="18" t="n">
        <v>3224.24</v>
      </c>
      <c r="E34" s="18" t="n">
        <v>3095.99</v>
      </c>
      <c r="F34" s="18" t="n">
        <v>2713.27</v>
      </c>
      <c r="G34" s="19">
        <f>HYPERLINK("https://www.tradingview.com/chart/?symbol=NSE:MCX","Chart 📈")</f>
        <v/>
      </c>
    </row>
    <row r="35" ht="16" customHeight="1">
      <c r="A35" s="12" t="inlineStr">
        <is>
          <t>NIFTY FMCG</t>
        </is>
      </c>
      <c r="B35" s="13" t="inlineStr">
        <is>
          <t>MARICO</t>
        </is>
      </c>
      <c r="C35" s="14" t="n">
        <v>830</v>
      </c>
      <c r="D35" s="14" t="n">
        <v>820.38</v>
      </c>
      <c r="E35" s="14" t="n">
        <v>829.46</v>
      </c>
      <c r="F35" s="14" t="n">
        <v>799.9</v>
      </c>
      <c r="G35" s="15">
        <f>HYPERLINK("https://www.tradingview.com/chart/?symbol=NSE:MARICO","Chart 📈")</f>
        <v/>
      </c>
    </row>
    <row r="36" ht="16" customHeight="1">
      <c r="A36" s="8" t="inlineStr">
        <is>
          <t>NIFTY PSU BANK</t>
        </is>
      </c>
      <c r="B36" s="17" t="inlineStr">
        <is>
          <t>PNB</t>
        </is>
      </c>
      <c r="C36" s="18" t="n">
        <v>117</v>
      </c>
      <c r="D36" s="18" t="n">
        <v>116.33</v>
      </c>
      <c r="E36" s="18" t="n">
        <v>114.31</v>
      </c>
      <c r="F36" s="18" t="n">
        <v>111.82</v>
      </c>
      <c r="G36" s="19">
        <f>HYPERLINK("https://www.tradingview.com/chart/?symbol=NSE:PNB","Chart 📈")</f>
        <v/>
      </c>
    </row>
    <row r="37" ht="16" customHeight="1">
      <c r="A37" s="12" t="inlineStr">
        <is>
          <t>NIFTY ENERGY</t>
        </is>
      </c>
      <c r="B37" s="13" t="inlineStr">
        <is>
          <t>CGPOWER</t>
        </is>
      </c>
      <c r="C37" s="14" t="n">
        <v>896.1</v>
      </c>
      <c r="D37" s="14" t="n">
        <v>891.4400000000001</v>
      </c>
      <c r="E37" s="14" t="n">
        <v>889.15</v>
      </c>
      <c r="F37" s="14" t="n">
        <v>830.0700000000001</v>
      </c>
      <c r="G37" s="15">
        <f>HYPERLINK("https://www.tradingview.com/chart/?symbol=NSE:CGPOWER","Chart 📈")</f>
        <v/>
      </c>
    </row>
    <row r="38" ht="16" customHeight="1">
      <c r="A38" s="16" t="inlineStr">
        <is>
          <t>NIFTY ENERGY</t>
        </is>
      </c>
      <c r="B38" s="13" t="inlineStr">
        <is>
          <t>COALINDIA</t>
        </is>
      </c>
      <c r="C38" s="14" t="n">
        <v>428</v>
      </c>
      <c r="D38" s="14" t="n">
        <v>416.48</v>
      </c>
      <c r="E38" s="14" t="n">
        <v>415.62</v>
      </c>
      <c r="F38" s="14" t="n">
        <v>414.84</v>
      </c>
      <c r="G38" s="15">
        <f>HYPERLINK("https://www.tradingview.com/chart/?symbol=NSE:COALINDIA","Chart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2026-09-22T15:35:53Z</dcterms:created>
  <dcterms:modified xmlns:dcterms="http://purl.org/dc/terms/" xmlns:xsi="http://www.w3.org/2001/XMLSchema-instance" xsi:type="dcterms:W3CDTF">2026-09-22T15:35:53Z</dcterms:modified>
</cp:coreProperties>
</file>