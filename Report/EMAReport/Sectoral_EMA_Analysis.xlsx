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ctor EMA Summary" sheetId="1" state="visible" r:id="rId1"/>
    <sheet xmlns:r="http://schemas.openxmlformats.org/officeDocument/2006/relationships"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04-Sep-2026  14:57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METAL</t>
        </is>
      </c>
      <c r="B4" s="5" t="n">
        <v>15</v>
      </c>
      <c r="C4" s="5" t="n">
        <v>9</v>
      </c>
      <c r="D4" s="5" t="n">
        <v>9</v>
      </c>
      <c r="E4" s="5" t="n">
        <v>14</v>
      </c>
      <c r="F4" s="6" t="n">
        <v>0.6</v>
      </c>
      <c r="G4" s="6" t="n">
        <v>0.6</v>
      </c>
      <c r="H4" s="6" t="n">
        <v>0.9329999999999999</v>
      </c>
      <c r="I4" s="7" t="n">
        <v>0.711</v>
      </c>
    </row>
    <row r="5" ht="17" customHeight="1">
      <c r="A5" s="8" t="inlineStr">
        <is>
          <t>NIFTY REALTY</t>
        </is>
      </c>
      <c r="B5" s="9" t="n">
        <v>10</v>
      </c>
      <c r="C5" s="9" t="n">
        <v>5</v>
      </c>
      <c r="D5" s="9" t="n">
        <v>6</v>
      </c>
      <c r="E5" s="9" t="n">
        <v>9</v>
      </c>
      <c r="F5" s="10" t="n">
        <v>0.5</v>
      </c>
      <c r="G5" s="10" t="n">
        <v>0.6</v>
      </c>
      <c r="H5" s="10" t="n">
        <v>0.9</v>
      </c>
      <c r="I5" s="11" t="n">
        <v>0.6667000000000001</v>
      </c>
    </row>
    <row r="6" ht="17" customHeight="1">
      <c r="A6" s="4" t="inlineStr">
        <is>
          <t>NIFTY PSU BANK</t>
        </is>
      </c>
      <c r="B6" s="5" t="n">
        <v>12</v>
      </c>
      <c r="C6" s="5" t="n">
        <v>7</v>
      </c>
      <c r="D6" s="5" t="n">
        <v>5</v>
      </c>
      <c r="E6" s="5" t="n">
        <v>6</v>
      </c>
      <c r="F6" s="6" t="n">
        <v>0.583</v>
      </c>
      <c r="G6" s="6" t="n">
        <v>0.417</v>
      </c>
      <c r="H6" s="6" t="n">
        <v>0.5</v>
      </c>
      <c r="I6" s="7" t="n">
        <v>0.5</v>
      </c>
    </row>
    <row r="7" ht="17" customHeight="1">
      <c r="A7" s="8" t="inlineStr">
        <is>
          <t>NIFTY MIDSMALL IT &amp; TELECOM</t>
        </is>
      </c>
      <c r="B7" s="9" t="n">
        <v>20</v>
      </c>
      <c r="C7" s="9" t="n">
        <v>8</v>
      </c>
      <c r="D7" s="9" t="n">
        <v>11</v>
      </c>
      <c r="E7" s="9" t="n">
        <v>11</v>
      </c>
      <c r="F7" s="10" t="n">
        <v>0.4</v>
      </c>
      <c r="G7" s="10" t="n">
        <v>0.55</v>
      </c>
      <c r="H7" s="10" t="n">
        <v>0.55</v>
      </c>
      <c r="I7" s="11" t="n">
        <v>0.5</v>
      </c>
    </row>
    <row r="8" ht="17" customHeight="1">
      <c r="A8" s="4" t="inlineStr">
        <is>
          <t>NIFTY CONSUMER DURABLES</t>
        </is>
      </c>
      <c r="B8" s="5" t="n">
        <v>15</v>
      </c>
      <c r="C8" s="5" t="n">
        <v>6</v>
      </c>
      <c r="D8" s="5" t="n">
        <v>7</v>
      </c>
      <c r="E8" s="5" t="n">
        <v>7</v>
      </c>
      <c r="F8" s="6" t="n">
        <v>0.4</v>
      </c>
      <c r="G8" s="6" t="n">
        <v>0.467</v>
      </c>
      <c r="H8" s="6" t="n">
        <v>0.467</v>
      </c>
      <c r="I8" s="7" t="n">
        <v>0.4447</v>
      </c>
    </row>
    <row r="9" ht="17" customHeight="1">
      <c r="A9" s="8" t="inlineStr">
        <is>
          <t>NIFTY PHARMA</t>
        </is>
      </c>
      <c r="B9" s="9" t="n">
        <v>20</v>
      </c>
      <c r="C9" s="9" t="n">
        <v>6</v>
      </c>
      <c r="D9" s="9" t="n">
        <v>8</v>
      </c>
      <c r="E9" s="9" t="n">
        <v>11</v>
      </c>
      <c r="F9" s="10" t="n">
        <v>0.3</v>
      </c>
      <c r="G9" s="10" t="n">
        <v>0.4</v>
      </c>
      <c r="H9" s="10" t="n">
        <v>0.55</v>
      </c>
      <c r="I9" s="11" t="n">
        <v>0.4167</v>
      </c>
    </row>
    <row r="10" ht="17" customHeight="1">
      <c r="A10" s="4" t="inlineStr">
        <is>
          <t>NIFTY FINANCIAL SERVICES</t>
        </is>
      </c>
      <c r="B10" s="5" t="n">
        <v>20</v>
      </c>
      <c r="C10" s="5" t="n">
        <v>6</v>
      </c>
      <c r="D10" s="5" t="n">
        <v>9</v>
      </c>
      <c r="E10" s="5" t="n">
        <v>9</v>
      </c>
      <c r="F10" s="6" t="n">
        <v>0.3</v>
      </c>
      <c r="G10" s="6" t="n">
        <v>0.45</v>
      </c>
      <c r="H10" s="6" t="n">
        <v>0.45</v>
      </c>
      <c r="I10" s="7" t="n">
        <v>0.4</v>
      </c>
    </row>
    <row r="11" ht="17" customHeight="1">
      <c r="A11" s="8" t="inlineStr">
        <is>
          <t>NIFTY OIL &amp; GAS</t>
        </is>
      </c>
      <c r="B11" s="9" t="n">
        <v>15</v>
      </c>
      <c r="C11" s="9" t="n">
        <v>5</v>
      </c>
      <c r="D11" s="9" t="n">
        <v>8</v>
      </c>
      <c r="E11" s="9" t="n">
        <v>5</v>
      </c>
      <c r="F11" s="10" t="n">
        <v>0.333</v>
      </c>
      <c r="G11" s="10" t="n">
        <v>0.5329999999999999</v>
      </c>
      <c r="H11" s="10" t="n">
        <v>0.333</v>
      </c>
      <c r="I11" s="11" t="n">
        <v>0.3997</v>
      </c>
    </row>
    <row r="12" ht="17" customHeight="1">
      <c r="A12" s="4" t="inlineStr">
        <is>
          <t>NIFTY AUTO</t>
        </is>
      </c>
      <c r="B12" s="5" t="n">
        <v>15</v>
      </c>
      <c r="C12" s="5" t="n">
        <v>1</v>
      </c>
      <c r="D12" s="5" t="n">
        <v>5</v>
      </c>
      <c r="E12" s="5" t="n">
        <v>10</v>
      </c>
      <c r="F12" s="6" t="n">
        <v>0.067</v>
      </c>
      <c r="G12" s="6" t="n">
        <v>0.333</v>
      </c>
      <c r="H12" s="6" t="n">
        <v>0.667</v>
      </c>
      <c r="I12" s="7" t="n">
        <v>0.3557</v>
      </c>
    </row>
    <row r="13" ht="17" customHeight="1">
      <c r="A13" s="8" t="inlineStr">
        <is>
          <t>NIFTY MEDIA</t>
        </is>
      </c>
      <c r="B13" s="9" t="n">
        <v>10</v>
      </c>
      <c r="C13" s="9" t="n">
        <v>3</v>
      </c>
      <c r="D13" s="9" t="n">
        <v>3</v>
      </c>
      <c r="E13" s="9" t="n">
        <v>4</v>
      </c>
      <c r="F13" s="10" t="n">
        <v>0.3</v>
      </c>
      <c r="G13" s="10" t="n">
        <v>0.3</v>
      </c>
      <c r="H13" s="10" t="n">
        <v>0.4</v>
      </c>
      <c r="I13" s="11" t="n">
        <v>0.3333</v>
      </c>
    </row>
    <row r="14" ht="17" customHeight="1">
      <c r="A14" s="4" t="inlineStr">
        <is>
          <t>NIFTY BANK</t>
        </is>
      </c>
      <c r="B14" s="5" t="n">
        <v>12</v>
      </c>
      <c r="C14" s="5" t="n">
        <v>2</v>
      </c>
      <c r="D14" s="5" t="n">
        <v>3</v>
      </c>
      <c r="E14" s="5" t="n">
        <v>4</v>
      </c>
      <c r="F14" s="6" t="n">
        <v>0.167</v>
      </c>
      <c r="G14" s="6" t="n">
        <v>0.25</v>
      </c>
      <c r="H14" s="6" t="n">
        <v>0.333</v>
      </c>
      <c r="I14" s="7" t="n">
        <v>0.25</v>
      </c>
    </row>
    <row r="15" ht="17" customHeight="1">
      <c r="A15" s="8" t="inlineStr">
        <is>
          <t>NIFTY ENERGY</t>
        </is>
      </c>
      <c r="B15" s="9" t="n">
        <v>40</v>
      </c>
      <c r="C15" s="9" t="n">
        <v>7</v>
      </c>
      <c r="D15" s="9" t="n">
        <v>5</v>
      </c>
      <c r="E15" s="9" t="n">
        <v>13</v>
      </c>
      <c r="F15" s="10" t="n">
        <v>0.175</v>
      </c>
      <c r="G15" s="10" t="n">
        <v>0.125</v>
      </c>
      <c r="H15" s="10" t="n">
        <v>0.325</v>
      </c>
      <c r="I15" s="11" t="n">
        <v>0.2083</v>
      </c>
    </row>
    <row r="16" ht="17" customHeight="1">
      <c r="A16" s="4" t="inlineStr">
        <is>
          <t>NIFTY FMCG</t>
        </is>
      </c>
      <c r="B16" s="5" t="n">
        <v>15</v>
      </c>
      <c r="C16" s="5" t="n">
        <v>1</v>
      </c>
      <c r="D16" s="5" t="n">
        <v>3</v>
      </c>
      <c r="E16" s="5" t="n">
        <v>5</v>
      </c>
      <c r="F16" s="6" t="n">
        <v>0.067</v>
      </c>
      <c r="G16" s="6" t="n">
        <v>0.2</v>
      </c>
      <c r="H16" s="6" t="n">
        <v>0.333</v>
      </c>
      <c r="I16" s="7" t="n">
        <v>0.2</v>
      </c>
    </row>
    <row r="17" ht="17" customHeight="1">
      <c r="A17" s="8" t="inlineStr">
        <is>
          <t>NIFTY IT</t>
        </is>
      </c>
      <c r="B17" s="9" t="n">
        <v>10</v>
      </c>
      <c r="C17" s="9" t="n">
        <v>0</v>
      </c>
      <c r="D17" s="9" t="n">
        <v>3</v>
      </c>
      <c r="E17" s="9" t="n">
        <v>1</v>
      </c>
      <c r="F17" s="10" t="n">
        <v>0</v>
      </c>
      <c r="G17" s="10" t="n">
        <v>0.3</v>
      </c>
      <c r="H17" s="10" t="n">
        <v>0.1</v>
      </c>
      <c r="I17" s="11" t="n">
        <v>0.1333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METAL</t>
        </is>
      </c>
      <c r="B3" s="13" t="inlineStr">
        <is>
          <t>APLAPOLLO</t>
        </is>
      </c>
      <c r="C3" s="14" t="n">
        <v>2250</v>
      </c>
      <c r="D3" s="14" t="n">
        <v>2133.35</v>
      </c>
      <c r="E3" s="14" t="n">
        <v>2021.73</v>
      </c>
      <c r="F3" s="14" t="n">
        <v>1921.26</v>
      </c>
      <c r="G3" s="15">
        <f>HYPERLINK("https://www.tradingview.com/chart/?symbol=NSE:APLAPOLLO","Chart 📈")</f>
        <v/>
      </c>
    </row>
    <row r="4" ht="16" customHeight="1">
      <c r="A4" s="16" t="inlineStr">
        <is>
          <t>NIFTY METAL</t>
        </is>
      </c>
      <c r="B4" s="13" t="inlineStr">
        <is>
          <t>HINDZINC</t>
        </is>
      </c>
      <c r="C4" s="14" t="n">
        <v>601</v>
      </c>
      <c r="D4" s="14" t="n">
        <v>588.39</v>
      </c>
      <c r="E4" s="14" t="n">
        <v>575.14</v>
      </c>
      <c r="F4" s="14" t="n">
        <v>556.72</v>
      </c>
      <c r="G4" s="15">
        <f>HYPERLINK("https://www.tradingview.com/chart/?symbol=NSE:HINDZINC","Chart 📈")</f>
        <v/>
      </c>
    </row>
    <row r="5" ht="16" customHeight="1">
      <c r="A5" s="16" t="inlineStr">
        <is>
          <t>NIFTY METAL</t>
        </is>
      </c>
      <c r="B5" s="13" t="inlineStr">
        <is>
          <t>JINDALSTEL</t>
        </is>
      </c>
      <c r="C5" s="14" t="n">
        <v>1165</v>
      </c>
      <c r="D5" s="14" t="n">
        <v>1140.45</v>
      </c>
      <c r="E5" s="14" t="n">
        <v>1121.35</v>
      </c>
      <c r="F5" s="14" t="n">
        <v>1117.8</v>
      </c>
      <c r="G5" s="15">
        <f>HYPERLINK("https://www.tradingview.com/chart/?symbol=NSE:JINDALSTEL","Chart 📈")</f>
        <v/>
      </c>
    </row>
    <row r="6" ht="16" customHeight="1">
      <c r="A6" s="16" t="inlineStr">
        <is>
          <t>NIFTY METAL</t>
        </is>
      </c>
      <c r="B6" s="13" t="inlineStr">
        <is>
          <t>JSL</t>
        </is>
      </c>
      <c r="C6" s="14" t="n">
        <v>737.85</v>
      </c>
      <c r="D6" s="14" t="n">
        <v>722.48</v>
      </c>
      <c r="E6" s="14" t="n">
        <v>720.61</v>
      </c>
      <c r="F6" s="14" t="n">
        <v>734.5599999999999</v>
      </c>
      <c r="G6" s="15">
        <f>HYPERLINK("https://www.tradingview.com/chart/?symbol=NSE:JSL","Chart 📈")</f>
        <v/>
      </c>
    </row>
    <row r="7" ht="16" customHeight="1">
      <c r="A7" s="16" t="inlineStr">
        <is>
          <t>NIFTY METAL</t>
        </is>
      </c>
      <c r="B7" s="13" t="inlineStr">
        <is>
          <t>JSWSTEEL</t>
        </is>
      </c>
      <c r="C7" s="14" t="n">
        <v>1325</v>
      </c>
      <c r="D7" s="14" t="n">
        <v>1305.31</v>
      </c>
      <c r="E7" s="14" t="n">
        <v>1285.09</v>
      </c>
      <c r="F7" s="14" t="n">
        <v>1227.5</v>
      </c>
      <c r="G7" s="15">
        <f>HYPERLINK("https://www.tradingview.com/chart/?symbol=NSE:JSWSTEEL","Chart 📈")</f>
        <v/>
      </c>
    </row>
    <row r="8" ht="16" customHeight="1">
      <c r="A8" s="16" t="inlineStr">
        <is>
          <t>NIFTY METAL</t>
        </is>
      </c>
      <c r="B8" s="13" t="inlineStr">
        <is>
          <t>RATNAMANI</t>
        </is>
      </c>
      <c r="C8" s="14" t="n">
        <v>2727</v>
      </c>
      <c r="D8" s="14" t="n">
        <v>2546.84</v>
      </c>
      <c r="E8" s="14" t="n">
        <v>2504.65</v>
      </c>
      <c r="F8" s="14" t="n">
        <v>2454.47</v>
      </c>
      <c r="G8" s="15">
        <f>HYPERLINK("https://www.tradingview.com/chart/?symbol=NSE:RATNAMANI","Chart 📈")</f>
        <v/>
      </c>
    </row>
    <row r="9" ht="16" customHeight="1">
      <c r="A9" s="16" t="inlineStr">
        <is>
          <t>NIFTY METAL</t>
        </is>
      </c>
      <c r="B9" s="13" t="inlineStr">
        <is>
          <t>SAIL</t>
        </is>
      </c>
      <c r="C9" s="14" t="n">
        <v>196.8</v>
      </c>
      <c r="D9" s="14" t="n">
        <v>185.8</v>
      </c>
      <c r="E9" s="14" t="n">
        <v>179.23</v>
      </c>
      <c r="F9" s="14" t="n">
        <v>166.24</v>
      </c>
      <c r="G9" s="15">
        <f>HYPERLINK("https://www.tradingview.com/chart/?symbol=NSE:SAIL","Chart 📈")</f>
        <v/>
      </c>
    </row>
    <row r="10" ht="16" customHeight="1">
      <c r="A10" s="16" t="inlineStr">
        <is>
          <t>NIFTY METAL</t>
        </is>
      </c>
      <c r="B10" s="13" t="inlineStr">
        <is>
          <t>TATASTEEL</t>
        </is>
      </c>
      <c r="C10" s="14" t="n">
        <v>188.79</v>
      </c>
      <c r="D10" s="14" t="n">
        <v>186.02</v>
      </c>
      <c r="E10" s="14" t="n">
        <v>188.28</v>
      </c>
      <c r="F10" s="14" t="n">
        <v>188.28</v>
      </c>
      <c r="G10" s="15">
        <f>HYPERLINK("https://www.tradingview.com/chart/?symbol=NSE:TATASTEEL","Chart 📈")</f>
        <v/>
      </c>
    </row>
    <row r="11" ht="16" customHeight="1">
      <c r="A11" s="16" t="inlineStr">
        <is>
          <t>NIFTY METAL</t>
        </is>
      </c>
      <c r="B11" s="13" t="inlineStr">
        <is>
          <t>WELCORP</t>
        </is>
      </c>
      <c r="C11" s="14" t="n">
        <v>2590.6</v>
      </c>
      <c r="D11" s="14" t="n">
        <v>2253.92</v>
      </c>
      <c r="E11" s="14" t="n">
        <v>1937.84</v>
      </c>
      <c r="F11" s="14" t="n">
        <v>1372.7</v>
      </c>
      <c r="G11" s="15">
        <f>HYPERLINK("https://www.tradingview.com/chart/?symbol=NSE:WELCORP","Chart 📈")</f>
        <v/>
      </c>
    </row>
    <row r="12" ht="16" customHeight="1">
      <c r="A12" s="8" t="inlineStr">
        <is>
          <t>NIFTY REALTY</t>
        </is>
      </c>
      <c r="B12" s="17" t="inlineStr">
        <is>
          <t>BRIGADE</t>
        </is>
      </c>
      <c r="C12" s="18" t="n">
        <v>696.1</v>
      </c>
      <c r="D12" s="18" t="n">
        <v>636.99</v>
      </c>
      <c r="E12" s="18" t="n">
        <v>596.64</v>
      </c>
      <c r="F12" s="18" t="n">
        <v>585.22</v>
      </c>
      <c r="G12" s="19">
        <f>HYPERLINK("https://www.tradingview.com/chart/?symbol=NSE:BRIGADE","Chart 📈")</f>
        <v/>
      </c>
    </row>
    <row r="13" ht="16" customHeight="1">
      <c r="A13" s="20" t="inlineStr">
        <is>
          <t>NIFTY REALTY</t>
        </is>
      </c>
      <c r="B13" s="17" t="inlineStr">
        <is>
          <t>DLF</t>
        </is>
      </c>
      <c r="C13" s="18" t="n">
        <v>681.9</v>
      </c>
      <c r="D13" s="18" t="n">
        <v>673.13</v>
      </c>
      <c r="E13" s="18" t="n">
        <v>655.96</v>
      </c>
      <c r="F13" s="18" t="n">
        <v>643.87</v>
      </c>
      <c r="G13" s="19">
        <f>HYPERLINK("https://www.tradingview.com/chart/?symbol=NSE:DLF","Chart 📈")</f>
        <v/>
      </c>
    </row>
    <row r="14" ht="16" customHeight="1">
      <c r="A14" s="20" t="inlineStr">
        <is>
          <t>NIFTY REALTY</t>
        </is>
      </c>
      <c r="B14" s="17" t="inlineStr">
        <is>
          <t>OBEROIRLTY</t>
        </is>
      </c>
      <c r="C14" s="18" t="n">
        <v>1875.6</v>
      </c>
      <c r="D14" s="18" t="n">
        <v>1865.83</v>
      </c>
      <c r="E14" s="18" t="n">
        <v>1831.22</v>
      </c>
      <c r="F14" s="18" t="n">
        <v>1716.62</v>
      </c>
      <c r="G14" s="19">
        <f>HYPERLINK("https://www.tradingview.com/chart/?symbol=NSE:OBEROIRLTY","Chart 📈")</f>
        <v/>
      </c>
    </row>
    <row r="15" ht="16" customHeight="1">
      <c r="A15" s="20" t="inlineStr">
        <is>
          <t>NIFTY REALTY</t>
        </is>
      </c>
      <c r="B15" s="17" t="inlineStr">
        <is>
          <t>PHOENIXLTD</t>
        </is>
      </c>
      <c r="C15" s="18" t="n">
        <v>1942</v>
      </c>
      <c r="D15" s="18" t="n">
        <v>1928.86</v>
      </c>
      <c r="E15" s="18" t="n">
        <v>1928.77</v>
      </c>
      <c r="F15" s="18" t="n">
        <v>1811.7</v>
      </c>
      <c r="G15" s="19">
        <f>HYPERLINK("https://www.tradingview.com/chart/?symbol=NSE:PHOENIXLTD","Chart 📈")</f>
        <v/>
      </c>
    </row>
    <row r="16" ht="16" customHeight="1">
      <c r="A16" s="20" t="inlineStr">
        <is>
          <t>NIFTY REALTY</t>
        </is>
      </c>
      <c r="B16" s="17" t="inlineStr">
        <is>
          <t>RAYMOND</t>
        </is>
      </c>
      <c r="C16" s="18" t="n">
        <v>740.85</v>
      </c>
      <c r="D16" s="18" t="n">
        <v>651.55</v>
      </c>
      <c r="E16" s="18" t="n">
        <v>618.89</v>
      </c>
      <c r="F16" s="18" t="n">
        <v>544.83</v>
      </c>
      <c r="G16" s="19">
        <f>HYPERLINK("https://www.tradingview.com/chart/?symbol=NSE:RAYMOND","Chart 📈")</f>
        <v/>
      </c>
    </row>
    <row r="17" ht="16" customHeight="1">
      <c r="A17" s="12" t="inlineStr">
        <is>
          <t>NIFTY PSU BANK</t>
        </is>
      </c>
      <c r="B17" s="13" t="inlineStr">
        <is>
          <t>BANKINDIA</t>
        </is>
      </c>
      <c r="C17" s="14" t="n">
        <v>145</v>
      </c>
      <c r="D17" s="14" t="n">
        <v>143.33</v>
      </c>
      <c r="E17" s="14" t="n">
        <v>142.8</v>
      </c>
      <c r="F17" s="14" t="n">
        <v>139.9</v>
      </c>
      <c r="G17" s="15">
        <f>HYPERLINK("https://www.tradingview.com/chart/?symbol=NSE:BANKINDIA","Chart 📈")</f>
        <v/>
      </c>
    </row>
    <row r="18" ht="16" customHeight="1">
      <c r="A18" s="16" t="inlineStr">
        <is>
          <t>NIFTY PSU BANK</t>
        </is>
      </c>
      <c r="B18" s="13" t="inlineStr">
        <is>
          <t>INDIANB</t>
        </is>
      </c>
      <c r="C18" s="14" t="n">
        <v>879.7</v>
      </c>
      <c r="D18" s="14" t="n">
        <v>877.65</v>
      </c>
      <c r="E18" s="14" t="n">
        <v>862.79</v>
      </c>
      <c r="F18" s="14" t="n">
        <v>832.28</v>
      </c>
      <c r="G18" s="15">
        <f>HYPERLINK("https://www.tradingview.com/chart/?symbol=NSE:INDIANB","Chart 📈")</f>
        <v/>
      </c>
    </row>
    <row r="19" ht="16" customHeight="1">
      <c r="A19" s="16" t="inlineStr">
        <is>
          <t>NIFTY PSU BANK</t>
        </is>
      </c>
      <c r="B19" s="13" t="inlineStr">
        <is>
          <t>MAHABANK</t>
        </is>
      </c>
      <c r="C19" s="14" t="n">
        <v>85.95</v>
      </c>
      <c r="D19" s="14" t="n">
        <v>82.58</v>
      </c>
      <c r="E19" s="14" t="n">
        <v>81.78</v>
      </c>
      <c r="F19" s="14" t="n">
        <v>73.69</v>
      </c>
      <c r="G19" s="15">
        <f>HYPERLINK("https://www.tradingview.com/chart/?symbol=NSE:MAHABANK","Chart 📈")</f>
        <v/>
      </c>
    </row>
    <row r="20" ht="16" customHeight="1">
      <c r="A20" s="16" t="inlineStr">
        <is>
          <t>NIFTY PSU BANK</t>
        </is>
      </c>
      <c r="B20" s="13" t="inlineStr">
        <is>
          <t>PNB</t>
        </is>
      </c>
      <c r="C20" s="14" t="n">
        <v>117</v>
      </c>
      <c r="D20" s="14" t="n">
        <v>115.56</v>
      </c>
      <c r="E20" s="14" t="n">
        <v>112.93</v>
      </c>
      <c r="F20" s="14" t="n">
        <v>110.42</v>
      </c>
      <c r="G20" s="15">
        <f>HYPERLINK("https://www.tradingview.com/chart/?symbol=NSE:PNB","Chart 📈")</f>
        <v/>
      </c>
    </row>
    <row r="21" ht="16" customHeight="1">
      <c r="A21" s="16" t="inlineStr">
        <is>
          <t>NIFTY PSU BANK</t>
        </is>
      </c>
      <c r="B21" s="13" t="inlineStr">
        <is>
          <t>UNIONBANK</t>
        </is>
      </c>
      <c r="C21" s="14" t="n">
        <v>187.22</v>
      </c>
      <c r="D21" s="14" t="n">
        <v>184.59</v>
      </c>
      <c r="E21" s="14" t="n">
        <v>178.73</v>
      </c>
      <c r="F21" s="14" t="n">
        <v>165.97</v>
      </c>
      <c r="G21" s="15">
        <f>HYPERLINK("https://www.tradingview.com/chart/?symbol=NSE:UNIONBANK","Chart 📈")</f>
        <v/>
      </c>
    </row>
    <row r="22" ht="16" customHeight="1">
      <c r="A22" s="8" t="inlineStr">
        <is>
          <t>NIFTY MIDSMALL IT &amp; TELECOM</t>
        </is>
      </c>
      <c r="B22" s="17" t="inlineStr">
        <is>
          <t>COFORGE</t>
        </is>
      </c>
      <c r="C22" s="18" t="n">
        <v>1972.8</v>
      </c>
      <c r="D22" s="18" t="n">
        <v>1883</v>
      </c>
      <c r="E22" s="18" t="n">
        <v>1734.84</v>
      </c>
      <c r="F22" s="18" t="n">
        <v>1564.83</v>
      </c>
      <c r="G22" s="19">
        <f>HYPERLINK("https://www.tradingview.com/chart/?symbol=NSE:COFORGE","Chart 📈")</f>
        <v/>
      </c>
    </row>
    <row r="23" ht="16" customHeight="1">
      <c r="A23" s="20" t="inlineStr">
        <is>
          <t>NIFTY MIDSMALL IT &amp; TELECOM</t>
        </is>
      </c>
      <c r="B23" s="17" t="inlineStr">
        <is>
          <t>CYIENT</t>
        </is>
      </c>
      <c r="C23" s="18" t="n">
        <v>1101.8</v>
      </c>
      <c r="D23" s="18" t="n">
        <v>1009.83</v>
      </c>
      <c r="E23" s="18" t="n">
        <v>938.97</v>
      </c>
      <c r="F23" s="18" t="n">
        <v>962.65</v>
      </c>
      <c r="G23" s="19">
        <f>HYPERLINK("https://www.tradingview.com/chart/?symbol=NSE:CYIENT","Chart 📈")</f>
        <v/>
      </c>
    </row>
    <row r="24" ht="16" customHeight="1">
      <c r="A24" s="20" t="inlineStr">
        <is>
          <t>NIFTY MIDSMALL IT &amp; TELECOM</t>
        </is>
      </c>
      <c r="B24" s="17" t="inlineStr">
        <is>
          <t>HFCL</t>
        </is>
      </c>
      <c r="C24" s="18" t="n">
        <v>231.44</v>
      </c>
      <c r="D24" s="18" t="n">
        <v>228.75</v>
      </c>
      <c r="E24" s="18" t="n">
        <v>214.22</v>
      </c>
      <c r="F24" s="18" t="n">
        <v>150.86</v>
      </c>
      <c r="G24" s="19">
        <f>HYPERLINK("https://www.tradingview.com/chart/?symbol=NSE:HFCL","Chart 📈")</f>
        <v/>
      </c>
    </row>
    <row r="25" ht="16" customHeight="1">
      <c r="A25" s="20" t="inlineStr">
        <is>
          <t>NIFTY MIDSMALL IT &amp; TELECOM</t>
        </is>
      </c>
      <c r="B25" s="17" t="inlineStr">
        <is>
          <t>IDEA</t>
        </is>
      </c>
      <c r="C25" s="18" t="n">
        <v>15.02</v>
      </c>
      <c r="D25" s="18" t="n">
        <v>14.24</v>
      </c>
      <c r="E25" s="18" t="n">
        <v>13.84</v>
      </c>
      <c r="F25" s="18" t="n">
        <v>12</v>
      </c>
      <c r="G25" s="19">
        <f>HYPERLINK("https://www.tradingview.com/chart/?symbol=NSE:IDEA","Chart 📈")</f>
        <v/>
      </c>
    </row>
    <row r="26" ht="16" customHeight="1">
      <c r="A26" s="20" t="inlineStr">
        <is>
          <t>NIFTY MIDSMALL IT &amp; TELECOM</t>
        </is>
      </c>
      <c r="B26" s="17" t="inlineStr">
        <is>
          <t>OFSS</t>
        </is>
      </c>
      <c r="C26" s="18" t="n">
        <v>12058</v>
      </c>
      <c r="D26" s="18" t="n">
        <v>11893.75</v>
      </c>
      <c r="E26" s="18" t="n">
        <v>11394.88</v>
      </c>
      <c r="F26" s="18" t="n">
        <v>9583.92</v>
      </c>
      <c r="G26" s="19">
        <f>HYPERLINK("https://www.tradingview.com/chart/?symbol=NSE:OFSS","Chart 📈")</f>
        <v/>
      </c>
    </row>
    <row r="27" ht="16" customHeight="1">
      <c r="A27" s="20" t="inlineStr">
        <is>
          <t>NIFTY MIDSMALL IT &amp; TELECOM</t>
        </is>
      </c>
      <c r="B27" s="17" t="inlineStr">
        <is>
          <t>PERSISTENT</t>
        </is>
      </c>
      <c r="C27" s="18" t="n">
        <v>5643</v>
      </c>
      <c r="D27" s="18" t="n">
        <v>5604.57</v>
      </c>
      <c r="E27" s="18" t="n">
        <v>5406.93</v>
      </c>
      <c r="F27" s="18" t="n">
        <v>5307.65</v>
      </c>
      <c r="G27" s="19">
        <f>HYPERLINK("https://www.tradingview.com/chart/?symbol=NSE:PERSISTENT","Chart 📈")</f>
        <v/>
      </c>
    </row>
    <row r="28" ht="16" customHeight="1">
      <c r="A28" s="20" t="inlineStr">
        <is>
          <t>NIFTY MIDSMALL IT &amp; TELECOM</t>
        </is>
      </c>
      <c r="B28" s="17" t="inlineStr">
        <is>
          <t>TATACOMM</t>
        </is>
      </c>
      <c r="C28" s="18" t="n">
        <v>1756.1</v>
      </c>
      <c r="D28" s="18" t="n">
        <v>1718.55</v>
      </c>
      <c r="E28" s="18" t="n">
        <v>1753.97</v>
      </c>
      <c r="F28" s="18" t="n">
        <v>1718.15</v>
      </c>
      <c r="G28" s="19">
        <f>HYPERLINK("https://www.tradingview.com/chart/?symbol=NSE:TATACOMM","Chart 📈")</f>
        <v/>
      </c>
    </row>
    <row r="29" ht="16" customHeight="1">
      <c r="A29" s="20" t="inlineStr">
        <is>
          <t>NIFTY MIDSMALL IT &amp; TELECOM</t>
        </is>
      </c>
      <c r="B29" s="17" t="inlineStr">
        <is>
          <t>TEJASNET</t>
        </is>
      </c>
      <c r="C29" s="18" t="n">
        <v>614.15</v>
      </c>
      <c r="D29" s="18" t="n">
        <v>540.17</v>
      </c>
      <c r="E29" s="18" t="n">
        <v>534.05</v>
      </c>
      <c r="F29" s="18" t="n">
        <v>509.53</v>
      </c>
      <c r="G29" s="19">
        <f>HYPERLINK("https://www.tradingview.com/chart/?symbol=NSE:TEJASNET","Chart 📈")</f>
        <v/>
      </c>
    </row>
    <row r="30" ht="16" customHeight="1">
      <c r="A30" s="12" t="inlineStr">
        <is>
          <t>NIFTY CONSUMER DURABLES</t>
        </is>
      </c>
      <c r="B30" s="13" t="inlineStr">
        <is>
          <t>AMBER</t>
        </is>
      </c>
      <c r="C30" s="14" t="n">
        <v>7474</v>
      </c>
      <c r="D30" s="14" t="n">
        <v>7438.7</v>
      </c>
      <c r="E30" s="14" t="n">
        <v>7465.1</v>
      </c>
      <c r="F30" s="14" t="n">
        <v>7452.62</v>
      </c>
      <c r="G30" s="15">
        <f>HYPERLINK("https://www.tradingview.com/chart/?symbol=NSE:AMBER","Chart 📈")</f>
        <v/>
      </c>
    </row>
    <row r="31" ht="16" customHeight="1">
      <c r="A31" s="16" t="inlineStr">
        <is>
          <t>NIFTY CONSUMER DURABLES</t>
        </is>
      </c>
      <c r="B31" s="13" t="inlineStr">
        <is>
          <t>KAJARIACER</t>
        </is>
      </c>
      <c r="C31" s="14" t="n">
        <v>1239.6</v>
      </c>
      <c r="D31" s="14" t="n">
        <v>1227.35</v>
      </c>
      <c r="E31" s="14" t="n">
        <v>1206.74</v>
      </c>
      <c r="F31" s="14" t="n">
        <v>1141.8</v>
      </c>
      <c r="G31" s="15">
        <f>HYPERLINK("https://www.tradingview.com/chart/?symbol=NSE:KAJARIACER","Chart 📈")</f>
        <v/>
      </c>
    </row>
    <row r="32" ht="16" customHeight="1">
      <c r="A32" s="16" t="inlineStr">
        <is>
          <t>NIFTY CONSUMER DURABLES</t>
        </is>
      </c>
      <c r="B32" s="13" t="inlineStr">
        <is>
          <t>KALYANKJIL</t>
        </is>
      </c>
      <c r="C32" s="14" t="n">
        <v>598.8</v>
      </c>
      <c r="D32" s="14" t="n">
        <v>595.58</v>
      </c>
      <c r="E32" s="14" t="n">
        <v>553.9400000000001</v>
      </c>
      <c r="F32" s="14" t="n">
        <v>477.51</v>
      </c>
      <c r="G32" s="15">
        <f>HYPERLINK("https://www.tradingview.com/chart/?symbol=NSE:KALYANKJIL","Chart 📈")</f>
        <v/>
      </c>
    </row>
    <row r="33" ht="16" customHeight="1">
      <c r="A33" s="16" t="inlineStr">
        <is>
          <t>NIFTY CONSUMER DURABLES</t>
        </is>
      </c>
      <c r="B33" s="13" t="inlineStr">
        <is>
          <t>VGUARD</t>
        </is>
      </c>
      <c r="C33" s="14" t="n">
        <v>335.4</v>
      </c>
      <c r="D33" s="14" t="n">
        <v>332.08</v>
      </c>
      <c r="E33" s="14" t="n">
        <v>322.18</v>
      </c>
      <c r="F33" s="14" t="n">
        <v>324.09</v>
      </c>
      <c r="G33" s="15">
        <f>HYPERLINK("https://www.tradingview.com/chart/?symbol=NSE:VGUARD","Chart 📈")</f>
        <v/>
      </c>
    </row>
    <row r="34" ht="16" customHeight="1">
      <c r="A34" s="8" t="inlineStr">
        <is>
          <t>NIFTY PHARMA</t>
        </is>
      </c>
      <c r="B34" s="17" t="inlineStr">
        <is>
          <t>AUROPHARMA</t>
        </is>
      </c>
      <c r="C34" s="18" t="n">
        <v>1653.1</v>
      </c>
      <c r="D34" s="18" t="n">
        <v>1636.52</v>
      </c>
      <c r="E34" s="18" t="n">
        <v>1594.03</v>
      </c>
      <c r="F34" s="18" t="n">
        <v>1411.37</v>
      </c>
      <c r="G34" s="19">
        <f>HYPERLINK("https://www.tradingview.com/chart/?symbol=NSE:AUROPHARMA","Chart 📈")</f>
        <v/>
      </c>
    </row>
    <row r="35" ht="16" customHeight="1">
      <c r="A35" s="20" t="inlineStr">
        <is>
          <t>NIFTY PHARMA</t>
        </is>
      </c>
      <c r="B35" s="17" t="inlineStr">
        <is>
          <t>DIVISLAB</t>
        </is>
      </c>
      <c r="C35" s="18" t="n">
        <v>9100</v>
      </c>
      <c r="D35" s="18" t="n">
        <v>8799.309999999999</v>
      </c>
      <c r="E35" s="18" t="n">
        <v>8137.67</v>
      </c>
      <c r="F35" s="18" t="n">
        <v>7024.64</v>
      </c>
      <c r="G35" s="19">
        <f>HYPERLINK("https://www.tradingview.com/chart/?symbol=NSE:DIVISLAB","Chart 📈")</f>
        <v/>
      </c>
    </row>
    <row r="36" ht="16" customHeight="1">
      <c r="A36" s="20" t="inlineStr">
        <is>
          <t>NIFTY PHARMA</t>
        </is>
      </c>
      <c r="B36" s="17" t="inlineStr">
        <is>
          <t>GLAND</t>
        </is>
      </c>
      <c r="C36" s="18" t="n">
        <v>2932.4</v>
      </c>
      <c r="D36" s="18" t="n">
        <v>2824.99</v>
      </c>
      <c r="E36" s="18" t="n">
        <v>2644.88</v>
      </c>
      <c r="F36" s="18" t="n">
        <v>2199.96</v>
      </c>
      <c r="G36" s="19">
        <f>HYPERLINK("https://www.tradingview.com/chart/?symbol=NSE:GLAND","Chart 📈")</f>
        <v/>
      </c>
    </row>
    <row r="37" ht="16" customHeight="1">
      <c r="A37" s="20" t="inlineStr">
        <is>
          <t>NIFTY PHARMA</t>
        </is>
      </c>
      <c r="B37" s="17" t="inlineStr">
        <is>
          <t>GLENMARK</t>
        </is>
      </c>
      <c r="C37" s="18" t="n">
        <v>2437.2</v>
      </c>
      <c r="D37" s="18" t="n">
        <v>2388.42</v>
      </c>
      <c r="E37" s="18" t="n">
        <v>2317.99</v>
      </c>
      <c r="F37" s="18" t="n">
        <v>2189.92</v>
      </c>
      <c r="G37" s="19">
        <f>HYPERLINK("https://www.tradingview.com/chart/?symbol=NSE:GLENMARK","Chart 📈")</f>
        <v/>
      </c>
    </row>
    <row r="38" ht="16" customHeight="1">
      <c r="A38" s="20" t="inlineStr">
        <is>
          <t>NIFTY PHARMA</t>
        </is>
      </c>
      <c r="B38" s="17" t="inlineStr">
        <is>
          <t>GRANULES</t>
        </is>
      </c>
      <c r="C38" s="18" t="n">
        <v>848.3</v>
      </c>
      <c r="D38" s="18" t="n">
        <v>844.0599999999999</v>
      </c>
      <c r="E38" s="18" t="n">
        <v>832.9299999999999</v>
      </c>
      <c r="F38" s="18" t="n">
        <v>721.22</v>
      </c>
      <c r="G38" s="19">
        <f>HYPERLINK("https://www.tradingview.com/chart/?symbol=NSE:GRANULES","Chart 📈")</f>
        <v/>
      </c>
    </row>
    <row r="39" ht="16" customHeight="1">
      <c r="A39" s="20" t="inlineStr">
        <is>
          <t>NIFTY PHARMA</t>
        </is>
      </c>
      <c r="B39" s="17" t="inlineStr">
        <is>
          <t>IPCALAB</t>
        </is>
      </c>
      <c r="C39" s="18" t="n">
        <v>1965.3</v>
      </c>
      <c r="D39" s="18" t="n">
        <v>1903.14</v>
      </c>
      <c r="E39" s="18" t="n">
        <v>1815.97</v>
      </c>
      <c r="F39" s="18" t="n">
        <v>1615.7</v>
      </c>
      <c r="G39" s="19">
        <f>HYPERLINK("https://www.tradingview.com/chart/?symbol=NSE:IPCALAB","Chart 📈")</f>
        <v/>
      </c>
    </row>
    <row r="40" ht="16" customHeight="1">
      <c r="A40" s="12" t="inlineStr">
        <is>
          <t>NIFTY FINANCIAL SERVICES</t>
        </is>
      </c>
      <c r="B40" s="13" t="inlineStr">
        <is>
          <t>AXISBANK</t>
        </is>
      </c>
      <c r="C40" s="14" t="n">
        <v>1273</v>
      </c>
      <c r="D40" s="14" t="n">
        <v>1256.46</v>
      </c>
      <c r="E40" s="14" t="n">
        <v>1266.06</v>
      </c>
      <c r="F40" s="14" t="n">
        <v>1259.95</v>
      </c>
      <c r="G40" s="15">
        <f>HYPERLINK("https://www.tradingview.com/chart/?symbol=NSE:AXISBANK","Chart 📈")</f>
        <v/>
      </c>
    </row>
    <row r="41" ht="16" customHeight="1">
      <c r="A41" s="16" t="inlineStr">
        <is>
          <t>NIFTY FINANCIAL SERVICES</t>
        </is>
      </c>
      <c r="B41" s="13" t="inlineStr">
        <is>
          <t>KOTAKBANK</t>
        </is>
      </c>
      <c r="C41" s="14" t="n">
        <v>424.5</v>
      </c>
      <c r="D41" s="14" t="n">
        <v>409.72</v>
      </c>
      <c r="E41" s="14" t="n">
        <v>399.63</v>
      </c>
      <c r="F41" s="14" t="n">
        <v>396.3</v>
      </c>
      <c r="G41" s="15">
        <f>HYPERLINK("https://www.tradingview.com/chart/?symbol=NSE:KOTAKBANK","Chart 📈")</f>
        <v/>
      </c>
    </row>
    <row r="42" ht="16" customHeight="1">
      <c r="A42" s="16" t="inlineStr">
        <is>
          <t>NIFTY FINANCIAL SERVICES</t>
        </is>
      </c>
      <c r="B42" s="13" t="inlineStr">
        <is>
          <t>LICHSGFIN</t>
        </is>
      </c>
      <c r="C42" s="14" t="n">
        <v>562.05</v>
      </c>
      <c r="D42" s="14" t="n">
        <v>524.62</v>
      </c>
      <c r="E42" s="14" t="n">
        <v>522.47</v>
      </c>
      <c r="F42" s="14" t="n">
        <v>527.75</v>
      </c>
      <c r="G42" s="15">
        <f>HYPERLINK("https://www.tradingview.com/chart/?symbol=NSE:LICHSGFIN","Chart 📈")</f>
        <v/>
      </c>
    </row>
    <row r="43" ht="16" customHeight="1">
      <c r="A43" s="16" t="inlineStr">
        <is>
          <t>NIFTY FINANCIAL SERVICES</t>
        </is>
      </c>
      <c r="B43" s="13" t="inlineStr">
        <is>
          <t>MCX</t>
        </is>
      </c>
      <c r="C43" s="14" t="n">
        <v>3275.4</v>
      </c>
      <c r="D43" s="14" t="n">
        <v>3141.18</v>
      </c>
      <c r="E43" s="14" t="n">
        <v>2990.97</v>
      </c>
      <c r="F43" s="14" t="n">
        <v>2636.21</v>
      </c>
      <c r="G43" s="15">
        <f>HYPERLINK("https://www.tradingview.com/chart/?symbol=NSE:MCX","Chart 📈")</f>
        <v/>
      </c>
    </row>
    <row r="44" ht="16" customHeight="1">
      <c r="A44" s="8" t="inlineStr">
        <is>
          <t>NIFTY OIL &amp; GAS</t>
        </is>
      </c>
      <c r="B44" s="17" t="inlineStr">
        <is>
          <t>CASTROLIND</t>
        </is>
      </c>
      <c r="C44" s="18" t="n">
        <v>190.27</v>
      </c>
      <c r="D44" s="18" t="n">
        <v>186.09</v>
      </c>
      <c r="E44" s="18" t="n">
        <v>183.51</v>
      </c>
      <c r="F44" s="18" t="n">
        <v>180.49</v>
      </c>
      <c r="G44" s="19">
        <f>HYPERLINK("https://www.tradingview.com/chart/?symbol=NSE:CASTROLIND","Chart 📈")</f>
        <v/>
      </c>
    </row>
    <row r="45" ht="16" customHeight="1">
      <c r="A45" s="20" t="inlineStr">
        <is>
          <t>NIFTY OIL &amp; GAS</t>
        </is>
      </c>
      <c r="B45" s="17" t="inlineStr">
        <is>
          <t>OIL</t>
        </is>
      </c>
      <c r="C45" s="18" t="n">
        <v>488.3</v>
      </c>
      <c r="D45" s="18" t="n">
        <v>475.45</v>
      </c>
      <c r="E45" s="18" t="n">
        <v>463.08</v>
      </c>
      <c r="F45" s="18" t="n">
        <v>448.48</v>
      </c>
      <c r="G45" s="19">
        <f>HYPERLINK("https://www.tradingview.com/chart/?symbol=NSE:OIL","Chart 📈")</f>
        <v/>
      </c>
    </row>
    <row r="46" ht="16" customHeight="1">
      <c r="A46" s="12" t="inlineStr">
        <is>
          <t>NIFTY AUTO</t>
        </is>
      </c>
      <c r="B46" s="13" t="inlineStr">
        <is>
          <t>BAJAJ-AUTO</t>
        </is>
      </c>
      <c r="C46" s="14" t="n">
        <v>11919</v>
      </c>
      <c r="D46" s="14" t="n">
        <v>11800.05</v>
      </c>
      <c r="E46" s="14" t="n">
        <v>11311.29</v>
      </c>
      <c r="F46" s="14" t="n">
        <v>10193.31</v>
      </c>
      <c r="G46" s="15">
        <f>HYPERLINK("https://www.tradingview.com/chart/?symbol=NSE:BAJAJ-AUTO","Chart 📈")</f>
        <v/>
      </c>
    </row>
    <row r="47" ht="16" customHeight="1">
      <c r="A47" s="8" t="inlineStr">
        <is>
          <t>NIFTY MEDIA</t>
        </is>
      </c>
      <c r="B47" s="17" t="inlineStr">
        <is>
          <t>NAZARA</t>
        </is>
      </c>
      <c r="C47" s="18" t="n">
        <v>368.65</v>
      </c>
      <c r="D47" s="18" t="n">
        <v>356.89</v>
      </c>
      <c r="E47" s="18" t="n">
        <v>336.16</v>
      </c>
      <c r="F47" s="18" t="n">
        <v>295.55</v>
      </c>
      <c r="G47" s="19">
        <f>HYPERLINK("https://www.tradingview.com/chart/?symbol=NSE:NAZARA","Chart 📈")</f>
        <v/>
      </c>
    </row>
    <row r="48" ht="16" customHeight="1">
      <c r="A48" s="20" t="inlineStr">
        <is>
          <t>NIFTY MEDIA</t>
        </is>
      </c>
      <c r="B48" s="17" t="inlineStr">
        <is>
          <t>PVRINOX</t>
        </is>
      </c>
      <c r="C48" s="18" t="n">
        <v>1227.2</v>
      </c>
      <c r="D48" s="18" t="n">
        <v>1202.38</v>
      </c>
      <c r="E48" s="18" t="n">
        <v>1137.29</v>
      </c>
      <c r="F48" s="18" t="n">
        <v>1066.59</v>
      </c>
      <c r="G48" s="19">
        <f>HYPERLINK("https://www.tradingview.com/chart/?symbol=NSE:PVRINOX","Chart 📈")</f>
        <v/>
      </c>
    </row>
    <row r="49" ht="16" customHeight="1">
      <c r="A49" s="12" t="inlineStr">
        <is>
          <t>NIFTY BANK</t>
        </is>
      </c>
      <c r="B49" s="13" t="inlineStr">
        <is>
          <t>IDFCFIRSTB</t>
        </is>
      </c>
      <c r="C49" s="14" t="n">
        <v>86.70999999999999</v>
      </c>
      <c r="D49" s="14" t="n">
        <v>85.15000000000001</v>
      </c>
      <c r="E49" s="14" t="n">
        <v>82.76000000000001</v>
      </c>
      <c r="F49" s="14" t="n">
        <v>77.3</v>
      </c>
      <c r="G49" s="15">
        <f>HYPERLINK("https://www.tradingview.com/chart/?symbol=NSE:IDFCFIRSTB","Chart 📈")</f>
        <v/>
      </c>
    </row>
    <row r="50" ht="16" customHeight="1">
      <c r="A50" s="16" t="inlineStr">
        <is>
          <t>NIFTY BANK</t>
        </is>
      </c>
      <c r="B50" s="13" t="inlineStr">
        <is>
          <t>INDUSINDBK</t>
        </is>
      </c>
      <c r="C50" s="14" t="n">
        <v>1008.5</v>
      </c>
      <c r="D50" s="14" t="n">
        <v>1006.15</v>
      </c>
      <c r="E50" s="14" t="n">
        <v>994.58</v>
      </c>
      <c r="F50" s="14" t="n">
        <v>918.29</v>
      </c>
      <c r="G50" s="15">
        <f>HYPERLINK("https://www.tradingview.com/chart/?symbol=NSE:INDUSINDBK","Chart 📈")</f>
        <v/>
      </c>
    </row>
    <row r="51" ht="16" customHeight="1">
      <c r="A51" s="8" t="inlineStr">
        <is>
          <t>NIFTY ENERGY</t>
        </is>
      </c>
      <c r="B51" s="17" t="inlineStr">
        <is>
          <t>BHEL</t>
        </is>
      </c>
      <c r="C51" s="18" t="n">
        <v>431.1</v>
      </c>
      <c r="D51" s="18" t="n">
        <v>423.3</v>
      </c>
      <c r="E51" s="18" t="n">
        <v>412.23</v>
      </c>
      <c r="F51" s="18" t="n">
        <v>348.36</v>
      </c>
      <c r="G51" s="19">
        <f>HYPERLINK("https://www.tradingview.com/chart/?symbol=NSE:BHEL","Chart 📈")</f>
        <v/>
      </c>
    </row>
    <row r="52" ht="16" customHeight="1">
      <c r="A52" s="20" t="inlineStr">
        <is>
          <t>NIFTY ENERGY</t>
        </is>
      </c>
      <c r="B52" s="17" t="inlineStr">
        <is>
          <t>CGPOWER</t>
        </is>
      </c>
      <c r="C52" s="18" t="n">
        <v>891</v>
      </c>
      <c r="D52" s="18" t="n">
        <v>885.8099999999999</v>
      </c>
      <c r="E52" s="18" t="n">
        <v>885.49</v>
      </c>
      <c r="F52" s="18" t="n">
        <v>819.29</v>
      </c>
      <c r="G52" s="19">
        <f>HYPERLINK("https://www.tradingview.com/chart/?symbol=NSE:CGPOWER","Chart 📈")</f>
        <v/>
      </c>
    </row>
    <row r="53" ht="16" customHeight="1">
      <c r="A53" s="20" t="inlineStr">
        <is>
          <t>NIFTY ENERGY</t>
        </is>
      </c>
      <c r="B53" s="17" t="inlineStr">
        <is>
          <t>COALINDIA</t>
        </is>
      </c>
      <c r="C53" s="18" t="n">
        <v>415.35</v>
      </c>
      <c r="D53" s="18" t="n">
        <v>404.9</v>
      </c>
      <c r="E53" s="18" t="n">
        <v>411.73</v>
      </c>
      <c r="F53" s="18" t="n">
        <v>413.64</v>
      </c>
      <c r="G53" s="19">
        <f>HYPERLINK("https://www.tradingview.com/chart/?symbol=NSE:COALINDIA","Chart 📈")</f>
        <v/>
      </c>
    </row>
    <row r="54" ht="16" customHeight="1">
      <c r="A54" s="12" t="inlineStr">
        <is>
          <t>NIFTY FMCG</t>
        </is>
      </c>
      <c r="B54" s="13" t="inlineStr">
        <is>
          <t>BALRAMCHIN</t>
        </is>
      </c>
      <c r="C54" s="14" t="n">
        <v>690.6</v>
      </c>
      <c r="D54" s="14" t="n">
        <v>667.41</v>
      </c>
      <c r="E54" s="14" t="n">
        <v>630.9400000000001</v>
      </c>
      <c r="F54" s="14" t="n">
        <v>552.49</v>
      </c>
      <c r="G54" s="15">
        <f>HYPERLINK("https://www.tradingview.com/chart/?symbol=NSE:BALRAMCHIN","Chart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2026-09-04T14:57:57Z</dcterms:created>
  <dcterms:modified xmlns:dcterms="http://purl.org/dc/terms/" xmlns:xsi="http://www.w3.org/2001/XMLSchema-instance" xsi:type="dcterms:W3CDTF">2026-09-04T14:57:58Z</dcterms:modified>
</cp:coreProperties>
</file>