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ector EMA Summary" sheetId="1" state="visible" r:id="rId1"/>
    <sheet xmlns:r="http://schemas.openxmlformats.org/officeDocument/2006/relationships" name="Ticker Detail (Above EMA)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2"/>
    </font>
    <font>
      <name val="Arial"/>
      <b val="1"/>
      <color rgb="00FFFFFF"/>
      <sz val="9"/>
    </font>
    <font>
      <name val="Arial"/>
      <b val="1"/>
      <color rgb="00FFFFFF"/>
      <sz val="10"/>
    </font>
    <font>
      <name val="Arial"/>
      <b val="1"/>
      <color rgb="001A1A1A"/>
      <sz val="10"/>
    </font>
    <font>
      <name val="Arial"/>
      <color rgb="001A1A1A"/>
      <sz val="10"/>
    </font>
    <font>
      <name val="Arial"/>
      <color rgb="000563C1"/>
      <sz val="10"/>
      <u val="single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4472C4"/>
      </patternFill>
    </fill>
    <fill>
      <patternFill patternType="solid">
        <fgColor rgb="002E75B6"/>
      </patternFill>
    </fill>
    <fill>
      <patternFill patternType="solid">
        <fgColor rgb="00EBF3FB"/>
      </patternFill>
    </fill>
    <fill>
      <patternFill patternType="solid">
        <fgColor rgb="00FFFFFF"/>
      </patternFill>
    </fill>
    <fill>
      <patternFill patternType="solid">
        <fgColor rgb="00D6E4F7"/>
      </patternFill>
    </fill>
  </fills>
  <borders count="4">
    <border>
      <left/>
      <right/>
      <top/>
      <bottom/>
      <diagonal/>
    </border>
    <border>
      <bottom style="thin">
        <color rgb="00AAAAAA"/>
      </bottom>
    </border>
    <border>
      <left style="thin">
        <color rgb="00AAAAAA"/>
      </left>
      <right style="thin">
        <color rgb="00AAAAAA"/>
      </right>
      <top style="thin">
        <color rgb="00AAAAAA"/>
      </top>
      <bottom style="medium">
        <color rgb="00555555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4" borderId="2" applyAlignment="1" pivotButton="0" quotePrefix="0" xfId="0">
      <alignment horizontal="center" vertical="center" wrapText="1"/>
    </xf>
    <xf numFmtId="0" fontId="4" fillId="5" borderId="3" applyAlignment="1" pivotButton="0" quotePrefix="0" xfId="0">
      <alignment horizontal="left" vertical="center"/>
    </xf>
    <xf numFmtId="1" fontId="5" fillId="5" borderId="3" applyAlignment="1" pivotButton="0" quotePrefix="0" xfId="0">
      <alignment horizontal="center" vertical="center"/>
    </xf>
    <xf numFmtId="164" fontId="5" fillId="5" borderId="3" applyAlignment="1" pivotButton="0" quotePrefix="0" xfId="0">
      <alignment horizontal="center" vertical="center"/>
    </xf>
    <xf numFmtId="164" fontId="4" fillId="5" borderId="3" applyAlignment="1" pivotButton="0" quotePrefix="0" xfId="0">
      <alignment horizontal="center" vertical="center"/>
    </xf>
    <xf numFmtId="0" fontId="4" fillId="6" borderId="3" applyAlignment="1" pivotButton="0" quotePrefix="0" xfId="0">
      <alignment horizontal="left" vertical="center"/>
    </xf>
    <xf numFmtId="1" fontId="5" fillId="6" borderId="3" applyAlignment="1" pivotButton="0" quotePrefix="0" xfId="0">
      <alignment horizontal="center" vertical="center"/>
    </xf>
    <xf numFmtId="164" fontId="5" fillId="6" borderId="3" applyAlignment="1" pivotButton="0" quotePrefix="0" xfId="0">
      <alignment horizontal="center" vertical="center"/>
    </xf>
    <xf numFmtId="164" fontId="4" fillId="6" borderId="3" applyAlignment="1" pivotButton="0" quotePrefix="0" xfId="0">
      <alignment horizontal="center" vertical="center"/>
    </xf>
    <xf numFmtId="0" fontId="4" fillId="7" borderId="3" applyAlignment="1" pivotButton="0" quotePrefix="0" xfId="0">
      <alignment horizontal="left" vertical="center"/>
    </xf>
    <xf numFmtId="0" fontId="5" fillId="7" borderId="3" applyAlignment="1" pivotButton="0" quotePrefix="0" xfId="0">
      <alignment horizontal="center" vertical="center"/>
    </xf>
    <xf numFmtId="4" fontId="5" fillId="7" borderId="3" applyAlignment="1" pivotButton="0" quotePrefix="0" xfId="0">
      <alignment horizontal="right" vertical="center"/>
    </xf>
    <xf numFmtId="0" fontId="6" fillId="7" borderId="3" applyAlignment="1" pivotButton="0" quotePrefix="0" xfId="0">
      <alignment horizontal="center" vertical="center"/>
    </xf>
    <xf numFmtId="0" fontId="5" fillId="7" borderId="3" applyAlignment="1" pivotButton="0" quotePrefix="0" xfId="0">
      <alignment horizontal="left" vertical="center"/>
    </xf>
    <xf numFmtId="0" fontId="5" fillId="6" borderId="3" applyAlignment="1" pivotButton="0" quotePrefix="0" xfId="0">
      <alignment horizontal="center" vertical="center"/>
    </xf>
    <xf numFmtId="4" fontId="5" fillId="6" borderId="3" applyAlignment="1" pivotButton="0" quotePrefix="0" xfId="0">
      <alignment horizontal="right" vertical="center"/>
    </xf>
    <xf numFmtId="0" fontId="6" fillId="6" borderId="3" applyAlignment="1" pivotButton="0" quotePrefix="0" xfId="0">
      <alignment horizontal="center" vertical="center"/>
    </xf>
    <xf numFmtId="0" fontId="5" fillId="6" borderId="3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7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0" customWidth="1" min="1" max="1"/>
    <col width="10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4" customWidth="1" min="9" max="9"/>
  </cols>
  <sheetData>
    <row r="1" ht="28" customHeight="1">
      <c r="A1" s="1" t="inlineStr">
        <is>
          <t>NSE Sectoral EMA Analysis   ·   Generated: 29-Sep-2026  16:57</t>
        </is>
      </c>
    </row>
    <row r="2" ht="18" customHeight="1">
      <c r="C2" s="2" t="inlineStr">
        <is>
          <t>No. of Stocks Above EMA</t>
        </is>
      </c>
      <c r="F2" s="2" t="inlineStr">
        <is>
          <t>% of Stocks Above EMA</t>
        </is>
      </c>
    </row>
    <row r="3" ht="36" customHeight="1">
      <c r="A3" s="3" t="inlineStr">
        <is>
          <t>Sector</t>
        </is>
      </c>
      <c r="B3" s="3" t="inlineStr">
        <is>
          <t>Total
Stocks</t>
        </is>
      </c>
      <c r="C3" s="3" t="inlineStr">
        <is>
          <t>Above
20 EMA</t>
        </is>
      </c>
      <c r="D3" s="3" t="inlineStr">
        <is>
          <t>Above
50 EMA</t>
        </is>
      </c>
      <c r="E3" s="3" t="inlineStr">
        <is>
          <t>Above
200 EMA</t>
        </is>
      </c>
      <c r="F3" s="3" t="inlineStr">
        <is>
          <t>% Above
20 EMA</t>
        </is>
      </c>
      <c r="G3" s="3" t="inlineStr">
        <is>
          <t>% Above
50 EMA</t>
        </is>
      </c>
      <c r="H3" s="3" t="inlineStr">
        <is>
          <t>% Above
200 EMA</t>
        </is>
      </c>
      <c r="I3" s="3" t="inlineStr">
        <is>
          <t>Composite
Strength %</t>
        </is>
      </c>
    </row>
    <row r="4" ht="17" customHeight="1">
      <c r="A4" s="4" t="inlineStr">
        <is>
          <t>NIFTY PHARMA</t>
        </is>
      </c>
      <c r="B4" s="5" t="n">
        <v>20</v>
      </c>
      <c r="C4" s="5" t="n">
        <v>12</v>
      </c>
      <c r="D4" s="5" t="n">
        <v>13</v>
      </c>
      <c r="E4" s="5" t="n">
        <v>14</v>
      </c>
      <c r="F4" s="6" t="n">
        <v>0.6</v>
      </c>
      <c r="G4" s="6" t="n">
        <v>0.65</v>
      </c>
      <c r="H4" s="6" t="n">
        <v>0.7</v>
      </c>
      <c r="I4" s="7" t="n">
        <v>0.65</v>
      </c>
    </row>
    <row r="5" ht="17" customHeight="1">
      <c r="A5" s="8" t="inlineStr">
        <is>
          <t>NIFTY METAL</t>
        </is>
      </c>
      <c r="B5" s="9" t="n">
        <v>15</v>
      </c>
      <c r="C5" s="9" t="n">
        <v>6</v>
      </c>
      <c r="D5" s="9" t="n">
        <v>7</v>
      </c>
      <c r="E5" s="9" t="n">
        <v>9</v>
      </c>
      <c r="F5" s="10" t="n">
        <v>0.4</v>
      </c>
      <c r="G5" s="10" t="n">
        <v>0.467</v>
      </c>
      <c r="H5" s="10" t="n">
        <v>0.6</v>
      </c>
      <c r="I5" s="11" t="n">
        <v>0.489</v>
      </c>
    </row>
    <row r="6" ht="17" customHeight="1">
      <c r="A6" s="4" t="inlineStr">
        <is>
          <t>NIFTY REALTY</t>
        </is>
      </c>
      <c r="B6" s="5" t="n">
        <v>10</v>
      </c>
      <c r="C6" s="5" t="n">
        <v>3</v>
      </c>
      <c r="D6" s="5" t="n">
        <v>2</v>
      </c>
      <c r="E6" s="5" t="n">
        <v>6</v>
      </c>
      <c r="F6" s="6" t="n">
        <v>0.3</v>
      </c>
      <c r="G6" s="6" t="n">
        <v>0.2</v>
      </c>
      <c r="H6" s="6" t="n">
        <v>0.6</v>
      </c>
      <c r="I6" s="7" t="n">
        <v>0.3667</v>
      </c>
    </row>
    <row r="7" ht="17" customHeight="1">
      <c r="A7" s="8" t="inlineStr">
        <is>
          <t>NIFTY MEDIA</t>
        </is>
      </c>
      <c r="B7" s="9" t="n">
        <v>10</v>
      </c>
      <c r="C7" s="9" t="n">
        <v>2</v>
      </c>
      <c r="D7" s="9" t="n">
        <v>2</v>
      </c>
      <c r="E7" s="9" t="n">
        <v>5</v>
      </c>
      <c r="F7" s="10" t="n">
        <v>0.2</v>
      </c>
      <c r="G7" s="10" t="n">
        <v>0.2</v>
      </c>
      <c r="H7" s="10" t="n">
        <v>0.5</v>
      </c>
      <c r="I7" s="11" t="n">
        <v>0.3</v>
      </c>
    </row>
    <row r="8" ht="17" customHeight="1">
      <c r="A8" s="4" t="inlineStr">
        <is>
          <t>NIFTY CONSUMER DURABLES</t>
        </is>
      </c>
      <c r="B8" s="5" t="n">
        <v>15</v>
      </c>
      <c r="C8" s="5" t="n">
        <v>1</v>
      </c>
      <c r="D8" s="5" t="n">
        <v>2</v>
      </c>
      <c r="E8" s="5" t="n">
        <v>5</v>
      </c>
      <c r="F8" s="6" t="n">
        <v>0.067</v>
      </c>
      <c r="G8" s="6" t="n">
        <v>0.133</v>
      </c>
      <c r="H8" s="6" t="n">
        <v>0.333</v>
      </c>
      <c r="I8" s="7" t="n">
        <v>0.1777</v>
      </c>
    </row>
    <row r="9" ht="17" customHeight="1">
      <c r="A9" s="8" t="inlineStr">
        <is>
          <t>NIFTY OIL &amp; GAS</t>
        </is>
      </c>
      <c r="B9" s="9" t="n">
        <v>15</v>
      </c>
      <c r="C9" s="9" t="n">
        <v>1</v>
      </c>
      <c r="D9" s="9" t="n">
        <v>2</v>
      </c>
      <c r="E9" s="9" t="n">
        <v>5</v>
      </c>
      <c r="F9" s="10" t="n">
        <v>0.067</v>
      </c>
      <c r="G9" s="10" t="n">
        <v>0.133</v>
      </c>
      <c r="H9" s="10" t="n">
        <v>0.333</v>
      </c>
      <c r="I9" s="11" t="n">
        <v>0.1777</v>
      </c>
    </row>
    <row r="10" ht="17" customHeight="1">
      <c r="A10" s="4" t="inlineStr">
        <is>
          <t>NIFTY AUTO</t>
        </is>
      </c>
      <c r="B10" s="5" t="n">
        <v>15</v>
      </c>
      <c r="C10" s="5" t="n">
        <v>0</v>
      </c>
      <c r="D10" s="5" t="n">
        <v>0</v>
      </c>
      <c r="E10" s="5" t="n">
        <v>6</v>
      </c>
      <c r="F10" s="6" t="n">
        <v>0</v>
      </c>
      <c r="G10" s="6" t="n">
        <v>0</v>
      </c>
      <c r="H10" s="6" t="n">
        <v>0.4</v>
      </c>
      <c r="I10" s="7" t="n">
        <v>0.1333</v>
      </c>
    </row>
    <row r="11" ht="17" customHeight="1">
      <c r="A11" s="8" t="inlineStr">
        <is>
          <t>NIFTY ENERGY</t>
        </is>
      </c>
      <c r="B11" s="9" t="n">
        <v>40</v>
      </c>
      <c r="C11" s="9" t="n">
        <v>1</v>
      </c>
      <c r="D11" s="9" t="n">
        <v>1</v>
      </c>
      <c r="E11" s="9" t="n">
        <v>10</v>
      </c>
      <c r="F11" s="10" t="n">
        <v>0.025</v>
      </c>
      <c r="G11" s="10" t="n">
        <v>0.025</v>
      </c>
      <c r="H11" s="10" t="n">
        <v>0.25</v>
      </c>
      <c r="I11" s="11" t="n">
        <v>0.1</v>
      </c>
    </row>
    <row r="12" ht="17" customHeight="1">
      <c r="A12" s="4" t="inlineStr">
        <is>
          <t>NIFTY MIDSMALL IT &amp; TELECOM</t>
        </is>
      </c>
      <c r="B12" s="5" t="n">
        <v>20</v>
      </c>
      <c r="C12" s="5" t="n">
        <v>0</v>
      </c>
      <c r="D12" s="5" t="n">
        <v>1</v>
      </c>
      <c r="E12" s="5" t="n">
        <v>5</v>
      </c>
      <c r="F12" s="6" t="n">
        <v>0</v>
      </c>
      <c r="G12" s="6" t="n">
        <v>0.05</v>
      </c>
      <c r="H12" s="6" t="n">
        <v>0.25</v>
      </c>
      <c r="I12" s="7" t="n">
        <v>0.1</v>
      </c>
    </row>
    <row r="13" ht="17" customHeight="1">
      <c r="A13" s="8" t="inlineStr">
        <is>
          <t>NIFTY FINANCIAL SERVICES</t>
        </is>
      </c>
      <c r="B13" s="9" t="n">
        <v>20</v>
      </c>
      <c r="C13" s="9" t="n">
        <v>0</v>
      </c>
      <c r="D13" s="9" t="n">
        <v>3</v>
      </c>
      <c r="E13" s="9" t="n">
        <v>3</v>
      </c>
      <c r="F13" s="10" t="n">
        <v>0</v>
      </c>
      <c r="G13" s="10" t="n">
        <v>0.15</v>
      </c>
      <c r="H13" s="10" t="n">
        <v>0.15</v>
      </c>
      <c r="I13" s="11" t="n">
        <v>0.1</v>
      </c>
    </row>
    <row r="14" ht="17" customHeight="1">
      <c r="A14" s="4" t="inlineStr">
        <is>
          <t>NIFTY FMCG</t>
        </is>
      </c>
      <c r="B14" s="5" t="n">
        <v>15</v>
      </c>
      <c r="C14" s="5" t="n">
        <v>1</v>
      </c>
      <c r="D14" s="5" t="n">
        <v>1</v>
      </c>
      <c r="E14" s="5" t="n">
        <v>2</v>
      </c>
      <c r="F14" s="6" t="n">
        <v>0.067</v>
      </c>
      <c r="G14" s="6" t="n">
        <v>0.067</v>
      </c>
      <c r="H14" s="6" t="n">
        <v>0.133</v>
      </c>
      <c r="I14" s="7" t="n">
        <v>0.08900000000000001</v>
      </c>
    </row>
    <row r="15" ht="17" customHeight="1">
      <c r="A15" s="8" t="inlineStr">
        <is>
          <t>NIFTY BANK</t>
        </is>
      </c>
      <c r="B15" s="9" t="n">
        <v>12</v>
      </c>
      <c r="C15" s="9" t="n">
        <v>0</v>
      </c>
      <c r="D15" s="9" t="n">
        <v>0</v>
      </c>
      <c r="E15" s="9" t="n">
        <v>3</v>
      </c>
      <c r="F15" s="10" t="n">
        <v>0</v>
      </c>
      <c r="G15" s="10" t="n">
        <v>0</v>
      </c>
      <c r="H15" s="10" t="n">
        <v>0.25</v>
      </c>
      <c r="I15" s="11" t="n">
        <v>0.0833</v>
      </c>
    </row>
    <row r="16" ht="17" customHeight="1">
      <c r="A16" s="4" t="inlineStr">
        <is>
          <t>NIFTY PSU BANK</t>
        </is>
      </c>
      <c r="B16" s="5" t="n">
        <v>12</v>
      </c>
      <c r="C16" s="5" t="n">
        <v>0</v>
      </c>
      <c r="D16" s="5" t="n">
        <v>0</v>
      </c>
      <c r="E16" s="5" t="n">
        <v>2</v>
      </c>
      <c r="F16" s="6" t="n">
        <v>0</v>
      </c>
      <c r="G16" s="6" t="n">
        <v>0</v>
      </c>
      <c r="H16" s="6" t="n">
        <v>0.167</v>
      </c>
      <c r="I16" s="7" t="n">
        <v>0.0557</v>
      </c>
    </row>
    <row r="17" ht="17" customHeight="1">
      <c r="A17" s="8" t="inlineStr">
        <is>
          <t>NIFTY IT</t>
        </is>
      </c>
      <c r="B17" s="9" t="n">
        <v>10</v>
      </c>
      <c r="C17" s="9" t="n">
        <v>0</v>
      </c>
      <c r="D17" s="9" t="n">
        <v>0</v>
      </c>
      <c r="E17" s="9" t="n">
        <v>1</v>
      </c>
      <c r="F17" s="10" t="n">
        <v>0</v>
      </c>
      <c r="G17" s="10" t="n">
        <v>0</v>
      </c>
      <c r="H17" s="10" t="n">
        <v>0.1</v>
      </c>
      <c r="I17" s="11" t="n">
        <v>0.0333</v>
      </c>
    </row>
  </sheetData>
  <mergeCells count="3">
    <mergeCell ref="A1:I1"/>
    <mergeCell ref="C2:E2"/>
    <mergeCell ref="F2:H2"/>
  </mergeCells>
  <conditionalFormatting sqref="F4:F17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4:G17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4:H17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4:I17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4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14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</cols>
  <sheetData>
    <row r="1" ht="28" customHeight="1">
      <c r="A1" s="1" t="inlineStr">
        <is>
          <t>NSE Stocks Trading Above 20 / 50 / 200-Day EMA   ·   Strongest Sector First</t>
        </is>
      </c>
    </row>
    <row r="2" ht="36" customHeight="1">
      <c r="A2" s="3" t="inlineStr">
        <is>
          <t>Sector</t>
        </is>
      </c>
      <c r="B2" s="3" t="inlineStr">
        <is>
          <t>Ticker</t>
        </is>
      </c>
      <c r="C2" s="3" t="inlineStr">
        <is>
          <t>Current
Close (₹)</t>
        </is>
      </c>
      <c r="D2" s="3" t="inlineStr">
        <is>
          <t>20-Day
EMA (₹)</t>
        </is>
      </c>
      <c r="E2" s="3" t="inlineStr">
        <is>
          <t>50-Day
EMA (₹)</t>
        </is>
      </c>
      <c r="F2" s="3" t="inlineStr">
        <is>
          <t>200-Day
EMA (₹)</t>
        </is>
      </c>
      <c r="G2" s="3" t="inlineStr">
        <is>
          <t>TradingView
Chart</t>
        </is>
      </c>
    </row>
    <row r="3" ht="16" customHeight="1">
      <c r="A3" s="12" t="inlineStr">
        <is>
          <t>NIFTY PHARMA</t>
        </is>
      </c>
      <c r="B3" s="13" t="inlineStr">
        <is>
          <t>ABBOTINDIA</t>
        </is>
      </c>
      <c r="C3" s="14" t="n">
        <v>27270</v>
      </c>
      <c r="D3" s="14" t="n">
        <v>26598.91</v>
      </c>
      <c r="E3" s="14" t="n">
        <v>26565.7</v>
      </c>
      <c r="F3" s="14" t="n">
        <v>26754.48</v>
      </c>
      <c r="G3" s="15">
        <f>HYPERLINK("https://www.tradingview.com/chart/?symbol=NSE:ABBOTINDIA","Chart 📈")</f>
        <v/>
      </c>
    </row>
    <row r="4" ht="16" customHeight="1">
      <c r="A4" s="16" t="inlineStr">
        <is>
          <t>NIFTY PHARMA</t>
        </is>
      </c>
      <c r="B4" s="13" t="inlineStr">
        <is>
          <t>AJANTPHARM</t>
        </is>
      </c>
      <c r="C4" s="14" t="n">
        <v>3557.5</v>
      </c>
      <c r="D4" s="14" t="n">
        <v>3537.63</v>
      </c>
      <c r="E4" s="14" t="n">
        <v>3488.7</v>
      </c>
      <c r="F4" s="14" t="n">
        <v>3132.7</v>
      </c>
      <c r="G4" s="15">
        <f>HYPERLINK("https://www.tradingview.com/chart/?symbol=NSE:AJANTPHARM","Chart 📈")</f>
        <v/>
      </c>
    </row>
    <row r="5" ht="16" customHeight="1">
      <c r="A5" s="16" t="inlineStr">
        <is>
          <t>NIFTY PHARMA</t>
        </is>
      </c>
      <c r="B5" s="13" t="inlineStr">
        <is>
          <t>AUROPHARMA</t>
        </is>
      </c>
      <c r="C5" s="14" t="n">
        <v>1697.7</v>
      </c>
      <c r="D5" s="14" t="n">
        <v>1686.69</v>
      </c>
      <c r="E5" s="14" t="n">
        <v>1643.61</v>
      </c>
      <c r="F5" s="14" t="n">
        <v>1459.05</v>
      </c>
      <c r="G5" s="15">
        <f>HYPERLINK("https://www.tradingview.com/chart/?symbol=NSE:AUROPHARMA","Chart 📈")</f>
        <v/>
      </c>
    </row>
    <row r="6" ht="16" customHeight="1">
      <c r="A6" s="16" t="inlineStr">
        <is>
          <t>NIFTY PHARMA</t>
        </is>
      </c>
      <c r="B6" s="13" t="inlineStr">
        <is>
          <t>DIVISLAB</t>
        </is>
      </c>
      <c r="C6" s="14" t="n">
        <v>9431</v>
      </c>
      <c r="D6" s="14" t="n">
        <v>9329.26</v>
      </c>
      <c r="E6" s="14" t="n">
        <v>8774.780000000001</v>
      </c>
      <c r="F6" s="14" t="n">
        <v>7365.27</v>
      </c>
      <c r="G6" s="15">
        <f>HYPERLINK("https://www.tradingview.com/chart/?symbol=NSE:DIVISLAB","Chart 📈")</f>
        <v/>
      </c>
    </row>
    <row r="7" ht="16" customHeight="1">
      <c r="A7" s="16" t="inlineStr">
        <is>
          <t>NIFTY PHARMA</t>
        </is>
      </c>
      <c r="B7" s="13" t="inlineStr">
        <is>
          <t>DRREDDY</t>
        </is>
      </c>
      <c r="C7" s="14" t="n">
        <v>1251.9</v>
      </c>
      <c r="D7" s="14" t="n">
        <v>1190.47</v>
      </c>
      <c r="E7" s="14" t="n">
        <v>1193.36</v>
      </c>
      <c r="F7" s="14" t="n">
        <v>1228.83</v>
      </c>
      <c r="G7" s="15">
        <f>HYPERLINK("https://www.tradingview.com/chart/?symbol=NSE:DRREDDY","Chart 📈")</f>
        <v/>
      </c>
    </row>
    <row r="8" ht="16" customHeight="1">
      <c r="A8" s="16" t="inlineStr">
        <is>
          <t>NIFTY PHARMA</t>
        </is>
      </c>
      <c r="B8" s="13" t="inlineStr">
        <is>
          <t>GLAND</t>
        </is>
      </c>
      <c r="C8" s="14" t="n">
        <v>2989.7</v>
      </c>
      <c r="D8" s="14" t="n">
        <v>2907.85</v>
      </c>
      <c r="E8" s="14" t="n">
        <v>2784.55</v>
      </c>
      <c r="F8" s="14" t="n">
        <v>2321.97</v>
      </c>
      <c r="G8" s="15">
        <f>HYPERLINK("https://www.tradingview.com/chart/?symbol=NSE:GLAND","Chart 📈")</f>
        <v/>
      </c>
    </row>
    <row r="9" ht="16" customHeight="1">
      <c r="A9" s="16" t="inlineStr">
        <is>
          <t>NIFTY PHARMA</t>
        </is>
      </c>
      <c r="B9" s="13" t="inlineStr">
        <is>
          <t>GLENMARK</t>
        </is>
      </c>
      <c r="C9" s="14" t="n">
        <v>2441.5</v>
      </c>
      <c r="D9" s="14" t="n">
        <v>2414.23</v>
      </c>
      <c r="E9" s="14" t="n">
        <v>2369.78</v>
      </c>
      <c r="F9" s="14" t="n">
        <v>2223.23</v>
      </c>
      <c r="G9" s="15">
        <f>HYPERLINK("https://www.tradingview.com/chart/?symbol=NSE:GLENMARK","Chart 📈")</f>
        <v/>
      </c>
    </row>
    <row r="10" ht="16" customHeight="1">
      <c r="A10" s="16" t="inlineStr">
        <is>
          <t>NIFTY PHARMA</t>
        </is>
      </c>
      <c r="B10" s="13" t="inlineStr">
        <is>
          <t>GRANULES</t>
        </is>
      </c>
      <c r="C10" s="14" t="n">
        <v>866.75</v>
      </c>
      <c r="D10" s="14" t="n">
        <v>864.35</v>
      </c>
      <c r="E10" s="14" t="n">
        <v>852.15</v>
      </c>
      <c r="F10" s="14" t="n">
        <v>744.97</v>
      </c>
      <c r="G10" s="15">
        <f>HYPERLINK("https://www.tradingview.com/chart/?symbol=NSE:GRANULES","Chart 📈")</f>
        <v/>
      </c>
    </row>
    <row r="11" ht="16" customHeight="1">
      <c r="A11" s="16" t="inlineStr">
        <is>
          <t>NIFTY PHARMA</t>
        </is>
      </c>
      <c r="B11" s="13" t="inlineStr">
        <is>
          <t>LAURUSLABS</t>
        </is>
      </c>
      <c r="C11" s="14" t="n">
        <v>1979</v>
      </c>
      <c r="D11" s="14" t="n">
        <v>1956.84</v>
      </c>
      <c r="E11" s="14" t="n">
        <v>1847.54</v>
      </c>
      <c r="F11" s="14" t="n">
        <v>1451.94</v>
      </c>
      <c r="G11" s="15">
        <f>HYPERLINK("https://www.tradingview.com/chart/?symbol=NSE:LAURUSLABS","Chart 📈")</f>
        <v/>
      </c>
    </row>
    <row r="12" ht="16" customHeight="1">
      <c r="A12" s="16" t="inlineStr">
        <is>
          <t>NIFTY PHARMA</t>
        </is>
      </c>
      <c r="B12" s="13" t="inlineStr">
        <is>
          <t>MANKIND</t>
        </is>
      </c>
      <c r="C12" s="14" t="n">
        <v>2545</v>
      </c>
      <c r="D12" s="14" t="n">
        <v>2403</v>
      </c>
      <c r="E12" s="14" t="n">
        <v>2401.9</v>
      </c>
      <c r="F12" s="14" t="n">
        <v>2362.44</v>
      </c>
      <c r="G12" s="15">
        <f>HYPERLINK("https://www.tradingview.com/chart/?symbol=NSE:MANKIND","Chart 📈")</f>
        <v/>
      </c>
    </row>
    <row r="13" ht="16" customHeight="1">
      <c r="A13" s="16" t="inlineStr">
        <is>
          <t>NIFTY PHARMA</t>
        </is>
      </c>
      <c r="B13" s="13" t="inlineStr">
        <is>
          <t>ZYDUSLIFE</t>
        </is>
      </c>
      <c r="C13" s="14" t="n">
        <v>1200.5</v>
      </c>
      <c r="D13" s="14" t="n">
        <v>1161.17</v>
      </c>
      <c r="E13" s="14" t="n">
        <v>1140.4</v>
      </c>
      <c r="F13" s="14" t="n">
        <v>1054.47</v>
      </c>
      <c r="G13" s="15">
        <f>HYPERLINK("https://www.tradingview.com/chart/?symbol=NSE:ZYDUSLIFE","Chart 📈")</f>
        <v/>
      </c>
    </row>
    <row r="14" ht="16" customHeight="1">
      <c r="A14" s="8" t="inlineStr">
        <is>
          <t>NIFTY METAL</t>
        </is>
      </c>
      <c r="B14" s="17" t="inlineStr">
        <is>
          <t>APLAPOLLO</t>
        </is>
      </c>
      <c r="C14" s="18" t="n">
        <v>2188.6</v>
      </c>
      <c r="D14" s="18" t="n">
        <v>2174.79</v>
      </c>
      <c r="E14" s="18" t="n">
        <v>2097.27</v>
      </c>
      <c r="F14" s="18" t="n">
        <v>1957.39</v>
      </c>
      <c r="G14" s="19">
        <f>HYPERLINK("https://www.tradingview.com/chart/?symbol=NSE:APLAPOLLO","Chart 📈")</f>
        <v/>
      </c>
    </row>
    <row r="15" ht="16" customHeight="1">
      <c r="A15" s="20" t="inlineStr">
        <is>
          <t>NIFTY METAL</t>
        </is>
      </c>
      <c r="B15" s="17" t="inlineStr">
        <is>
          <t>RATNAMANI</t>
        </is>
      </c>
      <c r="C15" s="18" t="n">
        <v>2833.3</v>
      </c>
      <c r="D15" s="18" t="n">
        <v>2741.14</v>
      </c>
      <c r="E15" s="18" t="n">
        <v>2641.36</v>
      </c>
      <c r="F15" s="18" t="n">
        <v>2505.27</v>
      </c>
      <c r="G15" s="19">
        <f>HYPERLINK("https://www.tradingview.com/chart/?symbol=NSE:RATNAMANI","Chart 📈")</f>
        <v/>
      </c>
    </row>
    <row r="16" ht="16" customHeight="1">
      <c r="A16" s="20" t="inlineStr">
        <is>
          <t>NIFTY METAL</t>
        </is>
      </c>
      <c r="B16" s="17" t="inlineStr">
        <is>
          <t>SAIL</t>
        </is>
      </c>
      <c r="C16" s="18" t="n">
        <v>181.82</v>
      </c>
      <c r="D16" s="18" t="n">
        <v>181.76</v>
      </c>
      <c r="E16" s="18" t="n">
        <v>179.96</v>
      </c>
      <c r="F16" s="18" t="n">
        <v>168.88</v>
      </c>
      <c r="G16" s="19">
        <f>HYPERLINK("https://www.tradingview.com/chart/?symbol=NSE:SAIL","Chart 📈")</f>
        <v/>
      </c>
    </row>
    <row r="17" ht="16" customHeight="1">
      <c r="A17" s="20" t="inlineStr">
        <is>
          <t>NIFTY METAL</t>
        </is>
      </c>
      <c r="B17" s="17" t="inlineStr">
        <is>
          <t>WELCORP</t>
        </is>
      </c>
      <c r="C17" s="18" t="n">
        <v>2842</v>
      </c>
      <c r="D17" s="18" t="n">
        <v>2618.12</v>
      </c>
      <c r="E17" s="18" t="n">
        <v>2302.91</v>
      </c>
      <c r="F17" s="18" t="n">
        <v>1574.61</v>
      </c>
      <c r="G17" s="19">
        <f>HYPERLINK("https://www.tradingview.com/chart/?symbol=NSE:WELCORP","Chart 📈")</f>
        <v/>
      </c>
    </row>
    <row r="18" ht="16" customHeight="1">
      <c r="A18" s="12" t="inlineStr">
        <is>
          <t>NIFTY REALTY</t>
        </is>
      </c>
      <c r="B18" s="13" t="inlineStr">
        <is>
          <t>PHOENIXLTD</t>
        </is>
      </c>
      <c r="C18" s="14" t="n">
        <v>1929</v>
      </c>
      <c r="D18" s="14" t="n">
        <v>1924.64</v>
      </c>
      <c r="E18" s="14" t="n">
        <v>1920.94</v>
      </c>
      <c r="F18" s="14" t="n">
        <v>1828.33</v>
      </c>
      <c r="G18" s="15">
        <f>HYPERLINK("https://www.tradingview.com/chart/?symbol=NSE:PHOENIXLTD","Chart 📈")</f>
        <v/>
      </c>
    </row>
    <row r="19" ht="16" customHeight="1">
      <c r="A19" s="16" t="inlineStr">
        <is>
          <t>NIFTY REALTY</t>
        </is>
      </c>
      <c r="B19" s="13" t="inlineStr">
        <is>
          <t>RAYMOND</t>
        </is>
      </c>
      <c r="C19" s="14" t="n">
        <v>1185.75</v>
      </c>
      <c r="D19" s="14" t="n">
        <v>1000</v>
      </c>
      <c r="E19" s="14" t="n">
        <v>828.55</v>
      </c>
      <c r="F19" s="14" t="n">
        <v>617.02</v>
      </c>
      <c r="G19" s="15">
        <f>HYPERLINK("https://www.tradingview.com/chart/?symbol=NSE:RAYMOND","Chart 📈")</f>
        <v/>
      </c>
    </row>
    <row r="20" ht="16" customHeight="1">
      <c r="A20" s="8" t="inlineStr">
        <is>
          <t>NIFTY MEDIA</t>
        </is>
      </c>
      <c r="B20" s="17" t="inlineStr">
        <is>
          <t>NAZARA</t>
        </is>
      </c>
      <c r="C20" s="18" t="n">
        <v>388.4</v>
      </c>
      <c r="D20" s="18" t="n">
        <v>369.77</v>
      </c>
      <c r="E20" s="18" t="n">
        <v>353.47</v>
      </c>
      <c r="F20" s="18" t="n">
        <v>306.44</v>
      </c>
      <c r="G20" s="19">
        <f>HYPERLINK("https://www.tradingview.com/chart/?symbol=NSE:NAZARA","Chart 📈")</f>
        <v/>
      </c>
    </row>
    <row r="21" ht="16" customHeight="1">
      <c r="A21" s="20" t="inlineStr">
        <is>
          <t>NIFTY MEDIA</t>
        </is>
      </c>
      <c r="B21" s="17" t="inlineStr">
        <is>
          <t>SUNTV</t>
        </is>
      </c>
      <c r="C21" s="18" t="n">
        <v>553.25</v>
      </c>
      <c r="D21" s="18" t="n">
        <v>488.36</v>
      </c>
      <c r="E21" s="18" t="n">
        <v>485.33</v>
      </c>
      <c r="F21" s="18" t="n">
        <v>515.34</v>
      </c>
      <c r="G21" s="19">
        <f>HYPERLINK("https://www.tradingview.com/chart/?symbol=NSE:SUNTV","Chart 📈")</f>
        <v/>
      </c>
    </row>
    <row r="22" ht="16" customHeight="1">
      <c r="A22" s="12" t="inlineStr">
        <is>
          <t>NIFTY CONSUMER DURABLES</t>
        </is>
      </c>
      <c r="B22" s="13" t="inlineStr">
        <is>
          <t>WHIRLPOOL</t>
        </is>
      </c>
      <c r="C22" s="14" t="n">
        <v>888.2</v>
      </c>
      <c r="D22" s="14" t="n">
        <v>812.48</v>
      </c>
      <c r="E22" s="14" t="n">
        <v>799.52</v>
      </c>
      <c r="F22" s="14" t="n">
        <v>867.52</v>
      </c>
      <c r="G22" s="15">
        <f>HYPERLINK("https://www.tradingview.com/chart/?symbol=NSE:WHIRLPOOL","Chart 📈")</f>
        <v/>
      </c>
    </row>
    <row r="23" ht="16" customHeight="1">
      <c r="A23" s="8" t="inlineStr">
        <is>
          <t>NIFTY OIL &amp; GAS</t>
        </is>
      </c>
      <c r="B23" s="17" t="inlineStr">
        <is>
          <t>CASTROLIND</t>
        </is>
      </c>
      <c r="C23" s="18" t="n">
        <v>199.83</v>
      </c>
      <c r="D23" s="18" t="n">
        <v>193.21</v>
      </c>
      <c r="E23" s="18" t="n">
        <v>188.48</v>
      </c>
      <c r="F23" s="18" t="n">
        <v>182.14</v>
      </c>
      <c r="G23" s="19">
        <f>HYPERLINK("https://www.tradingview.com/chart/?symbol=NSE:CASTROLIND","Chart 📈")</f>
        <v/>
      </c>
    </row>
    <row r="24" ht="16" customHeight="1">
      <c r="A24" s="12" t="inlineStr">
        <is>
          <t>NIFTY ENERGY</t>
        </is>
      </c>
      <c r="B24" s="13" t="inlineStr">
        <is>
          <t>COALINDIA</t>
        </is>
      </c>
      <c r="C24" s="14" t="n">
        <v>425</v>
      </c>
      <c r="D24" s="14" t="n">
        <v>419.46</v>
      </c>
      <c r="E24" s="14" t="n">
        <v>417.15</v>
      </c>
      <c r="F24" s="14" t="n">
        <v>414.81</v>
      </c>
      <c r="G24" s="15">
        <f>HYPERLINK("https://www.tradingview.com/chart/?symbol=NSE:COALINDIA","Chart 📈")</f>
        <v/>
      </c>
    </row>
  </sheetData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2026-09-29T16:57:54Z</dcterms:created>
  <dcterms:modified xmlns:dcterms="http://purl.org/dc/terms/" xmlns:xsi="http://www.w3.org/2001/XMLSchema-instance" xsi:type="dcterms:W3CDTF">2026-09-29T16:57:54Z</dcterms:modified>
</cp:coreProperties>
</file>