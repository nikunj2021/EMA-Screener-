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27-Jul-2026  13:48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7</v>
      </c>
      <c r="D4" s="5" t="n">
        <v>9</v>
      </c>
      <c r="E4" s="5" t="n">
        <v>8</v>
      </c>
      <c r="F4" s="6" t="n">
        <v>0.7</v>
      </c>
      <c r="G4" s="6" t="n">
        <v>0.9</v>
      </c>
      <c r="H4" s="6" t="n">
        <v>0.8</v>
      </c>
      <c r="I4" s="7" t="n">
        <v>0.8</v>
      </c>
    </row>
    <row r="5" ht="17" customHeight="1">
      <c r="A5" s="8" t="inlineStr">
        <is>
          <t>NIFTY PHARMA</t>
        </is>
      </c>
      <c r="B5" s="9" t="n">
        <v>20</v>
      </c>
      <c r="C5" s="9" t="n">
        <v>13</v>
      </c>
      <c r="D5" s="9" t="n">
        <v>17</v>
      </c>
      <c r="E5" s="9" t="n">
        <v>18</v>
      </c>
      <c r="F5" s="10" t="n">
        <v>0.65</v>
      </c>
      <c r="G5" s="10" t="n">
        <v>0.85</v>
      </c>
      <c r="H5" s="10" t="n">
        <v>0.9</v>
      </c>
      <c r="I5" s="11" t="n">
        <v>0.8</v>
      </c>
    </row>
    <row r="6" ht="17" customHeight="1">
      <c r="A6" s="4" t="inlineStr">
        <is>
          <t>NIFTY AUTO</t>
        </is>
      </c>
      <c r="B6" s="5" t="n">
        <v>15</v>
      </c>
      <c r="C6" s="5" t="n">
        <v>11</v>
      </c>
      <c r="D6" s="5" t="n">
        <v>11</v>
      </c>
      <c r="E6" s="5" t="n">
        <v>9</v>
      </c>
      <c r="F6" s="6" t="n">
        <v>0.733</v>
      </c>
      <c r="G6" s="6" t="n">
        <v>0.733</v>
      </c>
      <c r="H6" s="6" t="n">
        <v>0.6</v>
      </c>
      <c r="I6" s="7" t="n">
        <v>0.6887000000000001</v>
      </c>
    </row>
    <row r="7" ht="17" customHeight="1">
      <c r="A7" s="8" t="inlineStr">
        <is>
          <t>NIFTY FMCG</t>
        </is>
      </c>
      <c r="B7" s="9" t="n">
        <v>15</v>
      </c>
      <c r="C7" s="9" t="n">
        <v>13</v>
      </c>
      <c r="D7" s="9" t="n">
        <v>10</v>
      </c>
      <c r="E7" s="9" t="n">
        <v>6</v>
      </c>
      <c r="F7" s="10" t="n">
        <v>0.867</v>
      </c>
      <c r="G7" s="10" t="n">
        <v>0.667</v>
      </c>
      <c r="H7" s="10" t="n">
        <v>0.4</v>
      </c>
      <c r="I7" s="11" t="n">
        <v>0.6446999999999999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9</v>
      </c>
      <c r="D8" s="5" t="n">
        <v>8</v>
      </c>
      <c r="E8" s="5" t="n">
        <v>6</v>
      </c>
      <c r="F8" s="6" t="n">
        <v>0.6</v>
      </c>
      <c r="G8" s="6" t="n">
        <v>0.5329999999999999</v>
      </c>
      <c r="H8" s="6" t="n">
        <v>0.4</v>
      </c>
      <c r="I8" s="7" t="n">
        <v>0.511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11</v>
      </c>
      <c r="D9" s="9" t="n">
        <v>10</v>
      </c>
      <c r="E9" s="9" t="n">
        <v>9</v>
      </c>
      <c r="F9" s="10" t="n">
        <v>0.55</v>
      </c>
      <c r="G9" s="10" t="n">
        <v>0.5</v>
      </c>
      <c r="H9" s="10" t="n">
        <v>0.45</v>
      </c>
      <c r="I9" s="11" t="n">
        <v>0.5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10</v>
      </c>
      <c r="D10" s="5" t="n">
        <v>11</v>
      </c>
      <c r="E10" s="5" t="n">
        <v>9</v>
      </c>
      <c r="F10" s="6" t="n">
        <v>0.5</v>
      </c>
      <c r="G10" s="6" t="n">
        <v>0.55</v>
      </c>
      <c r="H10" s="6" t="n">
        <v>0.45</v>
      </c>
      <c r="I10" s="7" t="n">
        <v>0.5</v>
      </c>
    </row>
    <row r="11" ht="17" customHeight="1">
      <c r="A11" s="8" t="inlineStr">
        <is>
          <t>NIFTY MEDIA</t>
        </is>
      </c>
      <c r="B11" s="9" t="n">
        <v>10</v>
      </c>
      <c r="C11" s="9" t="n">
        <v>5</v>
      </c>
      <c r="D11" s="9" t="n">
        <v>5</v>
      </c>
      <c r="E11" s="9" t="n">
        <v>5</v>
      </c>
      <c r="F11" s="10" t="n">
        <v>0.5</v>
      </c>
      <c r="G11" s="10" t="n">
        <v>0.5</v>
      </c>
      <c r="H11" s="10" t="n">
        <v>0.5</v>
      </c>
      <c r="I11" s="11" t="n">
        <v>0.5</v>
      </c>
    </row>
    <row r="12" ht="17" customHeight="1">
      <c r="A12" s="4" t="inlineStr">
        <is>
          <t>NIFTY METAL</t>
        </is>
      </c>
      <c r="B12" s="5" t="n">
        <v>15</v>
      </c>
      <c r="C12" s="5" t="n">
        <v>5</v>
      </c>
      <c r="D12" s="5" t="n">
        <v>4</v>
      </c>
      <c r="E12" s="5" t="n">
        <v>8</v>
      </c>
      <c r="F12" s="6" t="n">
        <v>0.333</v>
      </c>
      <c r="G12" s="6" t="n">
        <v>0.267</v>
      </c>
      <c r="H12" s="6" t="n">
        <v>0.5329999999999999</v>
      </c>
      <c r="I12" s="7" t="n">
        <v>0.3777</v>
      </c>
    </row>
    <row r="13" ht="17" customHeight="1">
      <c r="A13" s="8" t="inlineStr">
        <is>
          <t>NIFTY PSU BANK</t>
        </is>
      </c>
      <c r="B13" s="9" t="n">
        <v>12</v>
      </c>
      <c r="C13" s="9" t="n">
        <v>5</v>
      </c>
      <c r="D13" s="9" t="n">
        <v>3</v>
      </c>
      <c r="E13" s="9" t="n">
        <v>5</v>
      </c>
      <c r="F13" s="10" t="n">
        <v>0.417</v>
      </c>
      <c r="G13" s="10" t="n">
        <v>0.25</v>
      </c>
      <c r="H13" s="10" t="n">
        <v>0.417</v>
      </c>
      <c r="I13" s="11" t="n">
        <v>0.3613</v>
      </c>
    </row>
    <row r="14" ht="17" customHeight="1">
      <c r="A14" s="4" t="inlineStr">
        <is>
          <t>NIFTY BANK</t>
        </is>
      </c>
      <c r="B14" s="5" t="n">
        <v>12</v>
      </c>
      <c r="C14" s="5" t="n">
        <v>4</v>
      </c>
      <c r="D14" s="5" t="n">
        <v>4</v>
      </c>
      <c r="E14" s="5" t="n">
        <v>4</v>
      </c>
      <c r="F14" s="6" t="n">
        <v>0.333</v>
      </c>
      <c r="G14" s="6" t="n">
        <v>0.333</v>
      </c>
      <c r="H14" s="6" t="n">
        <v>0.333</v>
      </c>
      <c r="I14" s="7" t="n">
        <v>0.333</v>
      </c>
    </row>
    <row r="15" ht="17" customHeight="1">
      <c r="A15" s="8" t="inlineStr">
        <is>
          <t>NIFTY IT</t>
        </is>
      </c>
      <c r="B15" s="9" t="n">
        <v>10</v>
      </c>
      <c r="C15" s="9" t="n">
        <v>5</v>
      </c>
      <c r="D15" s="9" t="n">
        <v>3</v>
      </c>
      <c r="E15" s="9" t="n">
        <v>1</v>
      </c>
      <c r="F15" s="10" t="n">
        <v>0.5</v>
      </c>
      <c r="G15" s="10" t="n">
        <v>0.3</v>
      </c>
      <c r="H15" s="10" t="n">
        <v>0.1</v>
      </c>
      <c r="I15" s="11" t="n">
        <v>0.3</v>
      </c>
    </row>
    <row r="16" ht="17" customHeight="1">
      <c r="A16" s="4" t="inlineStr">
        <is>
          <t>NIFTY OIL &amp; GAS</t>
        </is>
      </c>
      <c r="B16" s="5" t="n">
        <v>15</v>
      </c>
      <c r="C16" s="5" t="n">
        <v>5</v>
      </c>
      <c r="D16" s="5" t="n">
        <v>5</v>
      </c>
      <c r="E16" s="5" t="n">
        <v>3</v>
      </c>
      <c r="F16" s="6" t="n">
        <v>0.333</v>
      </c>
      <c r="G16" s="6" t="n">
        <v>0.333</v>
      </c>
      <c r="H16" s="6" t="n">
        <v>0.2</v>
      </c>
      <c r="I16" s="7" t="n">
        <v>0.2887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6</v>
      </c>
      <c r="E17" s="9" t="n">
        <v>19</v>
      </c>
      <c r="F17" s="10" t="n">
        <v>0.2</v>
      </c>
      <c r="G17" s="10" t="n">
        <v>0.15</v>
      </c>
      <c r="H17" s="10" t="n">
        <v>0.475</v>
      </c>
      <c r="I17" s="11" t="n">
        <v>0.275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650.9</v>
      </c>
      <c r="D3" s="14" t="n">
        <v>643.5599999999999</v>
      </c>
      <c r="E3" s="14" t="n">
        <v>623.54</v>
      </c>
      <c r="F3" s="14" t="n">
        <v>638.22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2078.8</v>
      </c>
      <c r="D4" s="14" t="n">
        <v>2033.77</v>
      </c>
      <c r="E4" s="14" t="n">
        <v>1926.85</v>
      </c>
      <c r="F4" s="14" t="n">
        <v>1886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1198.7</v>
      </c>
      <c r="D5" s="14" t="n">
        <v>1124.79</v>
      </c>
      <c r="E5" s="14" t="n">
        <v>1036.6</v>
      </c>
      <c r="F5" s="14" t="n">
        <v>1015.87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380.25</v>
      </c>
      <c r="D6" s="14" t="n">
        <v>369.93</v>
      </c>
      <c r="E6" s="14" t="n">
        <v>357.8</v>
      </c>
      <c r="F6" s="14" t="n">
        <v>354.66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PHOENIXLTD</t>
        </is>
      </c>
      <c r="C7" s="14" t="n">
        <v>2036.6</v>
      </c>
      <c r="D7" s="14" t="n">
        <v>2036.17</v>
      </c>
      <c r="E7" s="14" t="n">
        <v>1944</v>
      </c>
      <c r="F7" s="14" t="n">
        <v>1775.2</v>
      </c>
      <c r="G7" s="15">
        <f>HYPERLINK("https://www.tradingview.com/chart/?symbol=NSE:PHOENIXLTD","Chart 📈")</f>
        <v/>
      </c>
    </row>
    <row r="8" ht="16" customHeight="1">
      <c r="A8" s="16" t="inlineStr">
        <is>
          <t>NIFTY REALTY</t>
        </is>
      </c>
      <c r="B8" s="13" t="inlineStr">
        <is>
          <t>PRESTIGE</t>
        </is>
      </c>
      <c r="C8" s="14" t="n">
        <v>1644.6</v>
      </c>
      <c r="D8" s="14" t="n">
        <v>1636.04</v>
      </c>
      <c r="E8" s="14" t="n">
        <v>1558.17</v>
      </c>
      <c r="F8" s="14" t="n">
        <v>1508.24</v>
      </c>
      <c r="G8" s="15">
        <f>HYPERLINK("https://www.tradingview.com/chart/?symbol=NSE:PRESTIGE","Chart 📈")</f>
        <v/>
      </c>
    </row>
    <row r="9" ht="16" customHeight="1">
      <c r="A9" s="8" t="inlineStr">
        <is>
          <t>NIFTY PHARMA</t>
        </is>
      </c>
      <c r="B9" s="17" t="inlineStr">
        <is>
          <t>ABBOTINDIA</t>
        </is>
      </c>
      <c r="C9" s="18" t="n">
        <v>27800</v>
      </c>
      <c r="D9" s="18" t="n">
        <v>27009.69</v>
      </c>
      <c r="E9" s="18" t="n">
        <v>26396.81</v>
      </c>
      <c r="F9" s="18" t="n">
        <v>27135.36</v>
      </c>
      <c r="G9" s="19">
        <f>HYPERLINK("https://www.tradingview.com/chart/?symbol=NSE:ABBOTINDIA","Chart 📈")</f>
        <v/>
      </c>
    </row>
    <row r="10" ht="16" customHeight="1">
      <c r="A10" s="20" t="inlineStr">
        <is>
          <t>NIFTY PHARMA</t>
        </is>
      </c>
      <c r="B10" s="17" t="inlineStr">
        <is>
          <t>AJANTPHARM</t>
        </is>
      </c>
      <c r="C10" s="18" t="n">
        <v>3386.1</v>
      </c>
      <c r="D10" s="18" t="n">
        <v>3376.55</v>
      </c>
      <c r="E10" s="18" t="n">
        <v>3245.55</v>
      </c>
      <c r="F10" s="18" t="n">
        <v>2959.1</v>
      </c>
      <c r="G10" s="19">
        <f>HYPERLINK("https://www.tradingview.com/chart/?symbol=NSE:AJANTPHARM","Chart 📈")</f>
        <v/>
      </c>
    </row>
    <row r="11" ht="16" customHeight="1">
      <c r="A11" s="20" t="inlineStr">
        <is>
          <t>NIFTY PHARMA</t>
        </is>
      </c>
      <c r="B11" s="17" t="inlineStr">
        <is>
          <t>ALKEM</t>
        </is>
      </c>
      <c r="C11" s="18" t="n">
        <v>5613</v>
      </c>
      <c r="D11" s="18" t="n">
        <v>5588.86</v>
      </c>
      <c r="E11" s="18" t="n">
        <v>5520.21</v>
      </c>
      <c r="F11" s="18" t="n">
        <v>5445.48</v>
      </c>
      <c r="G11" s="19">
        <f>HYPERLINK("https://www.tradingview.com/chart/?symbol=NSE:ALKEM","Chart 📈")</f>
        <v/>
      </c>
    </row>
    <row r="12" ht="16" customHeight="1">
      <c r="A12" s="20" t="inlineStr">
        <is>
          <t>NIFTY PHARMA</t>
        </is>
      </c>
      <c r="B12" s="17" t="inlineStr">
        <is>
          <t>AUROPHARMA</t>
        </is>
      </c>
      <c r="C12" s="18" t="n">
        <v>1549.4</v>
      </c>
      <c r="D12" s="18" t="n">
        <v>1544.04</v>
      </c>
      <c r="E12" s="18" t="n">
        <v>1507.81</v>
      </c>
      <c r="F12" s="18" t="n">
        <v>1346.58</v>
      </c>
      <c r="G12" s="19">
        <f>HYPERLINK("https://www.tradingview.com/chart/?symbol=NSE:AUROPHARMA","Chart 📈")</f>
        <v/>
      </c>
    </row>
    <row r="13" ht="16" customHeight="1">
      <c r="A13" s="20" t="inlineStr">
        <is>
          <t>NIFTY PHARMA</t>
        </is>
      </c>
      <c r="B13" s="17" t="inlineStr">
        <is>
          <t>BIOCON</t>
        </is>
      </c>
      <c r="C13" s="18" t="n">
        <v>436.25</v>
      </c>
      <c r="D13" s="18" t="n">
        <v>428.43</v>
      </c>
      <c r="E13" s="18" t="n">
        <v>418.03</v>
      </c>
      <c r="F13" s="18" t="n">
        <v>395.07</v>
      </c>
      <c r="G13" s="19">
        <f>HYPERLINK("https://www.tradingview.com/chart/?symbol=NSE:BIOCON","Chart 📈")</f>
        <v/>
      </c>
    </row>
    <row r="14" ht="16" customHeight="1">
      <c r="A14" s="20" t="inlineStr">
        <is>
          <t>NIFTY PHARMA</t>
        </is>
      </c>
      <c r="B14" s="17" t="inlineStr">
        <is>
          <t>DIVISLAB</t>
        </is>
      </c>
      <c r="C14" s="18" t="n">
        <v>7414</v>
      </c>
      <c r="D14" s="18" t="n">
        <v>7081.32</v>
      </c>
      <c r="E14" s="18" t="n">
        <v>6847.7</v>
      </c>
      <c r="F14" s="18" t="n">
        <v>6525.78</v>
      </c>
      <c r="G14" s="19">
        <f>HYPERLINK("https://www.tradingview.com/chart/?symbol=NSE:DIVISLAB","Chart 📈")</f>
        <v/>
      </c>
    </row>
    <row r="15" ht="16" customHeight="1">
      <c r="A15" s="20" t="inlineStr">
        <is>
          <t>NIFTY PHARMA</t>
        </is>
      </c>
      <c r="B15" s="17" t="inlineStr">
        <is>
          <t>GLAND</t>
        </is>
      </c>
      <c r="C15" s="18" t="n">
        <v>2427.1</v>
      </c>
      <c r="D15" s="18" t="n">
        <v>2423.98</v>
      </c>
      <c r="E15" s="18" t="n">
        <v>2310</v>
      </c>
      <c r="F15" s="18" t="n">
        <v>2035.44</v>
      </c>
      <c r="G15" s="19">
        <f>HYPERLINK("https://www.tradingview.com/chart/?symbol=NSE:GLAND","Chart 📈")</f>
        <v/>
      </c>
    </row>
    <row r="16" ht="16" customHeight="1">
      <c r="A16" s="20" t="inlineStr">
        <is>
          <t>NIFTY PHARMA</t>
        </is>
      </c>
      <c r="B16" s="17" t="inlineStr">
        <is>
          <t>IPCALAB</t>
        </is>
      </c>
      <c r="C16" s="18" t="n">
        <v>1777.6</v>
      </c>
      <c r="D16" s="18" t="n">
        <v>1774.13</v>
      </c>
      <c r="E16" s="18" t="n">
        <v>1697.11</v>
      </c>
      <c r="F16" s="18" t="n">
        <v>1555.5</v>
      </c>
      <c r="G16" s="19">
        <f>HYPERLINK("https://www.tradingview.com/chart/?symbol=NSE:IPCALAB","Chart 📈")</f>
        <v/>
      </c>
    </row>
    <row r="17" ht="16" customHeight="1">
      <c r="A17" s="20" t="inlineStr">
        <is>
          <t>NIFTY PHARMA</t>
        </is>
      </c>
      <c r="B17" s="17" t="inlineStr">
        <is>
          <t>JBCHEPHARM</t>
        </is>
      </c>
      <c r="C17" s="18" t="n">
        <v>2408.9</v>
      </c>
      <c r="D17" s="18" t="n">
        <v>2383.66</v>
      </c>
      <c r="E17" s="18" t="n">
        <v>2287.69</v>
      </c>
      <c r="F17" s="18" t="n">
        <v>2041.19</v>
      </c>
      <c r="G17" s="19">
        <f>HYPERLINK("https://www.tradingview.com/chart/?symbol=NSE:JBCHEPHARM","Chart 📈")</f>
        <v/>
      </c>
    </row>
    <row r="18" ht="16" customHeight="1">
      <c r="A18" s="20" t="inlineStr">
        <is>
          <t>NIFTY PHARMA</t>
        </is>
      </c>
      <c r="B18" s="17" t="inlineStr">
        <is>
          <t>LAURUSLABS</t>
        </is>
      </c>
      <c r="C18" s="18" t="n">
        <v>1713.4</v>
      </c>
      <c r="D18" s="18" t="n">
        <v>1550.73</v>
      </c>
      <c r="E18" s="18" t="n">
        <v>1453.63</v>
      </c>
      <c r="F18" s="18" t="n">
        <v>1198.38</v>
      </c>
      <c r="G18" s="19">
        <f>HYPERLINK("https://www.tradingview.com/chart/?symbol=NSE:LAURUSLABS","Chart 📈")</f>
        <v/>
      </c>
    </row>
    <row r="19" ht="16" customHeight="1">
      <c r="A19" s="20" t="inlineStr">
        <is>
          <t>NIFTY PHARMA</t>
        </is>
      </c>
      <c r="B19" s="17" t="inlineStr">
        <is>
          <t>MANKIND</t>
        </is>
      </c>
      <c r="C19" s="18" t="n">
        <v>2551.6</v>
      </c>
      <c r="D19" s="18" t="n">
        <v>2521.09</v>
      </c>
      <c r="E19" s="18" t="n">
        <v>2458.11</v>
      </c>
      <c r="F19" s="18" t="n">
        <v>2352.3</v>
      </c>
      <c r="G19" s="19">
        <f>HYPERLINK("https://www.tradingview.com/chart/?symbol=NSE:MANKIND","Chart 📈")</f>
        <v/>
      </c>
    </row>
    <row r="20" ht="16" customHeight="1">
      <c r="A20" s="20" t="inlineStr">
        <is>
          <t>NIFTY PHARMA</t>
        </is>
      </c>
      <c r="B20" s="17" t="inlineStr">
        <is>
          <t>SUNPHARMA</t>
        </is>
      </c>
      <c r="C20" s="18" t="n">
        <v>1973.7</v>
      </c>
      <c r="D20" s="18" t="n">
        <v>1924.88</v>
      </c>
      <c r="E20" s="18" t="n">
        <v>1875.82</v>
      </c>
      <c r="F20" s="18" t="n">
        <v>1778.6</v>
      </c>
      <c r="G20" s="19">
        <f>HYPERLINK("https://www.tradingview.com/chart/?symbol=NSE:SUNPHARMA","Chart 📈")</f>
        <v/>
      </c>
    </row>
    <row r="21" ht="16" customHeight="1">
      <c r="A21" s="20" t="inlineStr">
        <is>
          <t>NIFTY PHARMA</t>
        </is>
      </c>
      <c r="B21" s="17" t="inlineStr">
        <is>
          <t>TORNTPHARM</t>
        </is>
      </c>
      <c r="C21" s="18" t="n">
        <v>5019.5</v>
      </c>
      <c r="D21" s="18" t="n">
        <v>4886.36</v>
      </c>
      <c r="E21" s="18" t="n">
        <v>4685.98</v>
      </c>
      <c r="F21" s="18" t="n">
        <v>4238.42</v>
      </c>
      <c r="G21" s="19">
        <f>HYPERLINK("https://www.tradingview.com/chart/?symbol=NSE:TORNTPHARM","Chart 📈")</f>
        <v/>
      </c>
    </row>
    <row r="22" ht="16" customHeight="1">
      <c r="A22" s="12" t="inlineStr">
        <is>
          <t>NIFTY AUTO</t>
        </is>
      </c>
      <c r="B22" s="13" t="inlineStr">
        <is>
          <t>BAJAJ-AUTO</t>
        </is>
      </c>
      <c r="C22" s="14" t="n">
        <v>11183.5</v>
      </c>
      <c r="D22" s="14" t="n">
        <v>10514.75</v>
      </c>
      <c r="E22" s="14" t="n">
        <v>10238.75</v>
      </c>
      <c r="F22" s="14" t="n">
        <v>9571.809999999999</v>
      </c>
      <c r="G22" s="15">
        <f>HYPERLINK("https://www.tradingview.com/chart/?symbol=NSE:BAJAJ-AUTO","Chart 📈")</f>
        <v/>
      </c>
    </row>
    <row r="23" ht="16" customHeight="1">
      <c r="A23" s="16" t="inlineStr">
        <is>
          <t>NIFTY AUTO</t>
        </is>
      </c>
      <c r="B23" s="13" t="inlineStr">
        <is>
          <t>BHARATFORG</t>
        </is>
      </c>
      <c r="C23" s="14" t="n">
        <v>2181.3</v>
      </c>
      <c r="D23" s="14" t="n">
        <v>2140.48</v>
      </c>
      <c r="E23" s="14" t="n">
        <v>2059.35</v>
      </c>
      <c r="F23" s="14" t="n">
        <v>1752.38</v>
      </c>
      <c r="G23" s="15">
        <f>HYPERLINK("https://www.tradingview.com/chart/?symbol=NSE:BHARATFORG","Chart 📈")</f>
        <v/>
      </c>
    </row>
    <row r="24" ht="16" customHeight="1">
      <c r="A24" s="16" t="inlineStr">
        <is>
          <t>NIFTY AUTO</t>
        </is>
      </c>
      <c r="B24" s="13" t="inlineStr">
        <is>
          <t>BOSCHLTD</t>
        </is>
      </c>
      <c r="C24" s="14" t="n">
        <v>41250</v>
      </c>
      <c r="D24" s="14" t="n">
        <v>41143.88</v>
      </c>
      <c r="E24" s="14" t="n">
        <v>39769.42</v>
      </c>
      <c r="F24" s="14" t="n">
        <v>37643.45</v>
      </c>
      <c r="G24" s="15">
        <f>HYPERLINK("https://www.tradingview.com/chart/?symbol=NSE:BOSCHLTD","Chart 📈")</f>
        <v/>
      </c>
    </row>
    <row r="25" ht="16" customHeight="1">
      <c r="A25" s="16" t="inlineStr">
        <is>
          <t>NIFTY AUTO</t>
        </is>
      </c>
      <c r="B25" s="13" t="inlineStr">
        <is>
          <t>EICHERMOT</t>
        </is>
      </c>
      <c r="C25" s="14" t="n">
        <v>7769.5</v>
      </c>
      <c r="D25" s="14" t="n">
        <v>7520.59</v>
      </c>
      <c r="E25" s="14" t="n">
        <v>7403.97</v>
      </c>
      <c r="F25" s="14" t="n">
        <v>7076.47</v>
      </c>
      <c r="G25" s="15">
        <f>HYPERLINK("https://www.tradingview.com/chart/?symbol=NSE:EICHERMOT","Chart 📈")</f>
        <v/>
      </c>
    </row>
    <row r="26" ht="16" customHeight="1">
      <c r="A26" s="16" t="inlineStr">
        <is>
          <t>NIFTY AUTO</t>
        </is>
      </c>
      <c r="B26" s="13" t="inlineStr">
        <is>
          <t>EXIDEIND</t>
        </is>
      </c>
      <c r="C26" s="14" t="n">
        <v>427</v>
      </c>
      <c r="D26" s="14" t="n">
        <v>423.6</v>
      </c>
      <c r="E26" s="14" t="n">
        <v>400.6</v>
      </c>
      <c r="F26" s="14" t="n">
        <v>370.81</v>
      </c>
      <c r="G26" s="15">
        <f>HYPERLINK("https://www.tradingview.com/chart/?symbol=NSE:EXIDEIND","Chart 📈")</f>
        <v/>
      </c>
    </row>
    <row r="27" ht="16" customHeight="1">
      <c r="A27" s="16" t="inlineStr">
        <is>
          <t>NIFTY AUTO</t>
        </is>
      </c>
      <c r="B27" s="13" t="inlineStr">
        <is>
          <t>HEROMOTOCO</t>
        </is>
      </c>
      <c r="C27" s="14" t="n">
        <v>5113.8</v>
      </c>
      <c r="D27" s="14" t="n">
        <v>4917.14</v>
      </c>
      <c r="E27" s="14" t="n">
        <v>4918.68</v>
      </c>
      <c r="F27" s="14" t="n">
        <v>5034.77</v>
      </c>
      <c r="G27" s="15">
        <f>HYPERLINK("https://www.tradingview.com/chart/?symbol=NSE:HEROMOTOCO","Chart 📈")</f>
        <v/>
      </c>
    </row>
    <row r="28" ht="16" customHeight="1">
      <c r="A28" s="16" t="inlineStr">
        <is>
          <t>NIFTY AUTO</t>
        </is>
      </c>
      <c r="B28" s="13" t="inlineStr">
        <is>
          <t>M&amp;M</t>
        </is>
      </c>
      <c r="C28" s="14" t="n">
        <v>3238.6</v>
      </c>
      <c r="D28" s="14" t="n">
        <v>3150.26</v>
      </c>
      <c r="E28" s="14" t="n">
        <v>3122.28</v>
      </c>
      <c r="F28" s="14" t="n">
        <v>3226.67</v>
      </c>
      <c r="G28" s="15">
        <f>HYPERLINK("https://www.tradingview.com/chart/?symbol=NSE:M&amp;M","Chart 📈")</f>
        <v/>
      </c>
    </row>
    <row r="29" ht="16" customHeight="1">
      <c r="A29" s="16" t="inlineStr">
        <is>
          <t>NIFTY AUTO</t>
        </is>
      </c>
      <c r="B29" s="13" t="inlineStr">
        <is>
          <t>MOTHERSON</t>
        </is>
      </c>
      <c r="C29" s="14" t="n">
        <v>148.97</v>
      </c>
      <c r="D29" s="14" t="n">
        <v>144.69</v>
      </c>
      <c r="E29" s="14" t="n">
        <v>141.39</v>
      </c>
      <c r="F29" s="14" t="n">
        <v>126.25</v>
      </c>
      <c r="G29" s="15">
        <f>HYPERLINK("https://www.tradingview.com/chart/?symbol=NSE:MOTHERSON","Chart 📈")</f>
        <v/>
      </c>
    </row>
    <row r="30" ht="16" customHeight="1">
      <c r="A30" s="16" t="inlineStr">
        <is>
          <t>NIFTY AUTO</t>
        </is>
      </c>
      <c r="B30" s="13" t="inlineStr">
        <is>
          <t>TVSMOTOR</t>
        </is>
      </c>
      <c r="C30" s="14" t="n">
        <v>3876.4</v>
      </c>
      <c r="D30" s="14" t="n">
        <v>3694.85</v>
      </c>
      <c r="E30" s="14" t="n">
        <v>3595.75</v>
      </c>
      <c r="F30" s="14" t="n">
        <v>3497.98</v>
      </c>
      <c r="G30" s="15">
        <f>HYPERLINK("https://www.tradingview.com/chart/?symbol=NSE:TVSMOTOR","Chart 📈")</f>
        <v/>
      </c>
    </row>
    <row r="31" ht="16" customHeight="1">
      <c r="A31" s="8" t="inlineStr">
        <is>
          <t>NIFTY FMCG</t>
        </is>
      </c>
      <c r="B31" s="17" t="inlineStr">
        <is>
          <t>BALRAMCHIN</t>
        </is>
      </c>
      <c r="C31" s="18" t="n">
        <v>611.65</v>
      </c>
      <c r="D31" s="18" t="n">
        <v>589.3200000000001</v>
      </c>
      <c r="E31" s="18" t="n">
        <v>562.52</v>
      </c>
      <c r="F31" s="18" t="n">
        <v>520.62</v>
      </c>
      <c r="G31" s="19">
        <f>HYPERLINK("https://www.tradingview.com/chart/?symbol=NSE:BALRAMCHIN","Chart 📈")</f>
        <v/>
      </c>
    </row>
    <row r="32" ht="16" customHeight="1">
      <c r="A32" s="20" t="inlineStr">
        <is>
          <t>NIFTY FMCG</t>
        </is>
      </c>
      <c r="B32" s="17" t="inlineStr">
        <is>
          <t>COLPAL</t>
        </is>
      </c>
      <c r="C32" s="18" t="n">
        <v>2136.6</v>
      </c>
      <c r="D32" s="18" t="n">
        <v>2064.28</v>
      </c>
      <c r="E32" s="18" t="n">
        <v>2052.54</v>
      </c>
      <c r="F32" s="18" t="n">
        <v>2080.06</v>
      </c>
      <c r="G32" s="19">
        <f>HYPERLINK("https://www.tradingview.com/chart/?symbol=NSE:COLPAL","Chart 📈")</f>
        <v/>
      </c>
    </row>
    <row r="33" ht="16" customHeight="1">
      <c r="A33" s="20" t="inlineStr">
        <is>
          <t>NIFTY FMCG</t>
        </is>
      </c>
      <c r="B33" s="17" t="inlineStr">
        <is>
          <t>MARICO</t>
        </is>
      </c>
      <c r="C33" s="18" t="n">
        <v>858.65</v>
      </c>
      <c r="D33" s="18" t="n">
        <v>847.15</v>
      </c>
      <c r="E33" s="18" t="n">
        <v>831.76</v>
      </c>
      <c r="F33" s="18" t="n">
        <v>782.59</v>
      </c>
      <c r="G33" s="19">
        <f>HYPERLINK("https://www.tradingview.com/chart/?symbol=NSE:MARICO","Chart 📈")</f>
        <v/>
      </c>
    </row>
    <row r="34" ht="16" customHeight="1">
      <c r="A34" s="20" t="inlineStr">
        <is>
          <t>NIFTY FMCG</t>
        </is>
      </c>
      <c r="B34" s="17" t="inlineStr">
        <is>
          <t>NESTLEIND</t>
        </is>
      </c>
      <c r="C34" s="18" t="n">
        <v>1446.1</v>
      </c>
      <c r="D34" s="18" t="n">
        <v>1439.05</v>
      </c>
      <c r="E34" s="18" t="n">
        <v>1416.86</v>
      </c>
      <c r="F34" s="18" t="n">
        <v>1320.72</v>
      </c>
      <c r="G34" s="19">
        <f>HYPERLINK("https://www.tradingview.com/chart/?symbol=NSE:NESTLEIND","Chart 📈")</f>
        <v/>
      </c>
    </row>
    <row r="35" ht="16" customHeight="1">
      <c r="A35" s="20" t="inlineStr">
        <is>
          <t>NIFTY FMCG</t>
        </is>
      </c>
      <c r="B35" s="17" t="inlineStr">
        <is>
          <t>RADICO</t>
        </is>
      </c>
      <c r="C35" s="18" t="n">
        <v>4149.5</v>
      </c>
      <c r="D35" s="18" t="n">
        <v>4023.03</v>
      </c>
      <c r="E35" s="18" t="n">
        <v>3798.89</v>
      </c>
      <c r="F35" s="18" t="n">
        <v>3294.99</v>
      </c>
      <c r="G35" s="19">
        <f>HYPERLINK("https://www.tradingview.com/chart/?symbol=NSE:RADICO","Chart 📈")</f>
        <v/>
      </c>
    </row>
    <row r="36" ht="16" customHeight="1">
      <c r="A36" s="20" t="inlineStr">
        <is>
          <t>NIFTY FMCG</t>
        </is>
      </c>
      <c r="B36" s="17" t="inlineStr">
        <is>
          <t>UNITDSPR</t>
        </is>
      </c>
      <c r="C36" s="18" t="n">
        <v>1482</v>
      </c>
      <c r="D36" s="18" t="n">
        <v>1395.05</v>
      </c>
      <c r="E36" s="18" t="n">
        <v>1354.16</v>
      </c>
      <c r="F36" s="18" t="n">
        <v>1331.14</v>
      </c>
      <c r="G36" s="19">
        <f>HYPERLINK("https://www.tradingview.com/chart/?symbol=NSE:UNITDSPR","Chart 📈")</f>
        <v/>
      </c>
    </row>
    <row r="37" ht="16" customHeight="1">
      <c r="A37" s="12" t="inlineStr">
        <is>
          <t>NIFTY CONSUMER DURABLES</t>
        </is>
      </c>
      <c r="B37" s="13" t="inlineStr">
        <is>
          <t>CENTURYPLY</t>
        </is>
      </c>
      <c r="C37" s="14" t="n">
        <v>792.65</v>
      </c>
      <c r="D37" s="14" t="n">
        <v>780.6799999999999</v>
      </c>
      <c r="E37" s="14" t="n">
        <v>770.6</v>
      </c>
      <c r="F37" s="14" t="n">
        <v>762.15</v>
      </c>
      <c r="G37" s="15">
        <f>HYPERLINK("https://www.tradingview.com/chart/?symbol=NSE:CENTURYPLY","Chart 📈")</f>
        <v/>
      </c>
    </row>
    <row r="38" ht="16" customHeight="1">
      <c r="A38" s="16" t="inlineStr">
        <is>
          <t>NIFTY CONSUMER DURABLES</t>
        </is>
      </c>
      <c r="B38" s="13" t="inlineStr">
        <is>
          <t>CERA</t>
        </is>
      </c>
      <c r="C38" s="14" t="n">
        <v>6205.5</v>
      </c>
      <c r="D38" s="14" t="n">
        <v>6160.2</v>
      </c>
      <c r="E38" s="14" t="n">
        <v>6001.19</v>
      </c>
      <c r="F38" s="14" t="n">
        <v>5687.37</v>
      </c>
      <c r="G38" s="15">
        <f>HYPERLINK("https://www.tradingview.com/chart/?symbol=NSE:CERA","Chart 📈")</f>
        <v/>
      </c>
    </row>
    <row r="39" ht="16" customHeight="1">
      <c r="A39" s="16" t="inlineStr">
        <is>
          <t>NIFTY CONSUMER DURABLES</t>
        </is>
      </c>
      <c r="B39" s="13" t="inlineStr">
        <is>
          <t>DIXON</t>
        </is>
      </c>
      <c r="C39" s="14" t="n">
        <v>13810</v>
      </c>
      <c r="D39" s="14" t="n">
        <v>13476.74</v>
      </c>
      <c r="E39" s="14" t="n">
        <v>12668.86</v>
      </c>
      <c r="F39" s="14" t="n">
        <v>12729.73</v>
      </c>
      <c r="G39" s="15">
        <f>HYPERLINK("https://www.tradingview.com/chart/?symbol=NSE:DIXON","Chart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KAJARIACER</t>
        </is>
      </c>
      <c r="C40" s="14" t="n">
        <v>1220</v>
      </c>
      <c r="D40" s="14" t="n">
        <v>1213.38</v>
      </c>
      <c r="E40" s="14" t="n">
        <v>1172.56</v>
      </c>
      <c r="F40" s="14" t="n">
        <v>1109.9</v>
      </c>
      <c r="G40" s="15">
        <f>HYPERLINK("https://www.tradingview.com/chart/?symbol=NSE:KAJARIACER","Chart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KALYANKJIL</t>
        </is>
      </c>
      <c r="C41" s="14" t="n">
        <v>564.6</v>
      </c>
      <c r="D41" s="14" t="n">
        <v>507.92</v>
      </c>
      <c r="E41" s="14" t="n">
        <v>447.56</v>
      </c>
      <c r="F41" s="14" t="n">
        <v>443.79</v>
      </c>
      <c r="G41" s="15">
        <f>HYPERLINK("https://www.tradingview.com/chart/?symbol=NSE:KALYANKJIL","Chart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TITAN</t>
        </is>
      </c>
      <c r="C42" s="14" t="n">
        <v>4740.1</v>
      </c>
      <c r="D42" s="14" t="n">
        <v>4580.67</v>
      </c>
      <c r="E42" s="14" t="n">
        <v>4432.8</v>
      </c>
      <c r="F42" s="14" t="n">
        <v>4129.43</v>
      </c>
      <c r="G42" s="15">
        <f>HYPERLINK("https://www.tradingview.com/chart/?symbol=NSE:TITAN","Chart 📈")</f>
        <v/>
      </c>
    </row>
    <row r="43" ht="16" customHeight="1">
      <c r="A43" s="8" t="inlineStr">
        <is>
          <t>NIFTY FINANCIAL SERVICES</t>
        </is>
      </c>
      <c r="B43" s="17" t="inlineStr">
        <is>
          <t>BAJAJFINSV</t>
        </is>
      </c>
      <c r="C43" s="18" t="n">
        <v>1913</v>
      </c>
      <c r="D43" s="18" t="n">
        <v>1860.34</v>
      </c>
      <c r="E43" s="18" t="n">
        <v>1824.56</v>
      </c>
      <c r="F43" s="18" t="n">
        <v>1873.85</v>
      </c>
      <c r="G43" s="19">
        <f>HYPERLINK("https://www.tradingview.com/chart/?symbol=NSE:BAJAJFINSV","Chart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BAJFINANCE</t>
        </is>
      </c>
      <c r="C44" s="18" t="n">
        <v>1048.3</v>
      </c>
      <c r="D44" s="18" t="n">
        <v>1023.85</v>
      </c>
      <c r="E44" s="18" t="n">
        <v>985.09</v>
      </c>
      <c r="F44" s="18" t="n">
        <v>949.92</v>
      </c>
      <c r="G44" s="19">
        <f>HYPERLINK("https://www.tradingview.com/chart/?symbol=NSE:BAJFINANCE","Chart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CHOLAFIN</t>
        </is>
      </c>
      <c r="C45" s="18" t="n">
        <v>1785.2</v>
      </c>
      <c r="D45" s="18" t="n">
        <v>1758.9</v>
      </c>
      <c r="E45" s="18" t="n">
        <v>1704.24</v>
      </c>
      <c r="F45" s="18" t="n">
        <v>1630.44</v>
      </c>
      <c r="G45" s="19">
        <f>HYPERLINK("https://www.tradingview.com/chart/?symbol=NSE:CHOLAFIN","Chart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ICICIBANK</t>
        </is>
      </c>
      <c r="C46" s="18" t="n">
        <v>1445.7</v>
      </c>
      <c r="D46" s="18" t="n">
        <v>1415.19</v>
      </c>
      <c r="E46" s="18" t="n">
        <v>1371.02</v>
      </c>
      <c r="F46" s="18" t="n">
        <v>1357.5</v>
      </c>
      <c r="G46" s="19">
        <f>HYPERLINK("https://www.tradingview.com/chart/?symbol=NSE:ICICIBANK","Chart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LICHSGFIN</t>
        </is>
      </c>
      <c r="C47" s="18" t="n">
        <v>551.75</v>
      </c>
      <c r="D47" s="18" t="n">
        <v>546.4299999999999</v>
      </c>
      <c r="E47" s="18" t="n">
        <v>546.52</v>
      </c>
      <c r="F47" s="18" t="n">
        <v>545.66</v>
      </c>
      <c r="G47" s="19">
        <f>HYPERLINK("https://www.tradingview.com/chart/?symbol=NSE:LICHSGFIN","Chart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RECLTD</t>
        </is>
      </c>
      <c r="C48" s="18" t="n">
        <v>368.15</v>
      </c>
      <c r="D48" s="18" t="n">
        <v>358.56</v>
      </c>
      <c r="E48" s="18" t="n">
        <v>355.09</v>
      </c>
      <c r="F48" s="18" t="n">
        <v>353.9</v>
      </c>
      <c r="G48" s="19">
        <f>HYPERLINK("https://www.tradingview.com/chart/?symbol=NSE:RECLTD","Chart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SHRIRAMFIN</t>
        </is>
      </c>
      <c r="C49" s="18" t="n">
        <v>1038.2</v>
      </c>
      <c r="D49" s="18" t="n">
        <v>1029.2</v>
      </c>
      <c r="E49" s="18" t="n">
        <v>1006.11</v>
      </c>
      <c r="F49" s="18" t="n">
        <v>922.96</v>
      </c>
      <c r="G49" s="19">
        <f>HYPERLINK("https://www.tradingview.com/chart/?symbol=NSE:SHRIRAMFIN","Chart 📈")</f>
        <v/>
      </c>
    </row>
    <row r="50" ht="16" customHeight="1">
      <c r="A50" s="12" t="inlineStr">
        <is>
          <t>NIFTY MIDSMALL IT &amp; TELECOM</t>
        </is>
      </c>
      <c r="B50" s="13" t="inlineStr">
        <is>
          <t>COFORGE</t>
        </is>
      </c>
      <c r="C50" s="14" t="n">
        <v>1528.4</v>
      </c>
      <c r="D50" s="14" t="n">
        <v>1487.76</v>
      </c>
      <c r="E50" s="14" t="n">
        <v>1447.48</v>
      </c>
      <c r="F50" s="14" t="n">
        <v>1479.1</v>
      </c>
      <c r="G50" s="15">
        <f>HYPERLINK("https://www.tradingview.com/chart/?symbol=NSE:COFORGE","Chart 📈")</f>
        <v/>
      </c>
    </row>
    <row r="51" ht="16" customHeight="1">
      <c r="A51" s="16" t="inlineStr">
        <is>
          <t>NIFTY MIDSMALL IT &amp; TELECOM</t>
        </is>
      </c>
      <c r="B51" s="13" t="inlineStr">
        <is>
          <t>OFSS</t>
        </is>
      </c>
      <c r="C51" s="14" t="n">
        <v>11089</v>
      </c>
      <c r="D51" s="14" t="n">
        <v>11076.59</v>
      </c>
      <c r="E51" s="14" t="n">
        <v>10425.99</v>
      </c>
      <c r="F51" s="14" t="n">
        <v>8882.57</v>
      </c>
      <c r="G51" s="15">
        <f>HYPERLINK("https://www.tradingview.com/chart/?symbol=NSE:OFSS","Chart 📈")</f>
        <v/>
      </c>
    </row>
    <row r="52" ht="16" customHeight="1">
      <c r="A52" s="16" t="inlineStr">
        <is>
          <t>NIFTY MIDSMALL IT &amp; TELECOM</t>
        </is>
      </c>
      <c r="B52" s="13" t="inlineStr">
        <is>
          <t>PERSISTENT</t>
        </is>
      </c>
      <c r="C52" s="14" t="n">
        <v>5268.2</v>
      </c>
      <c r="D52" s="14" t="n">
        <v>5018.89</v>
      </c>
      <c r="E52" s="14" t="n">
        <v>4971.98</v>
      </c>
      <c r="F52" s="14" t="n">
        <v>5201.25</v>
      </c>
      <c r="G52" s="15">
        <f>HYPERLINK("https://www.tradingview.com/chart/?symbol=NSE:PERSISTENT","Chart 📈")</f>
        <v/>
      </c>
    </row>
    <row r="53" ht="16" customHeight="1">
      <c r="A53" s="16" t="inlineStr">
        <is>
          <t>NIFTY MIDSMALL IT &amp; TELECOM</t>
        </is>
      </c>
      <c r="B53" s="13" t="inlineStr">
        <is>
          <t>TANLA</t>
        </is>
      </c>
      <c r="C53" s="14" t="n">
        <v>587.1</v>
      </c>
      <c r="D53" s="14" t="n">
        <v>564.42</v>
      </c>
      <c r="E53" s="14" t="n">
        <v>540.89</v>
      </c>
      <c r="F53" s="14" t="n">
        <v>531.3</v>
      </c>
      <c r="G53" s="15">
        <f>HYPERLINK("https://www.tradingview.com/chart/?symbol=NSE:TANLA","Chart 📈")</f>
        <v/>
      </c>
    </row>
    <row r="54" ht="16" customHeight="1">
      <c r="A54" s="8" t="inlineStr">
        <is>
          <t>NIFTY MEDIA</t>
        </is>
      </c>
      <c r="B54" s="17" t="inlineStr">
        <is>
          <t>NAZARA</t>
        </is>
      </c>
      <c r="C54" s="18" t="n">
        <v>303.4</v>
      </c>
      <c r="D54" s="18" t="n">
        <v>303.09</v>
      </c>
      <c r="E54" s="18" t="n">
        <v>294.36</v>
      </c>
      <c r="F54" s="18" t="n">
        <v>282.62</v>
      </c>
      <c r="G54" s="19">
        <f>HYPERLINK("https://www.tradingview.com/chart/?symbol=NSE:NAZARA","Chart 📈")</f>
        <v/>
      </c>
    </row>
    <row r="55" ht="16" customHeight="1">
      <c r="A55" s="20" t="inlineStr">
        <is>
          <t>NIFTY MEDIA</t>
        </is>
      </c>
      <c r="B55" s="17" t="inlineStr">
        <is>
          <t>PVRINOX</t>
        </is>
      </c>
      <c r="C55" s="18" t="n">
        <v>1123.2</v>
      </c>
      <c r="D55" s="18" t="n">
        <v>1014.73</v>
      </c>
      <c r="E55" s="18" t="n">
        <v>999.2</v>
      </c>
      <c r="F55" s="18" t="n">
        <v>1010.39</v>
      </c>
      <c r="G55" s="19">
        <f>HYPERLINK("https://www.tradingview.com/chart/?symbol=NSE:PVRINOX","Chart 📈")</f>
        <v/>
      </c>
    </row>
    <row r="56" ht="16" customHeight="1">
      <c r="A56" s="20" t="inlineStr">
        <is>
          <t>NIFTY MEDIA</t>
        </is>
      </c>
      <c r="B56" s="17" t="inlineStr">
        <is>
          <t>SAREGAMA</t>
        </is>
      </c>
      <c r="C56" s="18" t="n">
        <v>514.85</v>
      </c>
      <c r="D56" s="18" t="n">
        <v>489.58</v>
      </c>
      <c r="E56" s="18" t="n">
        <v>460.75</v>
      </c>
      <c r="F56" s="18" t="n">
        <v>415.36</v>
      </c>
      <c r="G56" s="19">
        <f>HYPERLINK("https://www.tradingview.com/chart/?symbol=NSE:SAREGAMA","Chart 📈")</f>
        <v/>
      </c>
    </row>
    <row r="57" ht="16" customHeight="1">
      <c r="A57" s="20" t="inlineStr">
        <is>
          <t>NIFTY MEDIA</t>
        </is>
      </c>
      <c r="B57" s="17" t="inlineStr">
        <is>
          <t>TIPSMUSIC</t>
        </is>
      </c>
      <c r="C57" s="18" t="n">
        <v>712.55</v>
      </c>
      <c r="D57" s="18" t="n">
        <v>680.89</v>
      </c>
      <c r="E57" s="18" t="n">
        <v>661.87</v>
      </c>
      <c r="F57" s="18" t="n">
        <v>603.9</v>
      </c>
      <c r="G57" s="19">
        <f>HYPERLINK("https://www.tradingview.com/chart/?symbol=NSE:TIPSMUSIC","Chart 📈")</f>
        <v/>
      </c>
    </row>
    <row r="58" ht="16" customHeight="1">
      <c r="A58" s="20" t="inlineStr">
        <is>
          <t>NIFTY MEDIA</t>
        </is>
      </c>
      <c r="B58" s="17" t="inlineStr">
        <is>
          <t>ZEEL</t>
        </is>
      </c>
      <c r="C58" s="18" t="n">
        <v>108.86</v>
      </c>
      <c r="D58" s="18" t="n">
        <v>105.22</v>
      </c>
      <c r="E58" s="18" t="n">
        <v>102.19</v>
      </c>
      <c r="F58" s="18" t="n">
        <v>97.90000000000001</v>
      </c>
      <c r="G58" s="19">
        <f>HYPERLINK("https://www.tradingview.com/chart/?symbol=NSE:ZEEL","Chart 📈")</f>
        <v/>
      </c>
    </row>
    <row r="59" ht="16" customHeight="1">
      <c r="A59" s="12" t="inlineStr">
        <is>
          <t>NIFTY METAL</t>
        </is>
      </c>
      <c r="B59" s="13" t="inlineStr">
        <is>
          <t>WELCORP</t>
        </is>
      </c>
      <c r="C59" s="14" t="n">
        <v>1599.8</v>
      </c>
      <c r="D59" s="14" t="n">
        <v>1575.92</v>
      </c>
      <c r="E59" s="14" t="n">
        <v>1461.65</v>
      </c>
      <c r="F59" s="14" t="n">
        <v>1137.73</v>
      </c>
      <c r="G59" s="15">
        <f>HYPERLINK("https://www.tradingview.com/chart/?symbol=NSE:WELCORP","Chart 📈")</f>
        <v/>
      </c>
    </row>
    <row r="60" ht="16" customHeight="1">
      <c r="A60" s="8" t="inlineStr">
        <is>
          <t>NIFTY PSU BANK</t>
        </is>
      </c>
      <c r="B60" s="17" t="inlineStr">
        <is>
          <t>PNB</t>
        </is>
      </c>
      <c r="C60" s="18" t="n">
        <v>111.62</v>
      </c>
      <c r="D60" s="18" t="n">
        <v>108</v>
      </c>
      <c r="E60" s="18" t="n">
        <v>106.9</v>
      </c>
      <c r="F60" s="18" t="n">
        <v>109.05</v>
      </c>
      <c r="G60" s="19">
        <f>HYPERLINK("https://www.tradingview.com/chart/?symbol=NSE:PNB","Chart 📈")</f>
        <v/>
      </c>
    </row>
    <row r="61" ht="16" customHeight="1">
      <c r="A61" s="20" t="inlineStr">
        <is>
          <t>NIFTY PSU BANK</t>
        </is>
      </c>
      <c r="B61" s="17" t="inlineStr">
        <is>
          <t>UNIONBANK</t>
        </is>
      </c>
      <c r="C61" s="18" t="n">
        <v>170.11</v>
      </c>
      <c r="D61" s="18" t="n">
        <v>168.78</v>
      </c>
      <c r="E61" s="18" t="n">
        <v>167.29</v>
      </c>
      <c r="F61" s="18" t="n">
        <v>160.95</v>
      </c>
      <c r="G61" s="19">
        <f>HYPERLINK("https://www.tradingview.com/chart/?symbol=NSE:UNIONBANK","Chart 📈")</f>
        <v/>
      </c>
    </row>
    <row r="62" ht="16" customHeight="1">
      <c r="A62" s="12" t="inlineStr">
        <is>
          <t>NIFTY BANK</t>
        </is>
      </c>
      <c r="B62" s="13" t="inlineStr">
        <is>
          <t>AUBANK</t>
        </is>
      </c>
      <c r="C62" s="14" t="n">
        <v>1052.2</v>
      </c>
      <c r="D62" s="14" t="n">
        <v>1023.97</v>
      </c>
      <c r="E62" s="14" t="n">
        <v>1017.32</v>
      </c>
      <c r="F62" s="14" t="n">
        <v>952.95</v>
      </c>
      <c r="G62" s="15">
        <f>HYPERLINK("https://www.tradingview.com/chart/?symbol=NSE:AUBANK","Chart 📈")</f>
        <v/>
      </c>
    </row>
    <row r="63" ht="16" customHeight="1">
      <c r="A63" s="16" t="inlineStr">
        <is>
          <t>NIFTY BANK</t>
        </is>
      </c>
      <c r="B63" s="13" t="inlineStr">
        <is>
          <t>FEDERALBNK</t>
        </is>
      </c>
      <c r="C63" s="14" t="n">
        <v>356.5</v>
      </c>
      <c r="D63" s="14" t="n">
        <v>339.6</v>
      </c>
      <c r="E63" s="14" t="n">
        <v>323.22</v>
      </c>
      <c r="F63" s="14" t="n">
        <v>282.72</v>
      </c>
      <c r="G63" s="15">
        <f>HYPERLINK("https://www.tradingview.com/chart/?symbol=NSE:FEDERALBNK","Chart 📈")</f>
        <v/>
      </c>
    </row>
    <row r="64" ht="16" customHeight="1">
      <c r="A64" s="16" t="inlineStr">
        <is>
          <t>NIFTY BANK</t>
        </is>
      </c>
      <c r="B64" s="13" t="inlineStr">
        <is>
          <t>IDFCFIRSTB</t>
        </is>
      </c>
      <c r="C64" s="14" t="n">
        <v>84.88</v>
      </c>
      <c r="D64" s="14" t="n">
        <v>80.22</v>
      </c>
      <c r="E64" s="14" t="n">
        <v>77.31999999999999</v>
      </c>
      <c r="F64" s="14" t="n">
        <v>74.63</v>
      </c>
      <c r="G64" s="15">
        <f>HYPERLINK("https://www.tradingview.com/chart/?symbol=NSE:IDFCFIRSTB","Chart 📈")</f>
        <v/>
      </c>
    </row>
    <row r="65" ht="16" customHeight="1">
      <c r="A65" s="16" t="inlineStr">
        <is>
          <t>NIFTY BANK</t>
        </is>
      </c>
      <c r="B65" s="13" t="inlineStr">
        <is>
          <t>INDUSINDBK</t>
        </is>
      </c>
      <c r="C65" s="14" t="n">
        <v>1006.65</v>
      </c>
      <c r="D65" s="14" t="n">
        <v>1001.18</v>
      </c>
      <c r="E65" s="14" t="n">
        <v>962</v>
      </c>
      <c r="F65" s="14" t="n">
        <v>891.61</v>
      </c>
      <c r="G65" s="15">
        <f>HYPERLINK("https://www.tradingview.com/chart/?symbol=NSE:INDUSINDBK","Chart 📈")</f>
        <v/>
      </c>
    </row>
    <row r="66" ht="16" customHeight="1">
      <c r="A66" s="8" t="inlineStr">
        <is>
          <t>NIFTY IT</t>
        </is>
      </c>
      <c r="B66" s="17" t="inlineStr">
        <is>
          <t>TECHM</t>
        </is>
      </c>
      <c r="C66" s="18" t="n">
        <v>1575</v>
      </c>
      <c r="D66" s="18" t="n">
        <v>1505</v>
      </c>
      <c r="E66" s="18" t="n">
        <v>1460.36</v>
      </c>
      <c r="F66" s="18" t="n">
        <v>1442.53</v>
      </c>
      <c r="G66" s="19">
        <f>HYPERLINK("https://www.tradingview.com/chart/?symbol=NSE:TECHM","Chart 📈")</f>
        <v/>
      </c>
    </row>
    <row r="67" ht="16" customHeight="1">
      <c r="A67" s="12" t="inlineStr">
        <is>
          <t>NIFTY OIL &amp; GAS</t>
        </is>
      </c>
      <c r="B67" s="13" t="inlineStr">
        <is>
          <t>AEGISLOG</t>
        </is>
      </c>
      <c r="C67" s="14" t="n">
        <v>1291.3</v>
      </c>
      <c r="D67" s="14" t="n">
        <v>1271.4</v>
      </c>
      <c r="E67" s="14" t="n">
        <v>1101.75</v>
      </c>
      <c r="F67" s="14" t="n">
        <v>848.97</v>
      </c>
      <c r="G67" s="15">
        <f>HYPERLINK("https://www.tradingview.com/chart/?symbol=NSE:AEGISLOG","Chart 📈")</f>
        <v/>
      </c>
    </row>
    <row r="68" ht="16" customHeight="1">
      <c r="A68" s="16" t="inlineStr">
        <is>
          <t>NIFTY OIL &amp; GAS</t>
        </is>
      </c>
      <c r="B68" s="13" t="inlineStr">
        <is>
          <t>GAIL</t>
        </is>
      </c>
      <c r="C68" s="14" t="n">
        <v>174.23</v>
      </c>
      <c r="D68" s="14" t="n">
        <v>172.42</v>
      </c>
      <c r="E68" s="14" t="n">
        <v>170.07</v>
      </c>
      <c r="F68" s="14" t="n">
        <v>166.45</v>
      </c>
      <c r="G68" s="15">
        <f>HYPERLINK("https://www.tradingview.com/chart/?symbol=NSE:GAIL","Chart 📈")</f>
        <v/>
      </c>
    </row>
    <row r="69" ht="16" customHeight="1">
      <c r="A69" s="8" t="inlineStr">
        <is>
          <t>NIFTY ENERGY</t>
        </is>
      </c>
      <c r="B69" s="17" t="inlineStr">
        <is>
          <t>ABB</t>
        </is>
      </c>
      <c r="C69" s="18" t="n">
        <v>7327.5</v>
      </c>
      <c r="D69" s="18" t="n">
        <v>7245.18</v>
      </c>
      <c r="E69" s="18" t="n">
        <v>7060.89</v>
      </c>
      <c r="F69" s="18" t="n">
        <v>6332.28</v>
      </c>
      <c r="G69" s="19">
        <f>HYPERLINK("https://www.tradingview.com/chart/?symbol=NSE:ABB","Chart 📈")</f>
        <v/>
      </c>
    </row>
    <row r="70" ht="16" customHeight="1">
      <c r="A70" s="20" t="inlineStr">
        <is>
          <t>NIFTY ENERGY</t>
        </is>
      </c>
      <c r="B70" s="17" t="inlineStr">
        <is>
          <t>ADANIENSOL</t>
        </is>
      </c>
      <c r="C70" s="18" t="n">
        <v>1703.3</v>
      </c>
      <c r="D70" s="18" t="n">
        <v>1656.42</v>
      </c>
      <c r="E70" s="18" t="n">
        <v>1551.57</v>
      </c>
      <c r="F70" s="18" t="n">
        <v>1238.61</v>
      </c>
      <c r="G70" s="19">
        <f>HYPERLINK("https://www.tradingview.com/chart/?symbol=NSE:ADANIENSOL","Chart 📈")</f>
        <v/>
      </c>
    </row>
    <row r="71" ht="16" customHeight="1">
      <c r="A71" s="20" t="inlineStr">
        <is>
          <t>NIFTY ENERGY</t>
        </is>
      </c>
      <c r="B71" s="17" t="inlineStr">
        <is>
          <t>BHEL</t>
        </is>
      </c>
      <c r="C71" s="18" t="n">
        <v>415.95</v>
      </c>
      <c r="D71" s="18" t="n">
        <v>408.15</v>
      </c>
      <c r="E71" s="18" t="n">
        <v>393.79</v>
      </c>
      <c r="F71" s="18" t="n">
        <v>327.12</v>
      </c>
      <c r="G71" s="19">
        <f>HYPERLINK("https://www.tradingview.com/chart/?symbol=NSE:BHEL","Chart 📈")</f>
        <v/>
      </c>
    </row>
    <row r="72" ht="16" customHeight="1">
      <c r="A72" s="20" t="inlineStr">
        <is>
          <t>NIFTY ENERGY</t>
        </is>
      </c>
      <c r="B72" s="17" t="inlineStr">
        <is>
          <t>NHPC</t>
        </is>
      </c>
      <c r="C72" s="18" t="n">
        <v>79.72</v>
      </c>
      <c r="D72" s="18" t="n">
        <v>79.41</v>
      </c>
      <c r="E72" s="18" t="n">
        <v>78.75</v>
      </c>
      <c r="F72" s="18" t="n">
        <v>78.73</v>
      </c>
      <c r="G72" s="19">
        <f>HYPERLINK("https://www.tradingview.com/chart/?symbol=NSE:NHPC","Chart 📈")</f>
        <v/>
      </c>
    </row>
    <row r="73" ht="16" customHeight="1">
      <c r="A73" s="20" t="inlineStr">
        <is>
          <t>NIFTY ENERGY</t>
        </is>
      </c>
      <c r="B73" s="17" t="inlineStr">
        <is>
          <t>SIEMENS</t>
        </is>
      </c>
      <c r="C73" s="18" t="n">
        <v>3718</v>
      </c>
      <c r="D73" s="18" t="n">
        <v>3626.54</v>
      </c>
      <c r="E73" s="18" t="n">
        <v>3610.11</v>
      </c>
      <c r="F73" s="18" t="n">
        <v>3409.42</v>
      </c>
      <c r="G73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2026-07-27T13:48:45Z</dcterms:created>
  <dcterms:modified xsi:type="dcterms:W3CDTF">2026-07-27T13:48:45Z</dcterms:modified>
</cp:coreProperties>
</file>