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18-Sep-2026  14:57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13</v>
      </c>
      <c r="D4" s="5" t="n">
        <v>11</v>
      </c>
      <c r="E4" s="5" t="n">
        <v>13</v>
      </c>
      <c r="F4" s="6" t="n">
        <v>0.65</v>
      </c>
      <c r="G4" s="6" t="n">
        <v>0.55</v>
      </c>
      <c r="H4" s="6" t="n">
        <v>0.65</v>
      </c>
      <c r="I4" s="7" t="n">
        <v>0.6167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6</v>
      </c>
      <c r="E5" s="9" t="n">
        <v>10</v>
      </c>
      <c r="F5" s="10" t="n">
        <v>0.5329999999999999</v>
      </c>
      <c r="G5" s="10" t="n">
        <v>0.4</v>
      </c>
      <c r="H5" s="10" t="n">
        <v>0.667</v>
      </c>
      <c r="I5" s="11" t="n">
        <v>0.5333</v>
      </c>
    </row>
    <row r="6" ht="17" customHeight="1">
      <c r="A6" s="4" t="inlineStr">
        <is>
          <t>NIFTY OIL &amp; GAS</t>
        </is>
      </c>
      <c r="B6" s="5" t="n">
        <v>15</v>
      </c>
      <c r="C6" s="5" t="n">
        <v>8</v>
      </c>
      <c r="D6" s="5" t="n">
        <v>7</v>
      </c>
      <c r="E6" s="5" t="n">
        <v>6</v>
      </c>
      <c r="F6" s="6" t="n">
        <v>0.5329999999999999</v>
      </c>
      <c r="G6" s="6" t="n">
        <v>0.467</v>
      </c>
      <c r="H6" s="6" t="n">
        <v>0.4</v>
      </c>
      <c r="I6" s="7" t="n">
        <v>0.4667</v>
      </c>
    </row>
    <row r="7" ht="17" customHeight="1">
      <c r="A7" s="8" t="inlineStr">
        <is>
          <t>NIFTY MEDIA</t>
        </is>
      </c>
      <c r="B7" s="9" t="n">
        <v>10</v>
      </c>
      <c r="C7" s="9" t="n">
        <v>4</v>
      </c>
      <c r="D7" s="9" t="n">
        <v>4</v>
      </c>
      <c r="E7" s="9" t="n">
        <v>4</v>
      </c>
      <c r="F7" s="10" t="n">
        <v>0.4</v>
      </c>
      <c r="G7" s="10" t="n">
        <v>0.4</v>
      </c>
      <c r="H7" s="10" t="n">
        <v>0.4</v>
      </c>
      <c r="I7" s="11" t="n">
        <v>0.4</v>
      </c>
    </row>
    <row r="8" ht="17" customHeight="1">
      <c r="A8" s="4" t="inlineStr">
        <is>
          <t>NIFTY REALTY</t>
        </is>
      </c>
      <c r="B8" s="5" t="n">
        <v>10</v>
      </c>
      <c r="C8" s="5" t="n">
        <v>2</v>
      </c>
      <c r="D8" s="5" t="n">
        <v>3</v>
      </c>
      <c r="E8" s="5" t="n">
        <v>6</v>
      </c>
      <c r="F8" s="6" t="n">
        <v>0.2</v>
      </c>
      <c r="G8" s="6" t="n">
        <v>0.3</v>
      </c>
      <c r="H8" s="6" t="n">
        <v>0.6</v>
      </c>
      <c r="I8" s="7" t="n">
        <v>0.3667</v>
      </c>
    </row>
    <row r="9" ht="17" customHeight="1">
      <c r="A9" s="8" t="inlineStr">
        <is>
          <t>NIFTY AUTO</t>
        </is>
      </c>
      <c r="B9" s="9" t="n">
        <v>15</v>
      </c>
      <c r="C9" s="9" t="n">
        <v>3</v>
      </c>
      <c r="D9" s="9" t="n">
        <v>4</v>
      </c>
      <c r="E9" s="9" t="n">
        <v>9</v>
      </c>
      <c r="F9" s="10" t="n">
        <v>0.2</v>
      </c>
      <c r="G9" s="10" t="n">
        <v>0.267</v>
      </c>
      <c r="H9" s="10" t="n">
        <v>0.6</v>
      </c>
      <c r="I9" s="11" t="n">
        <v>0.3557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7</v>
      </c>
      <c r="D10" s="5" t="n">
        <v>5</v>
      </c>
      <c r="E10" s="5" t="n">
        <v>6</v>
      </c>
      <c r="F10" s="6" t="n">
        <v>0.35</v>
      </c>
      <c r="G10" s="6" t="n">
        <v>0.25</v>
      </c>
      <c r="H10" s="6" t="n">
        <v>0.3</v>
      </c>
      <c r="I10" s="7" t="n">
        <v>0.3</v>
      </c>
    </row>
    <row r="11" ht="17" customHeight="1">
      <c r="A11" s="8" t="inlineStr">
        <is>
          <t>NIFTY MIDSMALL IT &amp; TELECOM</t>
        </is>
      </c>
      <c r="B11" s="9" t="n">
        <v>20</v>
      </c>
      <c r="C11" s="9" t="n">
        <v>4</v>
      </c>
      <c r="D11" s="9" t="n">
        <v>5</v>
      </c>
      <c r="E11" s="9" t="n">
        <v>9</v>
      </c>
      <c r="F11" s="10" t="n">
        <v>0.2</v>
      </c>
      <c r="G11" s="10" t="n">
        <v>0.25</v>
      </c>
      <c r="H11" s="10" t="n">
        <v>0.45</v>
      </c>
      <c r="I11" s="11" t="n">
        <v>0.3</v>
      </c>
    </row>
    <row r="12" ht="17" customHeight="1">
      <c r="A12" s="4" t="inlineStr">
        <is>
          <t>NIFTY PSU BANK</t>
        </is>
      </c>
      <c r="B12" s="5" t="n">
        <v>12</v>
      </c>
      <c r="C12" s="5" t="n">
        <v>3</v>
      </c>
      <c r="D12" s="5" t="n">
        <v>3</v>
      </c>
      <c r="E12" s="5" t="n">
        <v>4</v>
      </c>
      <c r="F12" s="6" t="n">
        <v>0.25</v>
      </c>
      <c r="G12" s="6" t="n">
        <v>0.25</v>
      </c>
      <c r="H12" s="6" t="n">
        <v>0.333</v>
      </c>
      <c r="I12" s="7" t="n">
        <v>0.2777</v>
      </c>
    </row>
    <row r="13" ht="17" customHeight="1">
      <c r="A13" s="8" t="inlineStr">
        <is>
          <t>NIFTY FMCG</t>
        </is>
      </c>
      <c r="B13" s="9" t="n">
        <v>15</v>
      </c>
      <c r="C13" s="9" t="n">
        <v>4</v>
      </c>
      <c r="D13" s="9" t="n">
        <v>2</v>
      </c>
      <c r="E13" s="9" t="n">
        <v>4</v>
      </c>
      <c r="F13" s="10" t="n">
        <v>0.267</v>
      </c>
      <c r="G13" s="10" t="n">
        <v>0.133</v>
      </c>
      <c r="H13" s="10" t="n">
        <v>0.267</v>
      </c>
      <c r="I13" s="11" t="n">
        <v>0.2223</v>
      </c>
    </row>
    <row r="14" ht="17" customHeight="1">
      <c r="A14" s="4" t="inlineStr">
        <is>
          <t>NIFTY ENERGY</t>
        </is>
      </c>
      <c r="B14" s="5" t="n">
        <v>40</v>
      </c>
      <c r="C14" s="5" t="n">
        <v>9</v>
      </c>
      <c r="D14" s="5" t="n">
        <v>6</v>
      </c>
      <c r="E14" s="5" t="n">
        <v>10</v>
      </c>
      <c r="F14" s="6" t="n">
        <v>0.225</v>
      </c>
      <c r="G14" s="6" t="n">
        <v>0.15</v>
      </c>
      <c r="H14" s="6" t="n">
        <v>0.25</v>
      </c>
      <c r="I14" s="7" t="n">
        <v>0.2083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2</v>
      </c>
      <c r="E15" s="9" t="n">
        <v>4</v>
      </c>
      <c r="F15" s="10" t="n">
        <v>0.083</v>
      </c>
      <c r="G15" s="10" t="n">
        <v>0.167</v>
      </c>
      <c r="H15" s="10" t="n">
        <v>0.333</v>
      </c>
      <c r="I15" s="11" t="n">
        <v>0.1943</v>
      </c>
    </row>
    <row r="16" ht="17" customHeight="1">
      <c r="A16" s="4" t="inlineStr">
        <is>
          <t>NIFTY CONSUMER DURABLES</t>
        </is>
      </c>
      <c r="B16" s="5" t="n">
        <v>15</v>
      </c>
      <c r="C16" s="5" t="n">
        <v>1</v>
      </c>
      <c r="D16" s="5" t="n">
        <v>2</v>
      </c>
      <c r="E16" s="5" t="n">
        <v>4</v>
      </c>
      <c r="F16" s="6" t="n">
        <v>0.067</v>
      </c>
      <c r="G16" s="6" t="n">
        <v>0.133</v>
      </c>
      <c r="H16" s="6" t="n">
        <v>0.267</v>
      </c>
      <c r="I16" s="7" t="n">
        <v>0.1557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27270</v>
      </c>
      <c r="D3" s="14" t="n">
        <v>26215.27</v>
      </c>
      <c r="E3" s="14" t="n">
        <v>26446.86</v>
      </c>
      <c r="F3" s="14" t="n">
        <v>26847.09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3563.6</v>
      </c>
      <c r="D4" s="14" t="n">
        <v>3534.75</v>
      </c>
      <c r="E4" s="14" t="n">
        <v>3467.29</v>
      </c>
      <c r="F4" s="14" t="n">
        <v>3105.23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ALKEM</t>
        </is>
      </c>
      <c r="C5" s="14" t="n">
        <v>5466.5</v>
      </c>
      <c r="D5" s="14" t="n">
        <v>5273.09</v>
      </c>
      <c r="E5" s="14" t="n">
        <v>5365.48</v>
      </c>
      <c r="F5" s="14" t="n">
        <v>5447.1</v>
      </c>
      <c r="G5" s="15">
        <f>HYPERLINK("https://www.tradingview.com/chart/?symbol=NSE:ALKEM","Chart 📈")</f>
        <v/>
      </c>
    </row>
    <row r="6" ht="16" customHeight="1">
      <c r="A6" s="16" t="inlineStr">
        <is>
          <t>NIFTY PHARMA</t>
        </is>
      </c>
      <c r="B6" s="13" t="inlineStr">
        <is>
          <t>AUROPHARMA</t>
        </is>
      </c>
      <c r="C6" s="14" t="n">
        <v>1734</v>
      </c>
      <c r="D6" s="14" t="n">
        <v>1662.73</v>
      </c>
      <c r="E6" s="14" t="n">
        <v>1620.01</v>
      </c>
      <c r="F6" s="14" t="n">
        <v>1441.81</v>
      </c>
      <c r="G6" s="15">
        <f>HYPERLINK("https://www.tradingview.com/chart/?symbol=NSE:AUROPHARMA","Chart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9375</v>
      </c>
      <c r="D7" s="14" t="n">
        <v>9137.959999999999</v>
      </c>
      <c r="E7" s="14" t="n">
        <v>8535.549999999999</v>
      </c>
      <c r="F7" s="14" t="n">
        <v>7244.84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2961.9</v>
      </c>
      <c r="D8" s="14" t="n">
        <v>2889.49</v>
      </c>
      <c r="E8" s="14" t="n">
        <v>2739.28</v>
      </c>
      <c r="F8" s="14" t="n">
        <v>2279.8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GLENMARK</t>
        </is>
      </c>
      <c r="C9" s="14" t="n">
        <v>2447.4</v>
      </c>
      <c r="D9" s="14" t="n">
        <v>2410.39</v>
      </c>
      <c r="E9" s="14" t="n">
        <v>2353.17</v>
      </c>
      <c r="F9" s="14" t="n">
        <v>2221.26</v>
      </c>
      <c r="G9" s="15">
        <f>HYPERLINK("https://www.tradingview.com/chart/?symbol=NSE:GLENMARK","Chart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875.5</v>
      </c>
      <c r="D10" s="14" t="n">
        <v>866.51</v>
      </c>
      <c r="E10" s="14" t="n">
        <v>848.8</v>
      </c>
      <c r="F10" s="14" t="n">
        <v>738.84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IPCALAB</t>
        </is>
      </c>
      <c r="C11" s="14" t="n">
        <v>2009.6</v>
      </c>
      <c r="D11" s="14" t="n">
        <v>1944.09</v>
      </c>
      <c r="E11" s="14" t="n">
        <v>1865.68</v>
      </c>
      <c r="F11" s="14" t="n">
        <v>1649.34</v>
      </c>
      <c r="G11" s="15">
        <f>HYPERLINK("https://www.tradingview.com/chart/?symbol=NSE:IPCALAB","Chart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1954</v>
      </c>
      <c r="D12" s="14" t="n">
        <v>1898.65</v>
      </c>
      <c r="E12" s="14" t="n">
        <v>1788.52</v>
      </c>
      <c r="F12" s="14" t="n">
        <v>1413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1160</v>
      </c>
      <c r="D13" s="14" t="n">
        <v>1133.59</v>
      </c>
      <c r="E13" s="14" t="n">
        <v>1125.6</v>
      </c>
      <c r="F13" s="14" t="n">
        <v>1049.68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METAL</t>
        </is>
      </c>
      <c r="B14" s="17" t="inlineStr">
        <is>
          <t>ADANIENT</t>
        </is>
      </c>
      <c r="C14" s="18" t="n">
        <v>3020</v>
      </c>
      <c r="D14" s="18" t="n">
        <v>2994.34</v>
      </c>
      <c r="E14" s="18" t="n">
        <v>2992.01</v>
      </c>
      <c r="F14" s="18" t="n">
        <v>2709.33</v>
      </c>
      <c r="G14" s="19">
        <f>HYPERLINK("https://www.tradingview.com/chart/?symbol=NSE:ADANIENT","Chart 📈")</f>
        <v/>
      </c>
    </row>
    <row r="15" ht="16" customHeight="1">
      <c r="A15" s="20" t="inlineStr">
        <is>
          <t>NIFTY METAL</t>
        </is>
      </c>
      <c r="B15" s="17" t="inlineStr">
        <is>
          <t>APLAPOLLO</t>
        </is>
      </c>
      <c r="C15" s="18" t="n">
        <v>2270.1</v>
      </c>
      <c r="D15" s="18" t="n">
        <v>2154.44</v>
      </c>
      <c r="E15" s="18" t="n">
        <v>2062.45</v>
      </c>
      <c r="F15" s="18" t="n">
        <v>1938.13</v>
      </c>
      <c r="G15" s="19">
        <f>HYPERLINK("https://www.tradingview.com/chart/?symbol=NSE:APLAPOLLO","Chart 📈")</f>
        <v/>
      </c>
    </row>
    <row r="16" ht="16" customHeight="1">
      <c r="A16" s="20" t="inlineStr">
        <is>
          <t>NIFTY METAL</t>
        </is>
      </c>
      <c r="B16" s="17" t="inlineStr">
        <is>
          <t>HINDZINC</t>
        </is>
      </c>
      <c r="C16" s="18" t="n">
        <v>596</v>
      </c>
      <c r="D16" s="18" t="n">
        <v>584.12</v>
      </c>
      <c r="E16" s="18" t="n">
        <v>577.6</v>
      </c>
      <c r="F16" s="18" t="n">
        <v>560.53</v>
      </c>
      <c r="G16" s="19">
        <f>HYPERLINK("https://www.tradingview.com/chart/?symbol=NSE:HINDZINC","Chart 📈")</f>
        <v/>
      </c>
    </row>
    <row r="17" ht="16" customHeight="1">
      <c r="A17" s="20" t="inlineStr">
        <is>
          <t>NIFTY METAL</t>
        </is>
      </c>
      <c r="B17" s="17" t="inlineStr">
        <is>
          <t>JSL</t>
        </is>
      </c>
      <c r="C17" s="18" t="n">
        <v>750.95</v>
      </c>
      <c r="D17" s="18" t="n">
        <v>737.36</v>
      </c>
      <c r="E17" s="18" t="n">
        <v>728.98</v>
      </c>
      <c r="F17" s="18" t="n">
        <v>736.9299999999999</v>
      </c>
      <c r="G17" s="19">
        <f>HYPERLINK("https://www.tradingview.com/chart/?symbol=NSE:JSL","Chart 📈")</f>
        <v/>
      </c>
    </row>
    <row r="18" ht="16" customHeight="1">
      <c r="A18" s="20" t="inlineStr">
        <is>
          <t>NIFTY METAL</t>
        </is>
      </c>
      <c r="B18" s="17" t="inlineStr">
        <is>
          <t>RATNAMANI</t>
        </is>
      </c>
      <c r="C18" s="18" t="n">
        <v>2859.1</v>
      </c>
      <c r="D18" s="18" t="n">
        <v>2673.64</v>
      </c>
      <c r="E18" s="18" t="n">
        <v>2578.97</v>
      </c>
      <c r="F18" s="18" t="n">
        <v>2484.89</v>
      </c>
      <c r="G18" s="19">
        <f>HYPERLINK("https://www.tradingview.com/chart/?symbol=NSE:RATNAMANI","Chart 📈")</f>
        <v/>
      </c>
    </row>
    <row r="19" ht="16" customHeight="1">
      <c r="A19" s="20" t="inlineStr">
        <is>
          <t>NIFTY METAL</t>
        </is>
      </c>
      <c r="B19" s="17" t="inlineStr">
        <is>
          <t>WELCORP</t>
        </is>
      </c>
      <c r="C19" s="18" t="n">
        <v>2660.1</v>
      </c>
      <c r="D19" s="18" t="n">
        <v>2458.48</v>
      </c>
      <c r="E19" s="18" t="n">
        <v>2151.07</v>
      </c>
      <c r="F19" s="18" t="n">
        <v>1492</v>
      </c>
      <c r="G19" s="19">
        <f>HYPERLINK("https://www.tradingview.com/chart/?symbol=NSE:WELCORP","Chart 📈")</f>
        <v/>
      </c>
    </row>
    <row r="20" ht="16" customHeight="1">
      <c r="A20" s="12" t="inlineStr">
        <is>
          <t>NIFTY OIL &amp; GAS</t>
        </is>
      </c>
      <c r="B20" s="13" t="inlineStr">
        <is>
          <t>AEGISLOG</t>
        </is>
      </c>
      <c r="C20" s="14" t="n">
        <v>1415.4</v>
      </c>
      <c r="D20" s="14" t="n">
        <v>1327.79</v>
      </c>
      <c r="E20" s="14" t="n">
        <v>1274.58</v>
      </c>
      <c r="F20" s="14" t="n">
        <v>1005.08</v>
      </c>
      <c r="G20" s="15">
        <f>HYPERLINK("https://www.tradingview.com/chart/?symbol=NSE:AEGISLOG","Chart 📈")</f>
        <v/>
      </c>
    </row>
    <row r="21" ht="16" customHeight="1">
      <c r="A21" s="16" t="inlineStr">
        <is>
          <t>NIFTY OIL &amp; GAS</t>
        </is>
      </c>
      <c r="B21" s="13" t="inlineStr">
        <is>
          <t>ATGL</t>
        </is>
      </c>
      <c r="C21" s="14" t="n">
        <v>660.7</v>
      </c>
      <c r="D21" s="14" t="n">
        <v>619.4</v>
      </c>
      <c r="E21" s="14" t="n">
        <v>642.1900000000001</v>
      </c>
      <c r="F21" s="14" t="n">
        <v>634.24</v>
      </c>
      <c r="G21" s="15">
        <f>HYPERLINK("https://www.tradingview.com/chart/?symbol=NSE:ATGL","Chart 📈")</f>
        <v/>
      </c>
    </row>
    <row r="22" ht="16" customHeight="1">
      <c r="A22" s="16" t="inlineStr">
        <is>
          <t>NIFTY OIL &amp; GAS</t>
        </is>
      </c>
      <c r="B22" s="13" t="inlineStr">
        <is>
          <t>CASTROLIND</t>
        </is>
      </c>
      <c r="C22" s="14" t="n">
        <v>197.14</v>
      </c>
      <c r="D22" s="14" t="n">
        <v>188.7</v>
      </c>
      <c r="E22" s="14" t="n">
        <v>185.62</v>
      </c>
      <c r="F22" s="14" t="n">
        <v>181.69</v>
      </c>
      <c r="G22" s="15">
        <f>HYPERLINK("https://www.tradingview.com/chart/?symbol=NSE:CASTROLIND","Chart 📈")</f>
        <v/>
      </c>
    </row>
    <row r="23" ht="16" customHeight="1">
      <c r="A23" s="16" t="inlineStr">
        <is>
          <t>NIFTY OIL &amp; GAS</t>
        </is>
      </c>
      <c r="B23" s="13" t="inlineStr">
        <is>
          <t>GAIL</t>
        </is>
      </c>
      <c r="C23" s="14" t="n">
        <v>173.9</v>
      </c>
      <c r="D23" s="14" t="n">
        <v>173.29</v>
      </c>
      <c r="E23" s="14" t="n">
        <v>172.76</v>
      </c>
      <c r="F23" s="14" t="n">
        <v>168.7</v>
      </c>
      <c r="G23" s="15">
        <f>HYPERLINK("https://www.tradingview.com/chart/?symbol=NSE:GAIL","Chart 📈")</f>
        <v/>
      </c>
    </row>
    <row r="24" ht="16" customHeight="1">
      <c r="A24" s="16" t="inlineStr">
        <is>
          <t>NIFTY OIL &amp; GAS</t>
        </is>
      </c>
      <c r="B24" s="13" t="inlineStr">
        <is>
          <t>PETRONET</t>
        </is>
      </c>
      <c r="C24" s="14" t="n">
        <v>292.6</v>
      </c>
      <c r="D24" s="14" t="n">
        <v>287.31</v>
      </c>
      <c r="E24" s="14" t="n">
        <v>284.68</v>
      </c>
      <c r="F24" s="14" t="n">
        <v>278.53</v>
      </c>
      <c r="G24" s="15">
        <f>HYPERLINK("https://www.tradingview.com/chart/?symbol=NSE:PETRONET","Chart 📈")</f>
        <v/>
      </c>
    </row>
    <row r="25" ht="16" customHeight="1">
      <c r="A25" s="8" t="inlineStr">
        <is>
          <t>NIFTY MEDIA</t>
        </is>
      </c>
      <c r="B25" s="17" t="inlineStr">
        <is>
          <t>NAZARA</t>
        </is>
      </c>
      <c r="C25" s="18" t="n">
        <v>369.35</v>
      </c>
      <c r="D25" s="18" t="n">
        <v>362.55</v>
      </c>
      <c r="E25" s="18" t="n">
        <v>346.15</v>
      </c>
      <c r="F25" s="18" t="n">
        <v>302.35</v>
      </c>
      <c r="G25" s="19">
        <f>HYPERLINK("https://www.tradingview.com/chart/?symbol=NSE:NAZARA","Chart 📈")</f>
        <v/>
      </c>
    </row>
    <row r="26" ht="16" customHeight="1">
      <c r="A26" s="20" t="inlineStr">
        <is>
          <t>NIFTY MEDIA</t>
        </is>
      </c>
      <c r="B26" s="17" t="inlineStr">
        <is>
          <t>PVRINOX</t>
        </is>
      </c>
      <c r="C26" s="18" t="n">
        <v>1324.7</v>
      </c>
      <c r="D26" s="18" t="n">
        <v>1228.58</v>
      </c>
      <c r="E26" s="18" t="n">
        <v>1170.18</v>
      </c>
      <c r="F26" s="18" t="n">
        <v>1082.26</v>
      </c>
      <c r="G26" s="19">
        <f>HYPERLINK("https://www.tradingview.com/chart/?symbol=NSE:PVRINOX","Chart 📈")</f>
        <v/>
      </c>
    </row>
    <row r="27" ht="16" customHeight="1">
      <c r="A27" s="20" t="inlineStr">
        <is>
          <t>NIFTY MEDIA</t>
        </is>
      </c>
      <c r="B27" s="17" t="inlineStr">
        <is>
          <t>SAREGAMA</t>
        </is>
      </c>
      <c r="C27" s="18" t="n">
        <v>499.9</v>
      </c>
      <c r="D27" s="18" t="n">
        <v>498.41</v>
      </c>
      <c r="E27" s="18" t="n">
        <v>494.41</v>
      </c>
      <c r="F27" s="18" t="n">
        <v>445.32</v>
      </c>
      <c r="G27" s="19">
        <f>HYPERLINK("https://www.tradingview.com/chart/?symbol=NSE:SAREGAMA","Chart 📈")</f>
        <v/>
      </c>
    </row>
    <row r="28" ht="16" customHeight="1">
      <c r="A28" s="20" t="inlineStr">
        <is>
          <t>NIFTY MEDIA</t>
        </is>
      </c>
      <c r="B28" s="17" t="inlineStr">
        <is>
          <t>TIPSMUSIC</t>
        </is>
      </c>
      <c r="C28" s="18" t="n">
        <v>657.7</v>
      </c>
      <c r="D28" s="18" t="n">
        <v>654.72</v>
      </c>
      <c r="E28" s="18" t="n">
        <v>656.98</v>
      </c>
      <c r="F28" s="18" t="n">
        <v>621.4299999999999</v>
      </c>
      <c r="G28" s="19">
        <f>HYPERLINK("https://www.tradingview.com/chart/?symbol=NSE:TIPSMUSIC","Chart 📈")</f>
        <v/>
      </c>
    </row>
    <row r="29" ht="16" customHeight="1">
      <c r="A29" s="12" t="inlineStr">
        <is>
          <t>NIFTY REALTY</t>
        </is>
      </c>
      <c r="B29" s="13" t="inlineStr">
        <is>
          <t>MAHLIFE</t>
        </is>
      </c>
      <c r="C29" s="14" t="n">
        <v>366.4</v>
      </c>
      <c r="D29" s="14" t="n">
        <v>362.73</v>
      </c>
      <c r="E29" s="14" t="n">
        <v>366.14</v>
      </c>
      <c r="F29" s="14" t="n">
        <v>362.3</v>
      </c>
      <c r="G29" s="15">
        <f>HYPERLINK("https://www.tradingview.com/chart/?symbol=NSE:MAHLIFE","Chart 📈")</f>
        <v/>
      </c>
    </row>
    <row r="30" ht="16" customHeight="1">
      <c r="A30" s="16" t="inlineStr">
        <is>
          <t>NIFTY REALTY</t>
        </is>
      </c>
      <c r="B30" s="13" t="inlineStr">
        <is>
          <t>RAYMOND</t>
        </is>
      </c>
      <c r="C30" s="14" t="n">
        <v>978</v>
      </c>
      <c r="D30" s="14" t="n">
        <v>835.95</v>
      </c>
      <c r="E30" s="14" t="n">
        <v>722.22</v>
      </c>
      <c r="F30" s="14" t="n">
        <v>582.22</v>
      </c>
      <c r="G30" s="15">
        <f>HYPERLINK("https://www.tradingview.com/chart/?symbol=NSE:RAYMOND","Chart 📈")</f>
        <v/>
      </c>
    </row>
    <row r="31" ht="16" customHeight="1">
      <c r="A31" s="8" t="inlineStr">
        <is>
          <t>NIFTY AUTO</t>
        </is>
      </c>
      <c r="B31" s="17" t="inlineStr">
        <is>
          <t>EXIDEIND</t>
        </is>
      </c>
      <c r="C31" s="18" t="n">
        <v>435.85</v>
      </c>
      <c r="D31" s="18" t="n">
        <v>428.3</v>
      </c>
      <c r="E31" s="18" t="n">
        <v>430.29</v>
      </c>
      <c r="F31" s="18" t="n">
        <v>397.53</v>
      </c>
      <c r="G31" s="19">
        <f>HYPERLINK("https://www.tradingview.com/chart/?symbol=NSE:EXIDEIND","Chart 📈")</f>
        <v/>
      </c>
    </row>
    <row r="32" ht="16" customHeight="1">
      <c r="A32" s="20" t="inlineStr">
        <is>
          <t>NIFTY AUTO</t>
        </is>
      </c>
      <c r="B32" s="17" t="inlineStr">
        <is>
          <t>TVSMOTOR</t>
        </is>
      </c>
      <c r="C32" s="18" t="n">
        <v>4171.3</v>
      </c>
      <c r="D32" s="18" t="n">
        <v>4170.25</v>
      </c>
      <c r="E32" s="18" t="n">
        <v>4100.51</v>
      </c>
      <c r="F32" s="18" t="n">
        <v>3794.45</v>
      </c>
      <c r="G32" s="19">
        <f>HYPERLINK("https://www.tradingview.com/chart/?symbol=NSE:TVSMOTOR","Chart 📈")</f>
        <v/>
      </c>
    </row>
    <row r="33" ht="16" customHeight="1">
      <c r="A33" s="12" t="inlineStr">
        <is>
          <t>NIFTY FINANCIAL SERVICES</t>
        </is>
      </c>
      <c r="B33" s="13" t="inlineStr">
        <is>
          <t>LICHSGFIN</t>
        </is>
      </c>
      <c r="C33" s="14" t="n">
        <v>548.15</v>
      </c>
      <c r="D33" s="14" t="n">
        <v>541.12</v>
      </c>
      <c r="E33" s="14" t="n">
        <v>531.72</v>
      </c>
      <c r="F33" s="14" t="n">
        <v>532.99</v>
      </c>
      <c r="G33" s="15">
        <f>HYPERLINK("https://www.tradingview.com/chart/?symbol=NSE:LICHSGFIN","Chart 📈")</f>
        <v/>
      </c>
    </row>
    <row r="34" ht="16" customHeight="1">
      <c r="A34" s="16" t="inlineStr">
        <is>
          <t>NIFTY FINANCIAL SERVICES</t>
        </is>
      </c>
      <c r="B34" s="13" t="inlineStr">
        <is>
          <t>MCX</t>
        </is>
      </c>
      <c r="C34" s="14" t="n">
        <v>3260</v>
      </c>
      <c r="D34" s="14" t="n">
        <v>3216.82</v>
      </c>
      <c r="E34" s="14" t="n">
        <v>3076.93</v>
      </c>
      <c r="F34" s="14" t="n">
        <v>2697.23</v>
      </c>
      <c r="G34" s="15">
        <f>HYPERLINK("https://www.tradingview.com/chart/?symbol=NSE:MCX","Chart 📈")</f>
        <v/>
      </c>
    </row>
    <row r="35" ht="16" customHeight="1">
      <c r="A35" s="8" t="inlineStr">
        <is>
          <t>NIFTY MIDSMALL IT &amp; TELECOM</t>
        </is>
      </c>
      <c r="B35" s="17" t="inlineStr">
        <is>
          <t>CYIENT</t>
        </is>
      </c>
      <c r="C35" s="18" t="n">
        <v>1073.3</v>
      </c>
      <c r="D35" s="18" t="n">
        <v>1045.14</v>
      </c>
      <c r="E35" s="18" t="n">
        <v>976.28</v>
      </c>
      <c r="F35" s="18" t="n">
        <v>976.46</v>
      </c>
      <c r="G35" s="19">
        <f>HYPERLINK("https://www.tradingview.com/chart/?symbol=NSE:CYIENT","Chart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OFSS</t>
        </is>
      </c>
      <c r="C36" s="18" t="n">
        <v>11896</v>
      </c>
      <c r="D36" s="18" t="n">
        <v>11790.21</v>
      </c>
      <c r="E36" s="18" t="n">
        <v>11506.01</v>
      </c>
      <c r="F36" s="18" t="n">
        <v>9852.639999999999</v>
      </c>
      <c r="G36" s="19">
        <f>HYPERLINK("https://www.tradingview.com/chart/?symbol=NSE:OFSS","Chart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TATACOMM</t>
        </is>
      </c>
      <c r="C37" s="18" t="n">
        <v>1780.1</v>
      </c>
      <c r="D37" s="18" t="n">
        <v>1747.42</v>
      </c>
      <c r="E37" s="18" t="n">
        <v>1757.46</v>
      </c>
      <c r="F37" s="18" t="n">
        <v>1732.11</v>
      </c>
      <c r="G37" s="19">
        <f>HYPERLINK("https://www.tradingview.com/chart/?symbol=NSE:TATACOMM","Chart 📈")</f>
        <v/>
      </c>
    </row>
    <row r="38" ht="16" customHeight="1">
      <c r="A38" s="12" t="inlineStr">
        <is>
          <t>NIFTY PSU BANK</t>
        </is>
      </c>
      <c r="B38" s="13" t="inlineStr">
        <is>
          <t>MAHABANK</t>
        </is>
      </c>
      <c r="C38" s="14" t="n">
        <v>83.54000000000001</v>
      </c>
      <c r="D38" s="14" t="n">
        <v>82.69</v>
      </c>
      <c r="E38" s="14" t="n">
        <v>82.18000000000001</v>
      </c>
      <c r="F38" s="14" t="n">
        <v>74.98</v>
      </c>
      <c r="G38" s="15">
        <f>HYPERLINK("https://www.tradingview.com/chart/?symbol=NSE:MAHABANK","Chart 📈")</f>
        <v/>
      </c>
    </row>
    <row r="39" ht="16" customHeight="1">
      <c r="A39" s="16" t="inlineStr">
        <is>
          <t>NIFTY PSU BANK</t>
        </is>
      </c>
      <c r="B39" s="13" t="inlineStr">
        <is>
          <t>PNB</t>
        </is>
      </c>
      <c r="C39" s="14" t="n">
        <v>117.27</v>
      </c>
      <c r="D39" s="14" t="n">
        <v>116.07</v>
      </c>
      <c r="E39" s="14" t="n">
        <v>114.04</v>
      </c>
      <c r="F39" s="14" t="n">
        <v>111.61</v>
      </c>
      <c r="G39" s="15">
        <f>HYPERLINK("https://www.tradingview.com/chart/?symbol=NSE:PNB","Chart 📈")</f>
        <v/>
      </c>
    </row>
    <row r="40" ht="16" customHeight="1">
      <c r="A40" s="8" t="inlineStr">
        <is>
          <t>NIFTY FMCG</t>
        </is>
      </c>
      <c r="B40" s="17" t="inlineStr">
        <is>
          <t>RADICO</t>
        </is>
      </c>
      <c r="C40" s="18" t="n">
        <v>4535.4</v>
      </c>
      <c r="D40" s="18" t="n">
        <v>4466.94</v>
      </c>
      <c r="E40" s="18" t="n">
        <v>4355.23</v>
      </c>
      <c r="F40" s="18" t="n">
        <v>3710.8</v>
      </c>
      <c r="G40" s="19">
        <f>HYPERLINK("https://www.tradingview.com/chart/?symbol=NSE:RADICO","Chart 📈")</f>
        <v/>
      </c>
    </row>
    <row r="41" ht="16" customHeight="1">
      <c r="A41" s="12" t="inlineStr">
        <is>
          <t>NIFTY ENERGY</t>
        </is>
      </c>
      <c r="B41" s="13" t="inlineStr">
        <is>
          <t>BHEL</t>
        </is>
      </c>
      <c r="C41" s="14" t="n">
        <v>439.9</v>
      </c>
      <c r="D41" s="14" t="n">
        <v>425.29</v>
      </c>
      <c r="E41" s="14" t="n">
        <v>416.85</v>
      </c>
      <c r="F41" s="14" t="n">
        <v>357.55</v>
      </c>
      <c r="G41" s="15">
        <f>HYPERLINK("https://www.tradingview.com/chart/?symbol=NSE:BHEL","Chart 📈")</f>
        <v/>
      </c>
    </row>
    <row r="42" ht="16" customHeight="1">
      <c r="A42" s="16" t="inlineStr">
        <is>
          <t>NIFTY ENERGY</t>
        </is>
      </c>
      <c r="B42" s="13" t="inlineStr">
        <is>
          <t>CGPOWER</t>
        </is>
      </c>
      <c r="C42" s="14" t="n">
        <v>892</v>
      </c>
      <c r="D42" s="14" t="n">
        <v>888.95</v>
      </c>
      <c r="E42" s="14" t="n">
        <v>888</v>
      </c>
      <c r="F42" s="14" t="n">
        <v>829.77</v>
      </c>
      <c r="G42" s="15">
        <f>HYPERLINK("https://www.tradingview.com/chart/?symbol=NSE:CGPOWER","Chart 📈")</f>
        <v/>
      </c>
    </row>
    <row r="43" ht="16" customHeight="1">
      <c r="A43" s="16" t="inlineStr">
        <is>
          <t>NIFTY ENERGY</t>
        </is>
      </c>
      <c r="B43" s="13" t="inlineStr">
        <is>
          <t>POWERINDIA</t>
        </is>
      </c>
      <c r="C43" s="14" t="n">
        <v>32700</v>
      </c>
      <c r="D43" s="14" t="n">
        <v>32032.97</v>
      </c>
      <c r="E43" s="14" t="n">
        <v>32599.97</v>
      </c>
      <c r="F43" s="14" t="n">
        <v>29278.79</v>
      </c>
      <c r="G43" s="15">
        <f>HYPERLINK("https://www.tradingview.com/chart/?symbol=NSE:POWERINDIA","Chart 📈")</f>
        <v/>
      </c>
    </row>
    <row r="44" ht="16" customHeight="1">
      <c r="A44" s="8" t="inlineStr">
        <is>
          <t>NIFTY BANK</t>
        </is>
      </c>
      <c r="B44" s="17" t="inlineStr">
        <is>
          <t>IDFCFIRSTB</t>
        </is>
      </c>
      <c r="C44" s="18" t="n">
        <v>85.92</v>
      </c>
      <c r="D44" s="18" t="n">
        <v>85.65000000000001</v>
      </c>
      <c r="E44" s="18" t="n">
        <v>83.81999999999999</v>
      </c>
      <c r="F44" s="18" t="n">
        <v>78.11</v>
      </c>
      <c r="G44" s="19">
        <f>HYPERLINK("https://www.tradingview.com/chart/?symbol=NSE:IDFCFIRSTB","Chart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2026-09-18T14:57:55Z</dcterms:created>
  <dcterms:modified xmlns:dcterms="http://purl.org/dc/terms/" xmlns:xsi="http://www.w3.org/2001/XMLSchema-instance" xsi:type="dcterms:W3CDTF">2026-09-18T14:57:56Z</dcterms:modified>
</cp:coreProperties>
</file>