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08-Jun-2026  14:58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8</v>
      </c>
      <c r="D4" s="5" t="n">
        <v>12</v>
      </c>
      <c r="E4" s="5" t="n">
        <v>17</v>
      </c>
      <c r="F4" s="6" t="n">
        <v>0.4</v>
      </c>
      <c r="G4" s="6" t="n">
        <v>0.6</v>
      </c>
      <c r="H4" s="6" t="n">
        <v>0.85</v>
      </c>
      <c r="I4" s="7" t="n">
        <v>0.6167</v>
      </c>
    </row>
    <row r="5" ht="17" customHeight="1">
      <c r="A5" s="8" t="inlineStr">
        <is>
          <t>NIFTY MIDSMALL IT &amp; TELECOM</t>
        </is>
      </c>
      <c r="B5" s="9" t="n">
        <v>20</v>
      </c>
      <c r="C5" s="9" t="n">
        <v>9</v>
      </c>
      <c r="D5" s="9" t="n">
        <v>11</v>
      </c>
      <c r="E5" s="9" t="n">
        <v>7</v>
      </c>
      <c r="F5" s="10" t="n">
        <v>0.45</v>
      </c>
      <c r="G5" s="10" t="n">
        <v>0.55</v>
      </c>
      <c r="H5" s="10" t="n">
        <v>0.35</v>
      </c>
      <c r="I5" s="11" t="n">
        <v>0.45</v>
      </c>
    </row>
    <row r="6" ht="17" customHeight="1">
      <c r="A6" s="4" t="inlineStr">
        <is>
          <t>NIFTY METAL</t>
        </is>
      </c>
      <c r="B6" s="5" t="n">
        <v>15</v>
      </c>
      <c r="C6" s="5" t="n">
        <v>2</v>
      </c>
      <c r="D6" s="5" t="n">
        <v>5</v>
      </c>
      <c r="E6" s="5" t="n">
        <v>11</v>
      </c>
      <c r="F6" s="6" t="n">
        <v>0.133</v>
      </c>
      <c r="G6" s="6" t="n">
        <v>0.333</v>
      </c>
      <c r="H6" s="6" t="n">
        <v>0.733</v>
      </c>
      <c r="I6" s="7" t="n">
        <v>0.3997</v>
      </c>
    </row>
    <row r="7" ht="17" customHeight="1">
      <c r="A7" s="8" t="inlineStr">
        <is>
          <t>NIFTY OIL &amp; GAS</t>
        </is>
      </c>
      <c r="B7" s="9" t="n">
        <v>15</v>
      </c>
      <c r="C7" s="9" t="n">
        <v>5</v>
      </c>
      <c r="D7" s="9" t="n">
        <v>6</v>
      </c>
      <c r="E7" s="9" t="n">
        <v>6</v>
      </c>
      <c r="F7" s="10" t="n">
        <v>0.333</v>
      </c>
      <c r="G7" s="10" t="n">
        <v>0.4</v>
      </c>
      <c r="H7" s="10" t="n">
        <v>0.4</v>
      </c>
      <c r="I7" s="11" t="n">
        <v>0.3777</v>
      </c>
    </row>
    <row r="8" ht="17" customHeight="1">
      <c r="A8" s="4" t="inlineStr">
        <is>
          <t>NIFTY MEDIA</t>
        </is>
      </c>
      <c r="B8" s="5" t="n">
        <v>10</v>
      </c>
      <c r="C8" s="5" t="n">
        <v>4</v>
      </c>
      <c r="D8" s="5" t="n">
        <v>4</v>
      </c>
      <c r="E8" s="5" t="n">
        <v>3</v>
      </c>
      <c r="F8" s="6" t="n">
        <v>0.4</v>
      </c>
      <c r="G8" s="6" t="n">
        <v>0.4</v>
      </c>
      <c r="H8" s="6" t="n">
        <v>0.3</v>
      </c>
      <c r="I8" s="7" t="n">
        <v>0.3667</v>
      </c>
    </row>
    <row r="9" ht="17" customHeight="1">
      <c r="A9" s="8" t="inlineStr">
        <is>
          <t>NIFTY ENERGY</t>
        </is>
      </c>
      <c r="B9" s="9" t="n">
        <v>40</v>
      </c>
      <c r="C9" s="9" t="n">
        <v>6</v>
      </c>
      <c r="D9" s="9" t="n">
        <v>15</v>
      </c>
      <c r="E9" s="9" t="n">
        <v>22</v>
      </c>
      <c r="F9" s="10" t="n">
        <v>0.15</v>
      </c>
      <c r="G9" s="10" t="n">
        <v>0.375</v>
      </c>
      <c r="H9" s="10" t="n">
        <v>0.55</v>
      </c>
      <c r="I9" s="11" t="n">
        <v>0.3583</v>
      </c>
    </row>
    <row r="10" ht="17" customHeight="1">
      <c r="A10" s="4" t="inlineStr">
        <is>
          <t>NIFTY AUTO</t>
        </is>
      </c>
      <c r="B10" s="5" t="n">
        <v>15</v>
      </c>
      <c r="C10" s="5" t="n">
        <v>3</v>
      </c>
      <c r="D10" s="5" t="n">
        <v>6</v>
      </c>
      <c r="E10" s="5" t="n">
        <v>6</v>
      </c>
      <c r="F10" s="6" t="n">
        <v>0.2</v>
      </c>
      <c r="G10" s="6" t="n">
        <v>0.4</v>
      </c>
      <c r="H10" s="6" t="n">
        <v>0.4</v>
      </c>
      <c r="I10" s="7" t="n">
        <v>0.3333</v>
      </c>
    </row>
    <row r="11" ht="17" customHeight="1">
      <c r="A11" s="8" t="inlineStr">
        <is>
          <t>NIFTY PSU BANK</t>
        </is>
      </c>
      <c r="B11" s="9" t="n">
        <v>12</v>
      </c>
      <c r="C11" s="9" t="n">
        <v>5</v>
      </c>
      <c r="D11" s="9" t="n">
        <v>1</v>
      </c>
      <c r="E11" s="9" t="n">
        <v>5</v>
      </c>
      <c r="F11" s="10" t="n">
        <v>0.417</v>
      </c>
      <c r="G11" s="10" t="n">
        <v>0.083</v>
      </c>
      <c r="H11" s="10" t="n">
        <v>0.417</v>
      </c>
      <c r="I11" s="11" t="n">
        <v>0.3057</v>
      </c>
    </row>
    <row r="12" ht="17" customHeight="1">
      <c r="A12" s="4" t="inlineStr">
        <is>
          <t>NIFTY FMCG</t>
        </is>
      </c>
      <c r="B12" s="5" t="n">
        <v>15</v>
      </c>
      <c r="C12" s="5" t="n">
        <v>3</v>
      </c>
      <c r="D12" s="5" t="n">
        <v>5</v>
      </c>
      <c r="E12" s="5" t="n">
        <v>5</v>
      </c>
      <c r="F12" s="6" t="n">
        <v>0.2</v>
      </c>
      <c r="G12" s="6" t="n">
        <v>0.333</v>
      </c>
      <c r="H12" s="6" t="n">
        <v>0.333</v>
      </c>
      <c r="I12" s="7" t="n">
        <v>0.2887</v>
      </c>
    </row>
    <row r="13" ht="17" customHeight="1">
      <c r="A13" s="8" t="inlineStr">
        <is>
          <t>NIFTY BANK</t>
        </is>
      </c>
      <c r="B13" s="9" t="n">
        <v>12</v>
      </c>
      <c r="C13" s="9" t="n">
        <v>2</v>
      </c>
      <c r="D13" s="9" t="n">
        <v>3</v>
      </c>
      <c r="E13" s="9" t="n">
        <v>3</v>
      </c>
      <c r="F13" s="10" t="n">
        <v>0.167</v>
      </c>
      <c r="G13" s="10" t="n">
        <v>0.25</v>
      </c>
      <c r="H13" s="10" t="n">
        <v>0.25</v>
      </c>
      <c r="I13" s="11" t="n">
        <v>0.2223</v>
      </c>
    </row>
    <row r="14" ht="17" customHeight="1">
      <c r="A14" s="4" t="inlineStr">
        <is>
          <t>NIFTY CONSUMER DURABLES</t>
        </is>
      </c>
      <c r="B14" s="5" t="n">
        <v>15</v>
      </c>
      <c r="C14" s="5" t="n">
        <v>3</v>
      </c>
      <c r="D14" s="5" t="n">
        <v>3</v>
      </c>
      <c r="E14" s="5" t="n">
        <v>3</v>
      </c>
      <c r="F14" s="6" t="n">
        <v>0.2</v>
      </c>
      <c r="G14" s="6" t="n">
        <v>0.2</v>
      </c>
      <c r="H14" s="6" t="n">
        <v>0.2</v>
      </c>
      <c r="I14" s="7" t="n">
        <v>0.2</v>
      </c>
    </row>
    <row r="15" ht="17" customHeight="1">
      <c r="A15" s="8" t="inlineStr">
        <is>
          <t>NIFTY REALTY</t>
        </is>
      </c>
      <c r="B15" s="9" t="n">
        <v>10</v>
      </c>
      <c r="C15" s="9" t="n">
        <v>0</v>
      </c>
      <c r="D15" s="9" t="n">
        <v>2</v>
      </c>
      <c r="E15" s="9" t="n">
        <v>2</v>
      </c>
      <c r="F15" s="10" t="n">
        <v>0</v>
      </c>
      <c r="G15" s="10" t="n">
        <v>0.2</v>
      </c>
      <c r="H15" s="10" t="n">
        <v>0.2</v>
      </c>
      <c r="I15" s="11" t="n">
        <v>0.1333</v>
      </c>
    </row>
    <row r="16" ht="17" customHeight="1">
      <c r="A16" s="4" t="inlineStr">
        <is>
          <t>NIFTY IT</t>
        </is>
      </c>
      <c r="B16" s="5" t="n">
        <v>10</v>
      </c>
      <c r="C16" s="5" t="n">
        <v>1</v>
      </c>
      <c r="D16" s="5" t="n">
        <v>1</v>
      </c>
      <c r="E16" s="5" t="n">
        <v>1</v>
      </c>
      <c r="F16" s="6" t="n">
        <v>0.1</v>
      </c>
      <c r="G16" s="6" t="n">
        <v>0.1</v>
      </c>
      <c r="H16" s="6" t="n">
        <v>0.1</v>
      </c>
      <c r="I16" s="7" t="n">
        <v>0.1</v>
      </c>
    </row>
    <row r="17" ht="17" customHeight="1">
      <c r="A17" s="8" t="inlineStr">
        <is>
          <t>NIFTY FINANCIAL SERVICES</t>
        </is>
      </c>
      <c r="B17" s="9" t="n">
        <v>20</v>
      </c>
      <c r="C17" s="9" t="n">
        <v>1</v>
      </c>
      <c r="D17" s="9" t="n">
        <v>0</v>
      </c>
      <c r="E17" s="9" t="n">
        <v>4</v>
      </c>
      <c r="F17" s="10" t="n">
        <v>0.05</v>
      </c>
      <c r="G17" s="10" t="n">
        <v>0</v>
      </c>
      <c r="H17" s="10" t="n">
        <v>0.2</v>
      </c>
      <c r="I17" s="11" t="n">
        <v>0.0833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CIPLA</t>
        </is>
      </c>
      <c r="C3" s="14" t="n">
        <v>1387.9</v>
      </c>
      <c r="D3" s="14" t="n">
        <v>1373.93</v>
      </c>
      <c r="E3" s="14" t="n">
        <v>1342.12</v>
      </c>
      <c r="F3" s="14" t="n">
        <v>1385.11</v>
      </c>
      <c r="G3" s="15">
        <f>HYPERLINK("https://www.tradingview.com/chart/?symbol=NSE:CIPLA","Chart 📈")</f>
        <v/>
      </c>
    </row>
    <row r="4" ht="16" customHeight="1">
      <c r="A4" s="16" t="inlineStr">
        <is>
          <t>NIFTY PHARMA</t>
        </is>
      </c>
      <c r="B4" s="13" t="inlineStr">
        <is>
          <t>GLAND</t>
        </is>
      </c>
      <c r="C4" s="14" t="n">
        <v>2247.8</v>
      </c>
      <c r="D4" s="14" t="n">
        <v>2179.05</v>
      </c>
      <c r="E4" s="14" t="n">
        <v>2012.71</v>
      </c>
      <c r="F4" s="14" t="n">
        <v>1848.1</v>
      </c>
      <c r="G4" s="15">
        <f>HYPERLINK("https://www.tradingview.com/chart/?symbol=NSE:GLAND","Chart 📈")</f>
        <v/>
      </c>
    </row>
    <row r="5" ht="16" customHeight="1">
      <c r="A5" s="16" t="inlineStr">
        <is>
          <t>NIFTY PHARMA</t>
        </is>
      </c>
      <c r="B5" s="13" t="inlineStr">
        <is>
          <t>GRANULES</t>
        </is>
      </c>
      <c r="C5" s="14" t="n">
        <v>766.35</v>
      </c>
      <c r="D5" s="14" t="n">
        <v>762.09</v>
      </c>
      <c r="E5" s="14" t="n">
        <v>716.23</v>
      </c>
      <c r="F5" s="14" t="n">
        <v>619.47</v>
      </c>
      <c r="G5" s="15">
        <f>HYPERLINK("https://www.tradingview.com/chart/?symbol=NSE:GRANULES","Chart 📈")</f>
        <v/>
      </c>
    </row>
    <row r="6" ht="16" customHeight="1">
      <c r="A6" s="16" t="inlineStr">
        <is>
          <t>NIFTY PHARMA</t>
        </is>
      </c>
      <c r="B6" s="13" t="inlineStr">
        <is>
          <t>IPCALAB</t>
        </is>
      </c>
      <c r="C6" s="14" t="n">
        <v>1649.4</v>
      </c>
      <c r="D6" s="14" t="n">
        <v>1577.65</v>
      </c>
      <c r="E6" s="14" t="n">
        <v>1551.09</v>
      </c>
      <c r="F6" s="14" t="n">
        <v>1475.14</v>
      </c>
      <c r="G6" s="15">
        <f>HYPERLINK("https://www.tradingview.com/chart/?symbol=NSE:IPCALAB","Chart 📈")</f>
        <v/>
      </c>
    </row>
    <row r="7" ht="16" customHeight="1">
      <c r="A7" s="16" t="inlineStr">
        <is>
          <t>NIFTY PHARMA</t>
        </is>
      </c>
      <c r="B7" s="13" t="inlineStr">
        <is>
          <t>JBCHEPHARM</t>
        </is>
      </c>
      <c r="C7" s="14" t="n">
        <v>2172.8</v>
      </c>
      <c r="D7" s="14" t="n">
        <v>2146.71</v>
      </c>
      <c r="E7" s="14" t="n">
        <v>2097.63</v>
      </c>
      <c r="F7" s="14" t="n">
        <v>1923.83</v>
      </c>
      <c r="G7" s="15">
        <f>HYPERLINK("https://www.tradingview.com/chart/?symbol=NSE:JBCHEPHARM","Chart 📈")</f>
        <v/>
      </c>
    </row>
    <row r="8" ht="16" customHeight="1">
      <c r="A8" s="16" t="inlineStr">
        <is>
          <t>NIFTY PHARMA</t>
        </is>
      </c>
      <c r="B8" s="13" t="inlineStr">
        <is>
          <t>LAURUSLABS</t>
        </is>
      </c>
      <c r="C8" s="14" t="n">
        <v>1404.7</v>
      </c>
      <c r="D8" s="14" t="n">
        <v>1349.85</v>
      </c>
      <c r="E8" s="14" t="n">
        <v>1244.9</v>
      </c>
      <c r="F8" s="14" t="n">
        <v>1048.57</v>
      </c>
      <c r="G8" s="15">
        <f>HYPERLINK("https://www.tradingview.com/chart/?symbol=NSE:LAURUSLABS","Chart 📈")</f>
        <v/>
      </c>
    </row>
    <row r="9" ht="16" customHeight="1">
      <c r="A9" s="16" t="inlineStr">
        <is>
          <t>NIFTY PHARMA</t>
        </is>
      </c>
      <c r="B9" s="13" t="inlineStr">
        <is>
          <t>TORNTPHARM</t>
        </is>
      </c>
      <c r="C9" s="14" t="n">
        <v>4410.4</v>
      </c>
      <c r="D9" s="14" t="n">
        <v>4390.93</v>
      </c>
      <c r="E9" s="14" t="n">
        <v>4316.38</v>
      </c>
      <c r="F9" s="14" t="n">
        <v>3979.42</v>
      </c>
      <c r="G9" s="15">
        <f>HYPERLINK("https://www.tradingview.com/chart/?symbol=NSE:TORNTPHARM","Chart 📈")</f>
        <v/>
      </c>
    </row>
    <row r="10" ht="16" customHeight="1">
      <c r="A10" s="16" t="inlineStr">
        <is>
          <t>NIFTY PHARMA</t>
        </is>
      </c>
      <c r="B10" s="13" t="inlineStr">
        <is>
          <t>ZYDUSLIFE</t>
        </is>
      </c>
      <c r="C10" s="14" t="n">
        <v>1087.6</v>
      </c>
      <c r="D10" s="14" t="n">
        <v>1046.96</v>
      </c>
      <c r="E10" s="14" t="n">
        <v>991.63</v>
      </c>
      <c r="F10" s="14" t="n">
        <v>951.67</v>
      </c>
      <c r="G10" s="15">
        <f>HYPERLINK("https://www.tradingview.com/chart/?symbol=NSE:ZYDUSLIFE","Chart 📈")</f>
        <v/>
      </c>
    </row>
    <row r="11" ht="16" customHeight="1">
      <c r="A11" s="8" t="inlineStr">
        <is>
          <t>NIFTY MIDSMALL IT &amp; TELECOM</t>
        </is>
      </c>
      <c r="B11" s="17" t="inlineStr">
        <is>
          <t>HFCL</t>
        </is>
      </c>
      <c r="C11" s="18" t="n">
        <v>177.87</v>
      </c>
      <c r="D11" s="18" t="n">
        <v>166.4</v>
      </c>
      <c r="E11" s="18" t="n">
        <v>136.02</v>
      </c>
      <c r="F11" s="18" t="n">
        <v>96.34</v>
      </c>
      <c r="G11" s="19">
        <f>HYPERLINK("https://www.tradingview.com/chart/?symbol=NSE:HFCL","Chart 📈")</f>
        <v/>
      </c>
    </row>
    <row r="12" ht="16" customHeight="1">
      <c r="A12" s="20" t="inlineStr">
        <is>
          <t>NIFTY MIDSMALL IT &amp; TELECOM</t>
        </is>
      </c>
      <c r="B12" s="17" t="inlineStr">
        <is>
          <t>IDEA</t>
        </is>
      </c>
      <c r="C12" s="18" t="n">
        <v>14.4</v>
      </c>
      <c r="D12" s="18" t="n">
        <v>13.64</v>
      </c>
      <c r="E12" s="18" t="n">
        <v>12.21</v>
      </c>
      <c r="F12" s="18" t="n">
        <v>10.31</v>
      </c>
      <c r="G12" s="19">
        <f>HYPERLINK("https://www.tradingview.com/chart/?symbol=NSE:IDEA","Chart 📈")</f>
        <v/>
      </c>
    </row>
    <row r="13" ht="16" customHeight="1">
      <c r="A13" s="20" t="inlineStr">
        <is>
          <t>NIFTY MIDSMALL IT &amp; TELECOM</t>
        </is>
      </c>
      <c r="B13" s="17" t="inlineStr">
        <is>
          <t>OFSS</t>
        </is>
      </c>
      <c r="C13" s="18" t="n">
        <v>9756</v>
      </c>
      <c r="D13" s="18" t="n">
        <v>9730.969999999999</v>
      </c>
      <c r="E13" s="18" t="n">
        <v>8959.57</v>
      </c>
      <c r="F13" s="18" t="n">
        <v>8160.92</v>
      </c>
      <c r="G13" s="19">
        <f>HYPERLINK("https://www.tradingview.com/chart/?symbol=NSE:OFSS","Chart 📈")</f>
        <v/>
      </c>
    </row>
    <row r="14" ht="16" customHeight="1">
      <c r="A14" s="20" t="inlineStr">
        <is>
          <t>NIFTY MIDSMALL IT &amp; TELECOM</t>
        </is>
      </c>
      <c r="B14" s="17" t="inlineStr">
        <is>
          <t>TATACOMM</t>
        </is>
      </c>
      <c r="C14" s="18" t="n">
        <v>1905.8</v>
      </c>
      <c r="D14" s="18" t="n">
        <v>1855.91</v>
      </c>
      <c r="E14" s="18" t="n">
        <v>1725.1</v>
      </c>
      <c r="F14" s="18" t="n">
        <v>1679.06</v>
      </c>
      <c r="G14" s="19">
        <f>HYPERLINK("https://www.tradingview.com/chart/?symbol=NSE:TATACOMM","Chart 📈")</f>
        <v/>
      </c>
    </row>
    <row r="15" ht="16" customHeight="1">
      <c r="A15" s="20" t="inlineStr">
        <is>
          <t>NIFTY MIDSMALL IT &amp; TELECOM</t>
        </is>
      </c>
      <c r="B15" s="17" t="inlineStr">
        <is>
          <t>TATATECH</t>
        </is>
      </c>
      <c r="C15" s="18" t="n">
        <v>779.6</v>
      </c>
      <c r="D15" s="18" t="n">
        <v>700.1799999999999</v>
      </c>
      <c r="E15" s="18" t="n">
        <v>649.7</v>
      </c>
      <c r="F15" s="18" t="n">
        <v>648.1900000000001</v>
      </c>
      <c r="G15" s="19">
        <f>HYPERLINK("https://www.tradingview.com/chart/?symbol=NSE:TATATECH","Chart 📈")</f>
        <v/>
      </c>
    </row>
    <row r="16" ht="16" customHeight="1">
      <c r="A16" s="20" t="inlineStr">
        <is>
          <t>NIFTY MIDSMALL IT &amp; TELECOM</t>
        </is>
      </c>
      <c r="B16" s="17" t="inlineStr">
        <is>
          <t>TEJASNET</t>
        </is>
      </c>
      <c r="C16" s="18" t="n">
        <v>542.5</v>
      </c>
      <c r="D16" s="18" t="n">
        <v>511.58</v>
      </c>
      <c r="E16" s="18" t="n">
        <v>472.25</v>
      </c>
      <c r="F16" s="18" t="n">
        <v>488.06</v>
      </c>
      <c r="G16" s="19">
        <f>HYPERLINK("https://www.tradingview.com/chart/?symbol=NSE:TEJASNET","Chart 📈")</f>
        <v/>
      </c>
    </row>
    <row r="17" ht="16" customHeight="1">
      <c r="A17" s="12" t="inlineStr">
        <is>
          <t>NIFTY METAL</t>
        </is>
      </c>
      <c r="B17" s="13" t="inlineStr">
        <is>
          <t>ADANIENT</t>
        </is>
      </c>
      <c r="C17" s="14" t="n">
        <v>2970</v>
      </c>
      <c r="D17" s="14" t="n">
        <v>2822.12</v>
      </c>
      <c r="E17" s="14" t="n">
        <v>2569.44</v>
      </c>
      <c r="F17" s="14" t="n">
        <v>2374.69</v>
      </c>
      <c r="G17" s="15">
        <f>HYPERLINK("https://www.tradingview.com/chart/?symbol=NSE:ADANIENT","Chart 📈")</f>
        <v/>
      </c>
    </row>
    <row r="18" ht="16" customHeight="1">
      <c r="A18" s="16" t="inlineStr">
        <is>
          <t>NIFTY METAL</t>
        </is>
      </c>
      <c r="B18" s="13" t="inlineStr">
        <is>
          <t>WELCORP</t>
        </is>
      </c>
      <c r="C18" s="14" t="n">
        <v>1346.6</v>
      </c>
      <c r="D18" s="14" t="n">
        <v>1336.83</v>
      </c>
      <c r="E18" s="14" t="n">
        <v>1211.75</v>
      </c>
      <c r="F18" s="14" t="n">
        <v>990.7</v>
      </c>
      <c r="G18" s="15">
        <f>HYPERLINK("https://www.tradingview.com/chart/?symbol=NSE:WELCORP","Chart 📈")</f>
        <v/>
      </c>
    </row>
    <row r="19" ht="16" customHeight="1">
      <c r="A19" s="8" t="inlineStr">
        <is>
          <t>NIFTY OIL &amp; GAS</t>
        </is>
      </c>
      <c r="B19" s="17" t="inlineStr">
        <is>
          <t>AEGISLOG</t>
        </is>
      </c>
      <c r="C19" s="18" t="n">
        <v>755.55</v>
      </c>
      <c r="D19" s="18" t="n">
        <v>732.6799999999999</v>
      </c>
      <c r="E19" s="18" t="n">
        <v>706.9</v>
      </c>
      <c r="F19" s="18" t="n">
        <v>715.83</v>
      </c>
      <c r="G19" s="19">
        <f>HYPERLINK("https://www.tradingview.com/chart/?symbol=NSE:AEGISLOG","Chart 📈")</f>
        <v/>
      </c>
    </row>
    <row r="20" ht="16" customHeight="1">
      <c r="A20" s="20" t="inlineStr">
        <is>
          <t>NIFTY OIL &amp; GAS</t>
        </is>
      </c>
      <c r="B20" s="17" t="inlineStr">
        <is>
          <t>ATGL</t>
        </is>
      </c>
      <c r="C20" s="18" t="n">
        <v>734.2</v>
      </c>
      <c r="D20" s="18" t="n">
        <v>704.2</v>
      </c>
      <c r="E20" s="18" t="n">
        <v>650.0700000000001</v>
      </c>
      <c r="F20" s="18" t="n">
        <v>610.13</v>
      </c>
      <c r="G20" s="19">
        <f>HYPERLINK("https://www.tradingview.com/chart/?symbol=NSE:ATGL","Chart 📈")</f>
        <v/>
      </c>
    </row>
    <row r="21" ht="16" customHeight="1">
      <c r="A21" s="20" t="inlineStr">
        <is>
          <t>NIFTY OIL &amp; GAS</t>
        </is>
      </c>
      <c r="B21" s="17" t="inlineStr">
        <is>
          <t>GAIL</t>
        </is>
      </c>
      <c r="C21" s="18" t="n">
        <v>168.6</v>
      </c>
      <c r="D21" s="18" t="n">
        <v>164.58</v>
      </c>
      <c r="E21" s="18" t="n">
        <v>161.73</v>
      </c>
      <c r="F21" s="18" t="n">
        <v>165.06</v>
      </c>
      <c r="G21" s="19">
        <f>HYPERLINK("https://www.tradingview.com/chart/?symbol=NSE:GAIL","Chart 📈")</f>
        <v/>
      </c>
    </row>
    <row r="22" ht="16" customHeight="1">
      <c r="A22" s="20" t="inlineStr">
        <is>
          <t>NIFTY OIL &amp; GAS</t>
        </is>
      </c>
      <c r="B22" s="17" t="inlineStr">
        <is>
          <t>GUJGASLTD</t>
        </is>
      </c>
      <c r="C22" s="18" t="n">
        <v>400</v>
      </c>
      <c r="D22" s="18" t="n">
        <v>386.35</v>
      </c>
      <c r="E22" s="18" t="n">
        <v>379.27</v>
      </c>
      <c r="F22" s="18" t="n">
        <v>399.56</v>
      </c>
      <c r="G22" s="19">
        <f>HYPERLINK("https://www.tradingview.com/chart/?symbol=NSE:GUJGASLTD","Chart 📈")</f>
        <v/>
      </c>
    </row>
    <row r="23" ht="16" customHeight="1">
      <c r="A23" s="12" t="inlineStr">
        <is>
          <t>NIFTY MEDIA</t>
        </is>
      </c>
      <c r="B23" s="13" t="inlineStr">
        <is>
          <t>SAREGAMA</t>
        </is>
      </c>
      <c r="C23" s="14" t="n">
        <v>456.9</v>
      </c>
      <c r="D23" s="14" t="n">
        <v>421.08</v>
      </c>
      <c r="E23" s="14" t="n">
        <v>386.57</v>
      </c>
      <c r="F23" s="14" t="n">
        <v>396.52</v>
      </c>
      <c r="G23" s="15">
        <f>HYPERLINK("https://www.tradingview.com/chart/?symbol=NSE:SAREGAMA","Chart 📈")</f>
        <v/>
      </c>
    </row>
    <row r="24" ht="16" customHeight="1">
      <c r="A24" s="16" t="inlineStr">
        <is>
          <t>NIFTY MEDIA</t>
        </is>
      </c>
      <c r="B24" s="13" t="inlineStr">
        <is>
          <t>ZEEL</t>
        </is>
      </c>
      <c r="C24" s="14" t="n">
        <v>111.09</v>
      </c>
      <c r="D24" s="14" t="n">
        <v>94.69</v>
      </c>
      <c r="E24" s="14" t="n">
        <v>89.87</v>
      </c>
      <c r="F24" s="14" t="n">
        <v>95.56</v>
      </c>
      <c r="G24" s="15">
        <f>HYPERLINK("https://www.tradingview.com/chart/?symbol=NSE:ZEEL","Chart 📈")</f>
        <v/>
      </c>
    </row>
    <row r="25" ht="16" customHeight="1">
      <c r="A25" s="8" t="inlineStr">
        <is>
          <t>NIFTY ENERGY</t>
        </is>
      </c>
      <c r="B25" s="17" t="inlineStr">
        <is>
          <t>ADANIENSOL</t>
        </is>
      </c>
      <c r="C25" s="18" t="n">
        <v>1570.4</v>
      </c>
      <c r="D25" s="18" t="n">
        <v>1457.75</v>
      </c>
      <c r="E25" s="18" t="n">
        <v>1334.11</v>
      </c>
      <c r="F25" s="18" t="n">
        <v>1096.76</v>
      </c>
      <c r="G25" s="19">
        <f>HYPERLINK("https://www.tradingview.com/chart/?symbol=NSE:ADANIENSOL","Chart 📈")</f>
        <v/>
      </c>
    </row>
    <row r="26" ht="16" customHeight="1">
      <c r="A26" s="20" t="inlineStr">
        <is>
          <t>NIFTY ENERGY</t>
        </is>
      </c>
      <c r="B26" s="17" t="inlineStr">
        <is>
          <t>ADANIGREEN</t>
        </is>
      </c>
      <c r="C26" s="18" t="n">
        <v>1490.5</v>
      </c>
      <c r="D26" s="18" t="n">
        <v>1414.48</v>
      </c>
      <c r="E26" s="18" t="n">
        <v>1282.96</v>
      </c>
      <c r="F26" s="18" t="n">
        <v>1093.28</v>
      </c>
      <c r="G26" s="19">
        <f>HYPERLINK("https://www.tradingview.com/chart/?symbol=NSE:ADANIGREEN","Chart 📈")</f>
        <v/>
      </c>
    </row>
    <row r="27" ht="16" customHeight="1">
      <c r="A27" s="20" t="inlineStr">
        <is>
          <t>NIFTY ENERGY</t>
        </is>
      </c>
      <c r="B27" s="17" t="inlineStr">
        <is>
          <t>CGPOWER</t>
        </is>
      </c>
      <c r="C27" s="18" t="n">
        <v>903.4</v>
      </c>
      <c r="D27" s="18" t="n">
        <v>886.15</v>
      </c>
      <c r="E27" s="18" t="n">
        <v>830.04</v>
      </c>
      <c r="F27" s="18" t="n">
        <v>739.84</v>
      </c>
      <c r="G27" s="19">
        <f>HYPERLINK("https://www.tradingview.com/chart/?symbol=NSE:CGPOWER","Chart 📈")</f>
        <v/>
      </c>
    </row>
    <row r="28" ht="16" customHeight="1">
      <c r="A28" s="20" t="inlineStr">
        <is>
          <t>NIFTY ENERGY</t>
        </is>
      </c>
      <c r="B28" s="17" t="inlineStr">
        <is>
          <t>JSWENERGY</t>
        </is>
      </c>
      <c r="C28" s="18" t="n">
        <v>570.95</v>
      </c>
      <c r="D28" s="18" t="n">
        <v>567.9400000000001</v>
      </c>
      <c r="E28" s="18" t="n">
        <v>546.37</v>
      </c>
      <c r="F28" s="18" t="n">
        <v>519.02</v>
      </c>
      <c r="G28" s="19">
        <f>HYPERLINK("https://www.tradingview.com/chart/?symbol=NSE:JSWENERGY","Chart 📈")</f>
        <v/>
      </c>
    </row>
    <row r="29" ht="16" customHeight="1">
      <c r="A29" s="20" t="inlineStr">
        <is>
          <t>NIFTY ENERGY</t>
        </is>
      </c>
      <c r="B29" s="17" t="inlineStr">
        <is>
          <t>THERMAX</t>
        </is>
      </c>
      <c r="C29" s="18" t="n">
        <v>4696.4</v>
      </c>
      <c r="D29" s="18" t="n">
        <v>4623.36</v>
      </c>
      <c r="E29" s="18" t="n">
        <v>4236.59</v>
      </c>
      <c r="F29" s="18" t="n">
        <v>3592.01</v>
      </c>
      <c r="G29" s="19">
        <f>HYPERLINK("https://www.tradingview.com/chart/?symbol=NSE:THERMAX","Chart 📈")</f>
        <v/>
      </c>
    </row>
    <row r="30" ht="16" customHeight="1">
      <c r="A30" s="20" t="inlineStr">
        <is>
          <t>NIFTY ENERGY</t>
        </is>
      </c>
      <c r="B30" s="17" t="inlineStr">
        <is>
          <t>TRITURBINE</t>
        </is>
      </c>
      <c r="C30" s="18" t="n">
        <v>663.6</v>
      </c>
      <c r="D30" s="18" t="n">
        <v>662.74</v>
      </c>
      <c r="E30" s="18" t="n">
        <v>604.53</v>
      </c>
      <c r="F30" s="18" t="n">
        <v>551.67</v>
      </c>
      <c r="G30" s="19">
        <f>HYPERLINK("https://www.tradingview.com/chart/?symbol=NSE:TRITURBINE","Chart 📈")</f>
        <v/>
      </c>
    </row>
    <row r="31" ht="16" customHeight="1">
      <c r="A31" s="12" t="inlineStr">
        <is>
          <t>NIFTY AUTO</t>
        </is>
      </c>
      <c r="B31" s="13" t="inlineStr">
        <is>
          <t>EXIDEIND</t>
        </is>
      </c>
      <c r="C31" s="14" t="n">
        <v>385.9</v>
      </c>
      <c r="D31" s="14" t="n">
        <v>376.17</v>
      </c>
      <c r="E31" s="14" t="n">
        <v>357.1</v>
      </c>
      <c r="F31" s="14" t="n">
        <v>357.82</v>
      </c>
      <c r="G31" s="15">
        <f>HYPERLINK("https://www.tradingview.com/chart/?symbol=NSE:EXIDEIND","Chart 📈")</f>
        <v/>
      </c>
    </row>
    <row r="32" ht="16" customHeight="1">
      <c r="A32" s="16" t="inlineStr">
        <is>
          <t>NIFTY AUTO</t>
        </is>
      </c>
      <c r="B32" s="13" t="inlineStr">
        <is>
          <t>MOTHERSON</t>
        </is>
      </c>
      <c r="C32" s="14" t="n">
        <v>139.01</v>
      </c>
      <c r="D32" s="14" t="n">
        <v>137.75</v>
      </c>
      <c r="E32" s="14" t="n">
        <v>130.7</v>
      </c>
      <c r="F32" s="14" t="n">
        <v>119.02</v>
      </c>
      <c r="G32" s="15">
        <f>HYPERLINK("https://www.tradingview.com/chart/?symbol=NSE:MOTHERSON","Chart 📈")</f>
        <v/>
      </c>
    </row>
    <row r="33" ht="16" customHeight="1">
      <c r="A33" s="8" t="inlineStr">
        <is>
          <t>NIFTY PSU BANK</t>
        </is>
      </c>
      <c r="B33" s="17" t="inlineStr">
        <is>
          <t>MAHABANK</t>
        </is>
      </c>
      <c r="C33" s="18" t="n">
        <v>79.61</v>
      </c>
      <c r="D33" s="18" t="n">
        <v>78.26000000000001</v>
      </c>
      <c r="E33" s="18" t="n">
        <v>75.48</v>
      </c>
      <c r="F33" s="18" t="n">
        <v>65.95</v>
      </c>
      <c r="G33" s="19">
        <f>HYPERLINK("https://www.tradingview.com/chart/?symbol=NSE:MAHABANK","Chart 📈")</f>
        <v/>
      </c>
    </row>
    <row r="34" ht="16" customHeight="1">
      <c r="A34" s="12" t="inlineStr">
        <is>
          <t>NIFTY FMCG</t>
        </is>
      </c>
      <c r="B34" s="13" t="inlineStr">
        <is>
          <t>BALRAMCHIN</t>
        </is>
      </c>
      <c r="C34" s="14" t="n">
        <v>550.4</v>
      </c>
      <c r="D34" s="14" t="n">
        <v>532.03</v>
      </c>
      <c r="E34" s="14" t="n">
        <v>518.01</v>
      </c>
      <c r="F34" s="14" t="n">
        <v>503.38</v>
      </c>
      <c r="G34" s="15">
        <f>HYPERLINK("https://www.tradingview.com/chart/?symbol=NSE:BALRAMCHIN","Chart 📈")</f>
        <v/>
      </c>
    </row>
    <row r="35" ht="16" customHeight="1">
      <c r="A35" s="16" t="inlineStr">
        <is>
          <t>NIFTY FMCG</t>
        </is>
      </c>
      <c r="B35" s="13" t="inlineStr">
        <is>
          <t>RADICO</t>
        </is>
      </c>
      <c r="C35" s="14" t="n">
        <v>3484.9</v>
      </c>
      <c r="D35" s="14" t="n">
        <v>3468.52</v>
      </c>
      <c r="E35" s="14" t="n">
        <v>3307.04</v>
      </c>
      <c r="F35" s="14" t="n">
        <v>3042.6</v>
      </c>
      <c r="G35" s="15">
        <f>HYPERLINK("https://www.tradingview.com/chart/?symbol=NSE:RADICO","Chart 📈")</f>
        <v/>
      </c>
    </row>
    <row r="36" ht="16" customHeight="1">
      <c r="A36" s="16" t="inlineStr">
        <is>
          <t>NIFTY FMCG</t>
        </is>
      </c>
      <c r="B36" s="13" t="inlineStr">
        <is>
          <t>VBL</t>
        </is>
      </c>
      <c r="C36" s="14" t="n">
        <v>522.15</v>
      </c>
      <c r="D36" s="14" t="n">
        <v>520.66</v>
      </c>
      <c r="E36" s="14" t="n">
        <v>497.85</v>
      </c>
      <c r="F36" s="14" t="n">
        <v>474.61</v>
      </c>
      <c r="G36" s="15">
        <f>HYPERLINK("https://www.tradingview.com/chart/?symbol=NSE:VBL","Chart 📈")</f>
        <v/>
      </c>
    </row>
    <row r="37" ht="16" customHeight="1">
      <c r="A37" s="8" t="inlineStr">
        <is>
          <t>NIFTY BANK</t>
        </is>
      </c>
      <c r="B37" s="17" t="inlineStr">
        <is>
          <t>FEDERALBNK</t>
        </is>
      </c>
      <c r="C37" s="18" t="n">
        <v>304.6</v>
      </c>
      <c r="D37" s="18" t="n">
        <v>293.03</v>
      </c>
      <c r="E37" s="18" t="n">
        <v>288.03</v>
      </c>
      <c r="F37" s="18" t="n">
        <v>263.13</v>
      </c>
      <c r="G37" s="19">
        <f>HYPERLINK("https://www.tradingview.com/chart/?symbol=NSE:FEDERALBNK","Chart 📈")</f>
        <v/>
      </c>
    </row>
    <row r="38" ht="16" customHeight="1">
      <c r="A38" s="12" t="inlineStr">
        <is>
          <t>NIFTY CONSUMER DURABLES</t>
        </is>
      </c>
      <c r="B38" s="13" t="inlineStr">
        <is>
          <t>AMBER</t>
        </is>
      </c>
      <c r="C38" s="14" t="n">
        <v>7750</v>
      </c>
      <c r="D38" s="14" t="n">
        <v>7671.62</v>
      </c>
      <c r="E38" s="14" t="n">
        <v>7602.77</v>
      </c>
      <c r="F38" s="14" t="n">
        <v>7294.01</v>
      </c>
      <c r="G38" s="15">
        <f>HYPERLINK("https://www.tradingview.com/chart/?symbol=NSE:AMBER","Chart 📈")</f>
        <v/>
      </c>
    </row>
    <row r="39" ht="16" customHeight="1">
      <c r="A39" s="8" t="inlineStr">
        <is>
          <t>NIFTY IT</t>
        </is>
      </c>
      <c r="B39" s="17" t="inlineStr">
        <is>
          <t>TECHM</t>
        </is>
      </c>
      <c r="C39" s="18" t="n">
        <v>1503.4</v>
      </c>
      <c r="D39" s="18" t="n">
        <v>1470.35</v>
      </c>
      <c r="E39" s="18" t="n">
        <v>1457.63</v>
      </c>
      <c r="F39" s="18" t="n">
        <v>1488.05</v>
      </c>
      <c r="G39" s="19">
        <f>HYPERLINK("https://www.tradingview.com/chart/?symbol=NSE:TECHM","Chart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2026-06-08T14:58:07Z</dcterms:created>
  <dcterms:modified xsi:type="dcterms:W3CDTF">2026-06-08T14:58:07Z</dcterms:modified>
</cp:coreProperties>
</file>