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19-Aug-2026  11:31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10</v>
      </c>
      <c r="D4" s="5" t="n">
        <v>12</v>
      </c>
      <c r="E4" s="5" t="n">
        <v>11</v>
      </c>
      <c r="F4" s="6" t="n">
        <v>0.667</v>
      </c>
      <c r="G4" s="6" t="n">
        <v>0.8</v>
      </c>
      <c r="H4" s="6" t="n">
        <v>0.733</v>
      </c>
      <c r="I4" s="7" t="n">
        <v>0.7333</v>
      </c>
    </row>
    <row r="5" ht="17" customHeight="1">
      <c r="A5" s="8" t="inlineStr">
        <is>
          <t>NIFTY REALTY</t>
        </is>
      </c>
      <c r="B5" s="9" t="n">
        <v>10</v>
      </c>
      <c r="C5" s="9" t="n">
        <v>4</v>
      </c>
      <c r="D5" s="9" t="n">
        <v>8</v>
      </c>
      <c r="E5" s="9" t="n">
        <v>9</v>
      </c>
      <c r="F5" s="10" t="n">
        <v>0.4</v>
      </c>
      <c r="G5" s="10" t="n">
        <v>0.8</v>
      </c>
      <c r="H5" s="10" t="n">
        <v>0.9</v>
      </c>
      <c r="I5" s="11" t="n">
        <v>0.7</v>
      </c>
    </row>
    <row r="6" ht="17" customHeight="1">
      <c r="A6" s="4" t="inlineStr">
        <is>
          <t>NIFTY METAL</t>
        </is>
      </c>
      <c r="B6" s="5" t="n">
        <v>15</v>
      </c>
      <c r="C6" s="5" t="n">
        <v>8</v>
      </c>
      <c r="D6" s="5" t="n">
        <v>9</v>
      </c>
      <c r="E6" s="5" t="n">
        <v>11</v>
      </c>
      <c r="F6" s="6" t="n">
        <v>0.5329999999999999</v>
      </c>
      <c r="G6" s="6" t="n">
        <v>0.6</v>
      </c>
      <c r="H6" s="6" t="n">
        <v>0.733</v>
      </c>
      <c r="I6" s="7" t="n">
        <v>0.622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9</v>
      </c>
      <c r="D7" s="9" t="n">
        <v>12</v>
      </c>
      <c r="E7" s="9" t="n">
        <v>11</v>
      </c>
      <c r="F7" s="10" t="n">
        <v>0.45</v>
      </c>
      <c r="G7" s="10" t="n">
        <v>0.6</v>
      </c>
      <c r="H7" s="10" t="n">
        <v>0.55</v>
      </c>
      <c r="I7" s="11" t="n">
        <v>0.5333</v>
      </c>
    </row>
    <row r="8" ht="17" customHeight="1">
      <c r="A8" s="4" t="inlineStr">
        <is>
          <t>NIFTY PHARMA</t>
        </is>
      </c>
      <c r="B8" s="5" t="n">
        <v>20</v>
      </c>
      <c r="C8" s="5" t="n">
        <v>8</v>
      </c>
      <c r="D8" s="5" t="n">
        <v>9</v>
      </c>
      <c r="E8" s="5" t="n">
        <v>15</v>
      </c>
      <c r="F8" s="6" t="n">
        <v>0.4</v>
      </c>
      <c r="G8" s="6" t="n">
        <v>0.45</v>
      </c>
      <c r="H8" s="6" t="n">
        <v>0.75</v>
      </c>
      <c r="I8" s="7" t="n">
        <v>0.5333</v>
      </c>
    </row>
    <row r="9" ht="17" customHeight="1">
      <c r="A9" s="8" t="inlineStr">
        <is>
          <t>NIFTY OIL &amp; GAS</t>
        </is>
      </c>
      <c r="B9" s="9" t="n">
        <v>15</v>
      </c>
      <c r="C9" s="9" t="n">
        <v>6</v>
      </c>
      <c r="D9" s="9" t="n">
        <v>6</v>
      </c>
      <c r="E9" s="9" t="n">
        <v>7</v>
      </c>
      <c r="F9" s="10" t="n">
        <v>0.4</v>
      </c>
      <c r="G9" s="10" t="n">
        <v>0.4</v>
      </c>
      <c r="H9" s="10" t="n">
        <v>0.467</v>
      </c>
      <c r="I9" s="11" t="n">
        <v>0.4223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6</v>
      </c>
      <c r="D10" s="5" t="n">
        <v>7</v>
      </c>
      <c r="E10" s="5" t="n">
        <v>5</v>
      </c>
      <c r="F10" s="6" t="n">
        <v>0.4</v>
      </c>
      <c r="G10" s="6" t="n">
        <v>0.467</v>
      </c>
      <c r="H10" s="6" t="n">
        <v>0.333</v>
      </c>
      <c r="I10" s="7" t="n">
        <v>0.4</v>
      </c>
    </row>
    <row r="11" ht="17" customHeight="1">
      <c r="A11" s="8" t="inlineStr">
        <is>
          <t>NIFTY MEDIA</t>
        </is>
      </c>
      <c r="B11" s="9" t="n">
        <v>10</v>
      </c>
      <c r="C11" s="9" t="n">
        <v>3</v>
      </c>
      <c r="D11" s="9" t="n">
        <v>4</v>
      </c>
      <c r="E11" s="9" t="n">
        <v>5</v>
      </c>
      <c r="F11" s="10" t="n">
        <v>0.3</v>
      </c>
      <c r="G11" s="10" t="n">
        <v>0.4</v>
      </c>
      <c r="H11" s="10" t="n">
        <v>0.5</v>
      </c>
      <c r="I11" s="11" t="n">
        <v>0.4</v>
      </c>
    </row>
    <row r="12" ht="17" customHeight="1">
      <c r="A12" s="4" t="inlineStr">
        <is>
          <t>NIFTY PSU BANK</t>
        </is>
      </c>
      <c r="B12" s="5" t="n">
        <v>12</v>
      </c>
      <c r="C12" s="5" t="n">
        <v>3</v>
      </c>
      <c r="D12" s="5" t="n">
        <v>5</v>
      </c>
      <c r="E12" s="5" t="n">
        <v>6</v>
      </c>
      <c r="F12" s="6" t="n">
        <v>0.25</v>
      </c>
      <c r="G12" s="6" t="n">
        <v>0.417</v>
      </c>
      <c r="H12" s="6" t="n">
        <v>0.5</v>
      </c>
      <c r="I12" s="7" t="n">
        <v>0.389</v>
      </c>
    </row>
    <row r="13" ht="17" customHeight="1">
      <c r="A13" s="8" t="inlineStr">
        <is>
          <t>NIFTY BANK</t>
        </is>
      </c>
      <c r="B13" s="9" t="n">
        <v>12</v>
      </c>
      <c r="C13" s="9" t="n">
        <v>4</v>
      </c>
      <c r="D13" s="9" t="n">
        <v>4</v>
      </c>
      <c r="E13" s="9" t="n">
        <v>4</v>
      </c>
      <c r="F13" s="10" t="n">
        <v>0.333</v>
      </c>
      <c r="G13" s="10" t="n">
        <v>0.333</v>
      </c>
      <c r="H13" s="10" t="n">
        <v>0.333</v>
      </c>
      <c r="I13" s="11" t="n">
        <v>0.333</v>
      </c>
    </row>
    <row r="14" ht="17" customHeight="1">
      <c r="A14" s="4" t="inlineStr">
        <is>
          <t>NIFTY FMCG</t>
        </is>
      </c>
      <c r="B14" s="5" t="n">
        <v>15</v>
      </c>
      <c r="C14" s="5" t="n">
        <v>3</v>
      </c>
      <c r="D14" s="5" t="n">
        <v>6</v>
      </c>
      <c r="E14" s="5" t="n">
        <v>5</v>
      </c>
      <c r="F14" s="6" t="n">
        <v>0.2</v>
      </c>
      <c r="G14" s="6" t="n">
        <v>0.4</v>
      </c>
      <c r="H14" s="6" t="n">
        <v>0.333</v>
      </c>
      <c r="I14" s="7" t="n">
        <v>0.311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5</v>
      </c>
      <c r="D15" s="9" t="n">
        <v>7</v>
      </c>
      <c r="E15" s="9" t="n">
        <v>6</v>
      </c>
      <c r="F15" s="10" t="n">
        <v>0.25</v>
      </c>
      <c r="G15" s="10" t="n">
        <v>0.35</v>
      </c>
      <c r="H15" s="10" t="n">
        <v>0.3</v>
      </c>
      <c r="I15" s="11" t="n">
        <v>0.3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2</v>
      </c>
      <c r="E16" s="5" t="n">
        <v>2</v>
      </c>
      <c r="F16" s="6" t="n">
        <v>0.1</v>
      </c>
      <c r="G16" s="6" t="n">
        <v>0.2</v>
      </c>
      <c r="H16" s="6" t="n">
        <v>0.2</v>
      </c>
      <c r="I16" s="7" t="n">
        <v>0.1667</v>
      </c>
    </row>
    <row r="17" ht="17" customHeight="1">
      <c r="A17" s="8" t="inlineStr">
        <is>
          <t>NIFTY ENERGY</t>
        </is>
      </c>
      <c r="B17" s="9" t="n">
        <v>40</v>
      </c>
      <c r="C17" s="9" t="n">
        <v>3</v>
      </c>
      <c r="D17" s="9" t="n">
        <v>4</v>
      </c>
      <c r="E17" s="9" t="n">
        <v>12</v>
      </c>
      <c r="F17" s="10" t="n">
        <v>0.075</v>
      </c>
      <c r="G17" s="10" t="n">
        <v>0.1</v>
      </c>
      <c r="H17" s="10" t="n">
        <v>0.3</v>
      </c>
      <c r="I17" s="11" t="n">
        <v>0.1583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ASHOKLEY</t>
        </is>
      </c>
      <c r="C3" s="14" t="n">
        <v>173.1</v>
      </c>
      <c r="D3" s="14" t="n">
        <v>170.24</v>
      </c>
      <c r="E3" s="14" t="n">
        <v>164.61</v>
      </c>
      <c r="F3" s="14" t="n">
        <v>160.89</v>
      </c>
      <c r="G3" s="15">
        <f>HYPERLINK("https://www.tradingview.com/chart/?symbol=NSE:ASHOKLEY","Chart 📈")</f>
        <v/>
      </c>
    </row>
    <row r="4" ht="16" customHeight="1">
      <c r="A4" s="16" t="inlineStr">
        <is>
          <t>NIFTY AUTO</t>
        </is>
      </c>
      <c r="B4" s="13" t="inlineStr">
        <is>
          <t>BAJAJ-AUTO</t>
        </is>
      </c>
      <c r="C4" s="14" t="n">
        <v>11645</v>
      </c>
      <c r="D4" s="14" t="n">
        <v>11419.92</v>
      </c>
      <c r="E4" s="14" t="n">
        <v>10900.37</v>
      </c>
      <c r="F4" s="14" t="n">
        <v>9932.209999999999</v>
      </c>
      <c r="G4" s="15">
        <f>HYPERLINK("https://www.tradingview.com/chart/?symbol=NSE:BAJAJ-AUTO","Chart 📈")</f>
        <v/>
      </c>
    </row>
    <row r="5" ht="16" customHeight="1">
      <c r="A5" s="16" t="inlineStr">
        <is>
          <t>NIFTY AUTO</t>
        </is>
      </c>
      <c r="B5" s="13" t="inlineStr">
        <is>
          <t>BALKRISIND</t>
        </is>
      </c>
      <c r="C5" s="14" t="n">
        <v>2366.4</v>
      </c>
      <c r="D5" s="14" t="n">
        <v>2355.59</v>
      </c>
      <c r="E5" s="14" t="n">
        <v>2275.43</v>
      </c>
      <c r="F5" s="14" t="n">
        <v>2275.02</v>
      </c>
      <c r="G5" s="15">
        <f>HYPERLINK("https://www.tradingview.com/chart/?symbol=NSE:BALKRISIND","Chart 📈")</f>
        <v/>
      </c>
    </row>
    <row r="6" ht="16" customHeight="1">
      <c r="A6" s="16" t="inlineStr">
        <is>
          <t>NIFTY AUTO</t>
        </is>
      </c>
      <c r="B6" s="13" t="inlineStr">
        <is>
          <t>BOSCHLTD</t>
        </is>
      </c>
      <c r="C6" s="14" t="n">
        <v>48460</v>
      </c>
      <c r="D6" s="14" t="n">
        <v>44467.22</v>
      </c>
      <c r="E6" s="14" t="n">
        <v>41939.59</v>
      </c>
      <c r="F6" s="14" t="n">
        <v>38572.5</v>
      </c>
      <c r="G6" s="15">
        <f>HYPERLINK("https://www.tradingview.com/chart/?symbol=NSE:BOSCHLTD","Chart 📈")</f>
        <v/>
      </c>
    </row>
    <row r="7" ht="16" customHeight="1">
      <c r="A7" s="16" t="inlineStr">
        <is>
          <t>NIFTY AUTO</t>
        </is>
      </c>
      <c r="B7" s="13" t="inlineStr">
        <is>
          <t>EICHERMOT</t>
        </is>
      </c>
      <c r="C7" s="14" t="n">
        <v>7990.5</v>
      </c>
      <c r="D7" s="14" t="n">
        <v>7894.73</v>
      </c>
      <c r="E7" s="14" t="n">
        <v>7647.5</v>
      </c>
      <c r="F7" s="14" t="n">
        <v>7200.11</v>
      </c>
      <c r="G7" s="15">
        <f>HYPERLINK("https://www.tradingview.com/chart/?symbol=NSE:EICHERMOT","Chart 📈")</f>
        <v/>
      </c>
    </row>
    <row r="8" ht="16" customHeight="1">
      <c r="A8" s="16" t="inlineStr">
        <is>
          <t>NIFTY AUTO</t>
        </is>
      </c>
      <c r="B8" s="13" t="inlineStr">
        <is>
          <t>HEROMOTOCO</t>
        </is>
      </c>
      <c r="C8" s="14" t="n">
        <v>5709.5</v>
      </c>
      <c r="D8" s="14" t="n">
        <v>5553.04</v>
      </c>
      <c r="E8" s="14" t="n">
        <v>5280.04</v>
      </c>
      <c r="F8" s="14" t="n">
        <v>5189.2</v>
      </c>
      <c r="G8" s="15">
        <f>HYPERLINK("https://www.tradingview.com/chart/?symbol=NSE:HEROMOTOCO","Chart 📈")</f>
        <v/>
      </c>
    </row>
    <row r="9" ht="16" customHeight="1">
      <c r="A9" s="16" t="inlineStr">
        <is>
          <t>NIFTY AUTO</t>
        </is>
      </c>
      <c r="B9" s="13" t="inlineStr">
        <is>
          <t>M&amp;M</t>
        </is>
      </c>
      <c r="C9" s="14" t="n">
        <v>3415</v>
      </c>
      <c r="D9" s="14" t="n">
        <v>3369.02</v>
      </c>
      <c r="E9" s="14" t="n">
        <v>3264.65</v>
      </c>
      <c r="F9" s="14" t="n">
        <v>3266.1</v>
      </c>
      <c r="G9" s="15">
        <f>HYPERLINK("https://www.tradingview.com/chart/?symbol=NSE:M&amp;M","Chart 📈")</f>
        <v/>
      </c>
    </row>
    <row r="10" ht="16" customHeight="1">
      <c r="A10" s="16" t="inlineStr">
        <is>
          <t>NIFTY AUTO</t>
        </is>
      </c>
      <c r="B10" s="13" t="inlineStr">
        <is>
          <t>MOTHERSON</t>
        </is>
      </c>
      <c r="C10" s="14" t="n">
        <v>170.29</v>
      </c>
      <c r="D10" s="14" t="n">
        <v>160.64</v>
      </c>
      <c r="E10" s="14" t="n">
        <v>151.56</v>
      </c>
      <c r="F10" s="14" t="n">
        <v>131.52</v>
      </c>
      <c r="G10" s="15">
        <f>HYPERLINK("https://www.tradingview.com/chart/?symbol=NSE:MOTHERSON","Chart 📈")</f>
        <v/>
      </c>
    </row>
    <row r="11" ht="16" customHeight="1">
      <c r="A11" s="16" t="inlineStr">
        <is>
          <t>NIFTY AUTO</t>
        </is>
      </c>
      <c r="B11" s="13" t="inlineStr">
        <is>
          <t>TVSMOTOR</t>
        </is>
      </c>
      <c r="C11" s="14" t="n">
        <v>4361.1</v>
      </c>
      <c r="D11" s="14" t="n">
        <v>4220.66</v>
      </c>
      <c r="E11" s="14" t="n">
        <v>3948.48</v>
      </c>
      <c r="F11" s="14" t="n">
        <v>3656.94</v>
      </c>
      <c r="G11" s="15">
        <f>HYPERLINK("https://www.tradingview.com/chart/?symbol=NSE:TVSMOTOR","Chart 📈")</f>
        <v/>
      </c>
    </row>
    <row r="12" ht="16" customHeight="1">
      <c r="A12" s="8" t="inlineStr">
        <is>
          <t>NIFTY REALTY</t>
        </is>
      </c>
      <c r="B12" s="17" t="inlineStr">
        <is>
          <t>BRIGADE</t>
        </is>
      </c>
      <c r="C12" s="18" t="n">
        <v>587.7</v>
      </c>
      <c r="D12" s="18" t="n">
        <v>577.1799999999999</v>
      </c>
      <c r="E12" s="18" t="n">
        <v>557.1900000000001</v>
      </c>
      <c r="F12" s="18" t="n">
        <v>577.77</v>
      </c>
      <c r="G12" s="19">
        <f>HYPERLINK("https://www.tradingview.com/chart/?symbol=NSE:BRIGADE","Chart 📈")</f>
        <v/>
      </c>
    </row>
    <row r="13" ht="16" customHeight="1">
      <c r="A13" s="20" t="inlineStr">
        <is>
          <t>NIFTY REALTY</t>
        </is>
      </c>
      <c r="B13" s="17" t="inlineStr">
        <is>
          <t>DLF</t>
        </is>
      </c>
      <c r="C13" s="18" t="n">
        <v>669.9</v>
      </c>
      <c r="D13" s="18" t="n">
        <v>657.5</v>
      </c>
      <c r="E13" s="18" t="n">
        <v>641.24</v>
      </c>
      <c r="F13" s="18" t="n">
        <v>640.75</v>
      </c>
      <c r="G13" s="19">
        <f>HYPERLINK("https://www.tradingview.com/chart/?symbol=NSE:DLF","Chart 📈")</f>
        <v/>
      </c>
    </row>
    <row r="14" ht="16" customHeight="1">
      <c r="A14" s="20" t="inlineStr">
        <is>
          <t>NIFTY REALTY</t>
        </is>
      </c>
      <c r="B14" s="17" t="inlineStr">
        <is>
          <t>OBEROIRLTY</t>
        </is>
      </c>
      <c r="C14" s="18" t="n">
        <v>1869.7</v>
      </c>
      <c r="D14" s="18" t="n">
        <v>1836.98</v>
      </c>
      <c r="E14" s="18" t="n">
        <v>1800.97</v>
      </c>
      <c r="F14" s="18" t="n">
        <v>1693.44</v>
      </c>
      <c r="G14" s="19">
        <f>HYPERLINK("https://www.tradingview.com/chart/?symbol=NSE:OBEROIRLTY","Chart 📈")</f>
        <v/>
      </c>
    </row>
    <row r="15" ht="16" customHeight="1">
      <c r="A15" s="20" t="inlineStr">
        <is>
          <t>NIFTY REALTY</t>
        </is>
      </c>
      <c r="B15" s="17" t="inlineStr">
        <is>
          <t>RAYMOND</t>
        </is>
      </c>
      <c r="C15" s="18" t="n">
        <v>630.5</v>
      </c>
      <c r="D15" s="18" t="n">
        <v>619.2</v>
      </c>
      <c r="E15" s="18" t="n">
        <v>594.4299999999999</v>
      </c>
      <c r="F15" s="18" t="n">
        <v>534.4</v>
      </c>
      <c r="G15" s="19">
        <f>HYPERLINK("https://www.tradingview.com/chart/?symbol=NSE:RAYMOND","Chart 📈")</f>
        <v/>
      </c>
    </row>
    <row r="16" ht="16" customHeight="1">
      <c r="A16" s="12" t="inlineStr">
        <is>
          <t>NIFTY METAL</t>
        </is>
      </c>
      <c r="B16" s="13" t="inlineStr">
        <is>
          <t>APLAPOLLO</t>
        </is>
      </c>
      <c r="C16" s="14" t="n">
        <v>2121.8</v>
      </c>
      <c r="D16" s="14" t="n">
        <v>1983.82</v>
      </c>
      <c r="E16" s="14" t="n">
        <v>1916.84</v>
      </c>
      <c r="F16" s="14" t="n">
        <v>1882.55</v>
      </c>
      <c r="G16" s="15">
        <f>HYPERLINK("https://www.tradingview.com/chart/?symbol=NSE:APLAPOLLO","Chart 📈")</f>
        <v/>
      </c>
    </row>
    <row r="17" ht="16" customHeight="1">
      <c r="A17" s="16" t="inlineStr">
        <is>
          <t>NIFTY METAL</t>
        </is>
      </c>
      <c r="B17" s="13" t="inlineStr">
        <is>
          <t>HINDALCO</t>
        </is>
      </c>
      <c r="C17" s="14" t="n">
        <v>1038.95</v>
      </c>
      <c r="D17" s="14" t="n">
        <v>1020.48</v>
      </c>
      <c r="E17" s="14" t="n">
        <v>1006.12</v>
      </c>
      <c r="F17" s="14" t="n">
        <v>945.83</v>
      </c>
      <c r="G17" s="15">
        <f>HYPERLINK("https://www.tradingview.com/chart/?symbol=NSE:HINDALCO","Chart 📈")</f>
        <v/>
      </c>
    </row>
    <row r="18" ht="16" customHeight="1">
      <c r="A18" s="16" t="inlineStr">
        <is>
          <t>NIFTY METAL</t>
        </is>
      </c>
      <c r="B18" s="13" t="inlineStr">
        <is>
          <t>HINDCOPPER</t>
        </is>
      </c>
      <c r="C18" s="14" t="n">
        <v>554.85</v>
      </c>
      <c r="D18" s="14" t="n">
        <v>528.38</v>
      </c>
      <c r="E18" s="14" t="n">
        <v>517.76</v>
      </c>
      <c r="F18" s="14" t="n">
        <v>481.63</v>
      </c>
      <c r="G18" s="15">
        <f>HYPERLINK("https://www.tradingview.com/chart/?symbol=NSE:HINDCOPPER","Chart 📈")</f>
        <v/>
      </c>
    </row>
    <row r="19" ht="16" customHeight="1">
      <c r="A19" s="16" t="inlineStr">
        <is>
          <t>NIFTY METAL</t>
        </is>
      </c>
      <c r="B19" s="13" t="inlineStr">
        <is>
          <t>JINDALSTEL</t>
        </is>
      </c>
      <c r="C19" s="14" t="n">
        <v>1115</v>
      </c>
      <c r="D19" s="14" t="n">
        <v>1094.47</v>
      </c>
      <c r="E19" s="14" t="n">
        <v>1099.82</v>
      </c>
      <c r="F19" s="14" t="n">
        <v>1111.99</v>
      </c>
      <c r="G19" s="15">
        <f>HYPERLINK("https://www.tradingview.com/chart/?symbol=NSE:JINDALSTEL","Chart 📈")</f>
        <v/>
      </c>
    </row>
    <row r="20" ht="16" customHeight="1">
      <c r="A20" s="16" t="inlineStr">
        <is>
          <t>NIFTY METAL</t>
        </is>
      </c>
      <c r="B20" s="13" t="inlineStr">
        <is>
          <t>JSWSTEEL</t>
        </is>
      </c>
      <c r="C20" s="14" t="n">
        <v>1285.8</v>
      </c>
      <c r="D20" s="14" t="n">
        <v>1275.85</v>
      </c>
      <c r="E20" s="14" t="n">
        <v>1264.81</v>
      </c>
      <c r="F20" s="14" t="n">
        <v>1215.89</v>
      </c>
      <c r="G20" s="15">
        <f>HYPERLINK("https://www.tradingview.com/chart/?symbol=NSE:JSWSTEEL","Chart 📈")</f>
        <v/>
      </c>
    </row>
    <row r="21" ht="16" customHeight="1">
      <c r="A21" s="16" t="inlineStr">
        <is>
          <t>NIFTY METAL</t>
        </is>
      </c>
      <c r="B21" s="13" t="inlineStr">
        <is>
          <t>NATIONALUM</t>
        </is>
      </c>
      <c r="C21" s="14" t="n">
        <v>386.55</v>
      </c>
      <c r="D21" s="14" t="n">
        <v>376.8</v>
      </c>
      <c r="E21" s="14" t="n">
        <v>371.61</v>
      </c>
      <c r="F21" s="14" t="n">
        <v>344.55</v>
      </c>
      <c r="G21" s="15">
        <f>HYPERLINK("https://www.tradingview.com/chart/?symbol=NSE:NATIONALUM","Chart 📈")</f>
        <v/>
      </c>
    </row>
    <row r="22" ht="16" customHeight="1">
      <c r="A22" s="16" t="inlineStr">
        <is>
          <t>NIFTY METAL</t>
        </is>
      </c>
      <c r="B22" s="13" t="inlineStr">
        <is>
          <t>SAIL</t>
        </is>
      </c>
      <c r="C22" s="14" t="n">
        <v>172.75</v>
      </c>
      <c r="D22" s="14" t="n">
        <v>170.86</v>
      </c>
      <c r="E22" s="14" t="n">
        <v>172.05</v>
      </c>
      <c r="F22" s="14" t="n">
        <v>162.77</v>
      </c>
      <c r="G22" s="15">
        <f>HYPERLINK("https://www.tradingview.com/chart/?symbol=NSE:SAIL","Chart 📈")</f>
        <v/>
      </c>
    </row>
    <row r="23" ht="16" customHeight="1">
      <c r="A23" s="16" t="inlineStr">
        <is>
          <t>NIFTY METAL</t>
        </is>
      </c>
      <c r="B23" s="13" t="inlineStr">
        <is>
          <t>WELCORP</t>
        </is>
      </c>
      <c r="C23" s="14" t="n">
        <v>1973.9</v>
      </c>
      <c r="D23" s="14" t="n">
        <v>1795.95</v>
      </c>
      <c r="E23" s="14" t="n">
        <v>1638.41</v>
      </c>
      <c r="F23" s="14" t="n">
        <v>1243.27</v>
      </c>
      <c r="G23" s="15">
        <f>HYPERLINK("https://www.tradingview.com/chart/?symbol=NSE:WELCORP","Chart 📈")</f>
        <v/>
      </c>
    </row>
    <row r="24" ht="16" customHeight="1">
      <c r="A24" s="8" t="inlineStr">
        <is>
          <t>NIFTY MIDSMALL IT &amp; TELECOM</t>
        </is>
      </c>
      <c r="B24" s="17" t="inlineStr">
        <is>
          <t>AFFLE</t>
        </is>
      </c>
      <c r="C24" s="18" t="n">
        <v>1693.8</v>
      </c>
      <c r="D24" s="18" t="n">
        <v>1635.49</v>
      </c>
      <c r="E24" s="18" t="n">
        <v>1568.85</v>
      </c>
      <c r="F24" s="18" t="n">
        <v>1589.2</v>
      </c>
      <c r="G24" s="19">
        <f>HYPERLINK("https://www.tradingview.com/chart/?symbol=NSE:AFFLE","Chart 📈")</f>
        <v/>
      </c>
    </row>
    <row r="25" ht="16" customHeight="1">
      <c r="A25" s="20" t="inlineStr">
        <is>
          <t>NIFTY MIDSMALL IT &amp; TELECOM</t>
        </is>
      </c>
      <c r="B25" s="17" t="inlineStr">
        <is>
          <t>COFORGE</t>
        </is>
      </c>
      <c r="C25" s="18" t="n">
        <v>1813.1</v>
      </c>
      <c r="D25" s="18" t="n">
        <v>1732.14</v>
      </c>
      <c r="E25" s="18" t="n">
        <v>1608.17</v>
      </c>
      <c r="F25" s="18" t="n">
        <v>1514.63</v>
      </c>
      <c r="G25" s="19">
        <f>HYPERLINK("https://www.tradingview.com/chart/?symbol=NSE:COFORGE","Chart 📈")</f>
        <v/>
      </c>
    </row>
    <row r="26" ht="16" customHeight="1">
      <c r="A26" s="20" t="inlineStr">
        <is>
          <t>NIFTY MIDSMALL IT &amp; TELECOM</t>
        </is>
      </c>
      <c r="B26" s="17" t="inlineStr">
        <is>
          <t>HFCL</t>
        </is>
      </c>
      <c r="C26" s="18" t="n">
        <v>226.53</v>
      </c>
      <c r="D26" s="18" t="n">
        <v>214.6</v>
      </c>
      <c r="E26" s="18" t="n">
        <v>201.13</v>
      </c>
      <c r="F26" s="18" t="n">
        <v>139.89</v>
      </c>
      <c r="G26" s="19">
        <f>HYPERLINK("https://www.tradingview.com/chart/?symbol=NSE:HFCL","Chart 📈")</f>
        <v/>
      </c>
    </row>
    <row r="27" ht="16" customHeight="1">
      <c r="A27" s="20" t="inlineStr">
        <is>
          <t>NIFTY MIDSMALL IT &amp; TELECOM</t>
        </is>
      </c>
      <c r="B27" s="17" t="inlineStr">
        <is>
          <t>IDEA</t>
        </is>
      </c>
      <c r="C27" s="18" t="n">
        <v>14.07</v>
      </c>
      <c r="D27" s="18" t="n">
        <v>13.47</v>
      </c>
      <c r="E27" s="18" t="n">
        <v>13.41</v>
      </c>
      <c r="F27" s="18" t="n">
        <v>11.67</v>
      </c>
      <c r="G27" s="19">
        <f>HYPERLINK("https://www.tradingview.com/chart/?symbol=NSE:IDEA","Chart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OFSS</t>
        </is>
      </c>
      <c r="C28" s="18" t="n">
        <v>11774</v>
      </c>
      <c r="D28" s="18" t="n">
        <v>11557.61</v>
      </c>
      <c r="E28" s="18" t="n">
        <v>11019.93</v>
      </c>
      <c r="F28" s="18" t="n">
        <v>9303.719999999999</v>
      </c>
      <c r="G28" s="19">
        <f>HYPERLINK("https://www.tradingview.com/chart/?symbol=NSE:OFSS","Chart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PERSISTENT</t>
        </is>
      </c>
      <c r="C29" s="18" t="n">
        <v>5510</v>
      </c>
      <c r="D29" s="18" t="n">
        <v>5409.36</v>
      </c>
      <c r="E29" s="18" t="n">
        <v>5224.35</v>
      </c>
      <c r="F29" s="18" t="n">
        <v>5252.9</v>
      </c>
      <c r="G29" s="19">
        <f>HYPERLINK("https://www.tradingview.com/chart/?symbol=NSE:PERSISTENT","Chart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TATATECH</t>
        </is>
      </c>
      <c r="C30" s="18" t="n">
        <v>812.55</v>
      </c>
      <c r="D30" s="18" t="n">
        <v>807.3099999999999</v>
      </c>
      <c r="E30" s="18" t="n">
        <v>761.5</v>
      </c>
      <c r="F30" s="18" t="n">
        <v>684.11</v>
      </c>
      <c r="G30" s="19">
        <f>HYPERLINK("https://www.tradingview.com/chart/?symbol=NSE:TATATECH","Chart 📈")</f>
        <v/>
      </c>
    </row>
    <row r="31" ht="16" customHeight="1">
      <c r="A31" s="12" t="inlineStr">
        <is>
          <t>NIFTY PHARMA</t>
        </is>
      </c>
      <c r="B31" s="13" t="inlineStr">
        <is>
          <t>AJANTPHARM</t>
        </is>
      </c>
      <c r="C31" s="14" t="n">
        <v>3697.9</v>
      </c>
      <c r="D31" s="14" t="n">
        <v>3533.13</v>
      </c>
      <c r="E31" s="14" t="n">
        <v>3377.36</v>
      </c>
      <c r="F31" s="14" t="n">
        <v>3020.92</v>
      </c>
      <c r="G31" s="15">
        <f>HYPERLINK("https://www.tradingview.com/chart/?symbol=NSE:AJANTPHARM","Chart 📈")</f>
        <v/>
      </c>
    </row>
    <row r="32" ht="16" customHeight="1">
      <c r="A32" s="16" t="inlineStr">
        <is>
          <t>NIFTY PHARMA</t>
        </is>
      </c>
      <c r="B32" s="13" t="inlineStr">
        <is>
          <t>AUROPHARMA</t>
        </is>
      </c>
      <c r="C32" s="14" t="n">
        <v>1624.5</v>
      </c>
      <c r="D32" s="14" t="n">
        <v>1610.69</v>
      </c>
      <c r="E32" s="14" t="n">
        <v>1561.68</v>
      </c>
      <c r="F32" s="14" t="n">
        <v>1384.41</v>
      </c>
      <c r="G32" s="15">
        <f>HYPERLINK("https://www.tradingview.com/chart/?symbol=NSE:AUROPHARMA","Chart 📈")</f>
        <v/>
      </c>
    </row>
    <row r="33" ht="16" customHeight="1">
      <c r="A33" s="16" t="inlineStr">
        <is>
          <t>NIFTY PHARMA</t>
        </is>
      </c>
      <c r="B33" s="13" t="inlineStr">
        <is>
          <t>DIVISLAB</t>
        </is>
      </c>
      <c r="C33" s="14" t="n">
        <v>8560</v>
      </c>
      <c r="D33" s="14" t="n">
        <v>8168.1</v>
      </c>
      <c r="E33" s="14" t="n">
        <v>7589.51</v>
      </c>
      <c r="F33" s="14" t="n">
        <v>6767.91</v>
      </c>
      <c r="G33" s="15">
        <f>HYPERLINK("https://www.tradingview.com/chart/?symbol=NSE:DIVISLAB","Chart 📈")</f>
        <v/>
      </c>
    </row>
    <row r="34" ht="16" customHeight="1">
      <c r="A34" s="16" t="inlineStr">
        <is>
          <t>NIFTY PHARMA</t>
        </is>
      </c>
      <c r="B34" s="13" t="inlineStr">
        <is>
          <t>GLAND</t>
        </is>
      </c>
      <c r="C34" s="14" t="n">
        <v>2841.3</v>
      </c>
      <c r="D34" s="14" t="n">
        <v>2701.31</v>
      </c>
      <c r="E34" s="14" t="n">
        <v>2501.5</v>
      </c>
      <c r="F34" s="14" t="n">
        <v>2115.82</v>
      </c>
      <c r="G34" s="15">
        <f>HYPERLINK("https://www.tradingview.com/chart/?symbol=NSE:GLAND","Chart 📈")</f>
        <v/>
      </c>
    </row>
    <row r="35" ht="16" customHeight="1">
      <c r="A35" s="16" t="inlineStr">
        <is>
          <t>NIFTY PHARMA</t>
        </is>
      </c>
      <c r="B35" s="13" t="inlineStr">
        <is>
          <t>IPCALAB</t>
        </is>
      </c>
      <c r="C35" s="14" t="n">
        <v>1903.7</v>
      </c>
      <c r="D35" s="14" t="n">
        <v>1787.07</v>
      </c>
      <c r="E35" s="14" t="n">
        <v>1732.6</v>
      </c>
      <c r="F35" s="14" t="n">
        <v>1575.76</v>
      </c>
      <c r="G35" s="15">
        <f>HYPERLINK("https://www.tradingview.com/chart/?symbol=NSE:IPCALAB","Chart 📈")</f>
        <v/>
      </c>
    </row>
    <row r="36" ht="16" customHeight="1">
      <c r="A36" s="16" t="inlineStr">
        <is>
          <t>NIFTY PHARMA</t>
        </is>
      </c>
      <c r="B36" s="13" t="inlineStr">
        <is>
          <t>JBCHEPHARM</t>
        </is>
      </c>
      <c r="C36" s="14" t="n">
        <v>2408.9</v>
      </c>
      <c r="D36" s="14" t="n">
        <v>2383.66</v>
      </c>
      <c r="E36" s="14" t="n">
        <v>2287.69</v>
      </c>
      <c r="F36" s="14" t="n">
        <v>2043.41</v>
      </c>
      <c r="G36" s="15">
        <f>HYPERLINK("https://www.tradingview.com/chart/?symbol=NSE:JBCHEPHARM","Chart 📈")</f>
        <v/>
      </c>
    </row>
    <row r="37" ht="16" customHeight="1">
      <c r="A37" s="16" t="inlineStr">
        <is>
          <t>NIFTY PHARMA</t>
        </is>
      </c>
      <c r="B37" s="13" t="inlineStr">
        <is>
          <t>LAURUSLABS</t>
        </is>
      </c>
      <c r="C37" s="14" t="n">
        <v>1801.8</v>
      </c>
      <c r="D37" s="14" t="n">
        <v>1772.52</v>
      </c>
      <c r="E37" s="14" t="n">
        <v>1635.02</v>
      </c>
      <c r="F37" s="14" t="n">
        <v>1295.51</v>
      </c>
      <c r="G37" s="15">
        <f>HYPERLINK("https://www.tradingview.com/chart/?symbol=NSE:LAURUSLABS","Chart 📈")</f>
        <v/>
      </c>
    </row>
    <row r="38" ht="16" customHeight="1">
      <c r="A38" s="16" t="inlineStr">
        <is>
          <t>NIFTY PHARMA</t>
        </is>
      </c>
      <c r="B38" s="13" t="inlineStr">
        <is>
          <t>TORNTPHARM</t>
        </is>
      </c>
      <c r="C38" s="14" t="n">
        <v>5013</v>
      </c>
      <c r="D38" s="14" t="n">
        <v>4930.33</v>
      </c>
      <c r="E38" s="14" t="n">
        <v>4812.74</v>
      </c>
      <c r="F38" s="14" t="n">
        <v>4350.97</v>
      </c>
      <c r="G38" s="15">
        <f>HYPERLINK("https://www.tradingview.com/chart/?symbol=NSE:TORNTPHARM","Chart 📈")</f>
        <v/>
      </c>
    </row>
    <row r="39" ht="16" customHeight="1">
      <c r="A39" s="8" t="inlineStr">
        <is>
          <t>NIFTY OIL &amp; GAS</t>
        </is>
      </c>
      <c r="B39" s="17" t="inlineStr">
        <is>
          <t>AEGISLOG</t>
        </is>
      </c>
      <c r="C39" s="18" t="n">
        <v>1364</v>
      </c>
      <c r="D39" s="18" t="n">
        <v>1311.31</v>
      </c>
      <c r="E39" s="18" t="n">
        <v>1209.29</v>
      </c>
      <c r="F39" s="18" t="n">
        <v>919.77</v>
      </c>
      <c r="G39" s="19">
        <f>HYPERLINK("https://www.tradingview.com/chart/?symbol=NSE:AEGISLOG","Chart 📈")</f>
        <v/>
      </c>
    </row>
    <row r="40" ht="16" customHeight="1">
      <c r="A40" s="20" t="inlineStr">
        <is>
          <t>NIFTY OIL &amp; GAS</t>
        </is>
      </c>
      <c r="B40" s="17" t="inlineStr">
        <is>
          <t>CASTROLIND</t>
        </is>
      </c>
      <c r="C40" s="18" t="n">
        <v>188.75</v>
      </c>
      <c r="D40" s="18" t="n">
        <v>184.53</v>
      </c>
      <c r="E40" s="18" t="n">
        <v>181.52</v>
      </c>
      <c r="F40" s="18" t="n">
        <v>180.3</v>
      </c>
      <c r="G40" s="19">
        <f>HYPERLINK("https://www.tradingview.com/chart/?symbol=NSE:CASTROLIND","Chart 📈")</f>
        <v/>
      </c>
    </row>
    <row r="41" ht="16" customHeight="1">
      <c r="A41" s="20" t="inlineStr">
        <is>
          <t>NIFTY OIL &amp; GAS</t>
        </is>
      </c>
      <c r="B41" s="17" t="inlineStr">
        <is>
          <t>MGL</t>
        </is>
      </c>
      <c r="C41" s="18" t="n">
        <v>1128</v>
      </c>
      <c r="D41" s="18" t="n">
        <v>1105.33</v>
      </c>
      <c r="E41" s="18" t="n">
        <v>1101</v>
      </c>
      <c r="F41" s="18" t="n">
        <v>1117.98</v>
      </c>
      <c r="G41" s="19">
        <f>HYPERLINK("https://www.tradingview.com/chart/?symbol=NSE:MGL","Chart 📈")</f>
        <v/>
      </c>
    </row>
    <row r="42" ht="16" customHeight="1">
      <c r="A42" s="20" t="inlineStr">
        <is>
          <t>NIFTY OIL &amp; GAS</t>
        </is>
      </c>
      <c r="B42" s="17" t="inlineStr">
        <is>
          <t>OIL</t>
        </is>
      </c>
      <c r="C42" s="18" t="n">
        <v>474.85</v>
      </c>
      <c r="D42" s="18" t="n">
        <v>460.15</v>
      </c>
      <c r="E42" s="18" t="n">
        <v>452.96</v>
      </c>
      <c r="F42" s="18" t="n">
        <v>446.43</v>
      </c>
      <c r="G42" s="19">
        <f>HYPERLINK("https://www.tradingview.com/chart/?symbol=NSE:OIL","Chart 📈")</f>
        <v/>
      </c>
    </row>
    <row r="43" ht="16" customHeight="1">
      <c r="A43" s="20" t="inlineStr">
        <is>
          <t>NIFTY OIL &amp; GAS</t>
        </is>
      </c>
      <c r="B43" s="17" t="inlineStr">
        <is>
          <t>PETRONET</t>
        </is>
      </c>
      <c r="C43" s="18" t="n">
        <v>288.15</v>
      </c>
      <c r="D43" s="18" t="n">
        <v>280.84</v>
      </c>
      <c r="E43" s="18" t="n">
        <v>278.6</v>
      </c>
      <c r="F43" s="18" t="n">
        <v>276.02</v>
      </c>
      <c r="G43" s="19">
        <f>HYPERLINK("https://www.tradingview.com/chart/?symbol=NSE:PETRONET","Chart 📈")</f>
        <v/>
      </c>
    </row>
    <row r="44" ht="16" customHeight="1">
      <c r="A44" s="12" t="inlineStr">
        <is>
          <t>NIFTY CONSUMER DURABLES</t>
        </is>
      </c>
      <c r="B44" s="13" t="inlineStr">
        <is>
          <t>DIXON</t>
        </is>
      </c>
      <c r="C44" s="14" t="n">
        <v>14462</v>
      </c>
      <c r="D44" s="14" t="n">
        <v>14006.75</v>
      </c>
      <c r="E44" s="14" t="n">
        <v>13382.78</v>
      </c>
      <c r="F44" s="14" t="n">
        <v>12961.71</v>
      </c>
      <c r="G44" s="15">
        <f>HYPERLINK("https://www.tradingview.com/chart/?symbol=NSE:DIXON","Chart 📈")</f>
        <v/>
      </c>
    </row>
    <row r="45" ht="16" customHeight="1">
      <c r="A45" s="16" t="inlineStr">
        <is>
          <t>NIFTY CONSUMER DURABLES</t>
        </is>
      </c>
      <c r="B45" s="13" t="inlineStr">
        <is>
          <t>KALYANKJIL</t>
        </is>
      </c>
      <c r="C45" s="14" t="n">
        <v>595.2</v>
      </c>
      <c r="D45" s="14" t="n">
        <v>586.02</v>
      </c>
      <c r="E45" s="14" t="n">
        <v>524.87</v>
      </c>
      <c r="F45" s="14" t="n">
        <v>462.04</v>
      </c>
      <c r="G45" s="15">
        <f>HYPERLINK("https://www.tradingview.com/chart/?symbol=NSE:KALYANKJIL","Chart 📈")</f>
        <v/>
      </c>
    </row>
    <row r="46" ht="16" customHeight="1">
      <c r="A46" s="16" t="inlineStr">
        <is>
          <t>NIFTY CONSUMER DURABLES</t>
        </is>
      </c>
      <c r="B46" s="13" t="inlineStr">
        <is>
          <t>TITAN</t>
        </is>
      </c>
      <c r="C46" s="14" t="n">
        <v>5068</v>
      </c>
      <c r="D46" s="14" t="n">
        <v>4943.65</v>
      </c>
      <c r="E46" s="14" t="n">
        <v>4715.25</v>
      </c>
      <c r="F46" s="14" t="n">
        <v>4278.42</v>
      </c>
      <c r="G46" s="15">
        <f>HYPERLINK("https://www.tradingview.com/chart/?symbol=NSE:TITAN","Chart 📈")</f>
        <v/>
      </c>
    </row>
    <row r="47" ht="16" customHeight="1">
      <c r="A47" s="16" t="inlineStr">
        <is>
          <t>NIFTY CONSUMER DURABLES</t>
        </is>
      </c>
      <c r="B47" s="13" t="inlineStr">
        <is>
          <t>VGUARD</t>
        </is>
      </c>
      <c r="C47" s="14" t="n">
        <v>333.35</v>
      </c>
      <c r="D47" s="14" t="n">
        <v>320.39</v>
      </c>
      <c r="E47" s="14" t="n">
        <v>313.16</v>
      </c>
      <c r="F47" s="14" t="n">
        <v>323.26</v>
      </c>
      <c r="G47" s="15">
        <f>HYPERLINK("https://www.tradingview.com/chart/?symbol=NSE:VGUARD","Chart 📈")</f>
        <v/>
      </c>
    </row>
    <row r="48" ht="16" customHeight="1">
      <c r="A48" s="8" t="inlineStr">
        <is>
          <t>NIFTY MEDIA</t>
        </is>
      </c>
      <c r="B48" s="17" t="inlineStr">
        <is>
          <t>NAZARA</t>
        </is>
      </c>
      <c r="C48" s="18" t="n">
        <v>357.35</v>
      </c>
      <c r="D48" s="18" t="n">
        <v>339.8</v>
      </c>
      <c r="E48" s="18" t="n">
        <v>318.76</v>
      </c>
      <c r="F48" s="18" t="n">
        <v>292.69</v>
      </c>
      <c r="G48" s="19">
        <f>HYPERLINK("https://www.tradingview.com/chart/?symbol=NSE:NAZARA","Chart 📈")</f>
        <v/>
      </c>
    </row>
    <row r="49" ht="16" customHeight="1">
      <c r="A49" s="20" t="inlineStr">
        <is>
          <t>NIFTY MEDIA</t>
        </is>
      </c>
      <c r="B49" s="17" t="inlineStr">
        <is>
          <t>PVRINOX</t>
        </is>
      </c>
      <c r="C49" s="18" t="n">
        <v>1200.9</v>
      </c>
      <c r="D49" s="18" t="n">
        <v>1141.14</v>
      </c>
      <c r="E49" s="18" t="n">
        <v>1078.84</v>
      </c>
      <c r="F49" s="18" t="n">
        <v>1042.18</v>
      </c>
      <c r="G49" s="19">
        <f>HYPERLINK("https://www.tradingview.com/chart/?symbol=NSE:PVRINOX","Chart 📈")</f>
        <v/>
      </c>
    </row>
    <row r="50" ht="16" customHeight="1">
      <c r="A50" s="20" t="inlineStr">
        <is>
          <t>NIFTY MEDIA</t>
        </is>
      </c>
      <c r="B50" s="17" t="inlineStr">
        <is>
          <t>ZEEL</t>
        </is>
      </c>
      <c r="C50" s="18" t="n">
        <v>102.22</v>
      </c>
      <c r="D50" s="18" t="n">
        <v>101.08</v>
      </c>
      <c r="E50" s="18" t="n">
        <v>101.15</v>
      </c>
      <c r="F50" s="18" t="n">
        <v>98.20999999999999</v>
      </c>
      <c r="G50" s="19">
        <f>HYPERLINK("https://www.tradingview.com/chart/?symbol=NSE:ZEEL","Chart 📈")</f>
        <v/>
      </c>
    </row>
    <row r="51" ht="16" customHeight="1">
      <c r="A51" s="12" t="inlineStr">
        <is>
          <t>NIFTY PSU BANK</t>
        </is>
      </c>
      <c r="B51" s="13" t="inlineStr">
        <is>
          <t>INDIANB</t>
        </is>
      </c>
      <c r="C51" s="14" t="n">
        <v>873.15</v>
      </c>
      <c r="D51" s="14" t="n">
        <v>865.72</v>
      </c>
      <c r="E51" s="14" t="n">
        <v>850.78</v>
      </c>
      <c r="F51" s="14" t="n">
        <v>826.42</v>
      </c>
      <c r="G51" s="15">
        <f>HYPERLINK("https://www.tradingview.com/chart/?symbol=NSE:INDIANB","Chart 📈")</f>
        <v/>
      </c>
    </row>
    <row r="52" ht="16" customHeight="1">
      <c r="A52" s="16" t="inlineStr">
        <is>
          <t>NIFTY PSU BANK</t>
        </is>
      </c>
      <c r="B52" s="13" t="inlineStr">
        <is>
          <t>PNB</t>
        </is>
      </c>
      <c r="C52" s="14" t="n">
        <v>117.48</v>
      </c>
      <c r="D52" s="14" t="n">
        <v>114.29</v>
      </c>
      <c r="E52" s="14" t="n">
        <v>110.96</v>
      </c>
      <c r="F52" s="14" t="n">
        <v>110.05</v>
      </c>
      <c r="G52" s="15">
        <f>HYPERLINK("https://www.tradingview.com/chart/?symbol=NSE:PNB","Chart 📈")</f>
        <v/>
      </c>
    </row>
    <row r="53" ht="16" customHeight="1">
      <c r="A53" s="16" t="inlineStr">
        <is>
          <t>NIFTY PSU BANK</t>
        </is>
      </c>
      <c r="B53" s="13" t="inlineStr">
        <is>
          <t>UNIONBANK</t>
        </is>
      </c>
      <c r="C53" s="14" t="n">
        <v>186.9</v>
      </c>
      <c r="D53" s="14" t="n">
        <v>180.12</v>
      </c>
      <c r="E53" s="14" t="n">
        <v>174</v>
      </c>
      <c r="F53" s="14" t="n">
        <v>164.2</v>
      </c>
      <c r="G53" s="15">
        <f>HYPERLINK("https://www.tradingview.com/chart/?symbol=NSE:UNIONBANK","Chart 📈")</f>
        <v/>
      </c>
    </row>
    <row r="54" ht="16" customHeight="1">
      <c r="A54" s="8" t="inlineStr">
        <is>
          <t>NIFTY BANK</t>
        </is>
      </c>
      <c r="B54" s="17" t="inlineStr">
        <is>
          <t>AUBANK</t>
        </is>
      </c>
      <c r="C54" s="18" t="n">
        <v>1075</v>
      </c>
      <c r="D54" s="18" t="n">
        <v>1063.05</v>
      </c>
      <c r="E54" s="18" t="n">
        <v>1042.16</v>
      </c>
      <c r="F54" s="18" t="n">
        <v>972.33</v>
      </c>
      <c r="G54" s="19">
        <f>HYPERLINK("https://www.tradingview.com/chart/?symbol=NSE:AUBANK","Chart 📈")</f>
        <v/>
      </c>
    </row>
    <row r="55" ht="16" customHeight="1">
      <c r="A55" s="20" t="inlineStr">
        <is>
          <t>NIFTY BANK</t>
        </is>
      </c>
      <c r="B55" s="17" t="inlineStr">
        <is>
          <t>FEDERALBNK</t>
        </is>
      </c>
      <c r="C55" s="18" t="n">
        <v>358.8</v>
      </c>
      <c r="D55" s="18" t="n">
        <v>352.33</v>
      </c>
      <c r="E55" s="18" t="n">
        <v>338.17</v>
      </c>
      <c r="F55" s="18" t="n">
        <v>292.37</v>
      </c>
      <c r="G55" s="19">
        <f>HYPERLINK("https://www.tradingview.com/chart/?symbol=NSE:FEDERALBNK","Chart 📈")</f>
        <v/>
      </c>
    </row>
    <row r="56" ht="16" customHeight="1">
      <c r="A56" s="20" t="inlineStr">
        <is>
          <t>NIFTY BANK</t>
        </is>
      </c>
      <c r="B56" s="17" t="inlineStr">
        <is>
          <t>IDFCFIRSTB</t>
        </is>
      </c>
      <c r="C56" s="18" t="n">
        <v>85.48999999999999</v>
      </c>
      <c r="D56" s="18" t="n">
        <v>84.29000000000001</v>
      </c>
      <c r="E56" s="18" t="n">
        <v>81.09999999999999</v>
      </c>
      <c r="F56" s="18" t="n">
        <v>76.16</v>
      </c>
      <c r="G56" s="19">
        <f>HYPERLINK("https://www.tradingview.com/chart/?symbol=NSE:IDFCFIRSTB","Chart 📈")</f>
        <v/>
      </c>
    </row>
    <row r="57" ht="16" customHeight="1">
      <c r="A57" s="20" t="inlineStr">
        <is>
          <t>NIFTY BANK</t>
        </is>
      </c>
      <c r="B57" s="17" t="inlineStr">
        <is>
          <t>INDUSINDBK</t>
        </is>
      </c>
      <c r="C57" s="18" t="n">
        <v>1016.7</v>
      </c>
      <c r="D57" s="18" t="n">
        <v>1014.06</v>
      </c>
      <c r="E57" s="18" t="n">
        <v>988.0599999999999</v>
      </c>
      <c r="F57" s="18" t="n">
        <v>908.88</v>
      </c>
      <c r="G57" s="19">
        <f>HYPERLINK("https://www.tradingview.com/chart/?symbol=NSE:INDUSINDBK","Chart 📈")</f>
        <v/>
      </c>
    </row>
    <row r="58" ht="16" customHeight="1">
      <c r="A58" s="12" t="inlineStr">
        <is>
          <t>NIFTY FMCG</t>
        </is>
      </c>
      <c r="B58" s="13" t="inlineStr">
        <is>
          <t>BALRAMCHIN</t>
        </is>
      </c>
      <c r="C58" s="14" t="n">
        <v>650.8</v>
      </c>
      <c r="D58" s="14" t="n">
        <v>626.13</v>
      </c>
      <c r="E58" s="14" t="n">
        <v>595.9</v>
      </c>
      <c r="F58" s="14" t="n">
        <v>536.23</v>
      </c>
      <c r="G58" s="15">
        <f>HYPERLINK("https://www.tradingview.com/chart/?symbol=NSE:BALRAMCHIN","Chart 📈")</f>
        <v/>
      </c>
    </row>
    <row r="59" ht="16" customHeight="1">
      <c r="A59" s="16" t="inlineStr">
        <is>
          <t>NIFTY FMCG</t>
        </is>
      </c>
      <c r="B59" s="13" t="inlineStr">
        <is>
          <t>RADICO</t>
        </is>
      </c>
      <c r="C59" s="14" t="n">
        <v>4696</v>
      </c>
      <c r="D59" s="14" t="n">
        <v>4472.93</v>
      </c>
      <c r="E59" s="14" t="n">
        <v>4156.56</v>
      </c>
      <c r="F59" s="14" t="n">
        <v>3489.18</v>
      </c>
      <c r="G59" s="15">
        <f>HYPERLINK("https://www.tradingview.com/chart/?symbol=NSE:RADICO","Chart 📈")</f>
        <v/>
      </c>
    </row>
    <row r="60" ht="16" customHeight="1">
      <c r="A60" s="16" t="inlineStr">
        <is>
          <t>NIFTY FMCG</t>
        </is>
      </c>
      <c r="B60" s="13" t="inlineStr">
        <is>
          <t>UNITDSPR</t>
        </is>
      </c>
      <c r="C60" s="14" t="n">
        <v>1524</v>
      </c>
      <c r="D60" s="14" t="n">
        <v>1500.5</v>
      </c>
      <c r="E60" s="14" t="n">
        <v>1435.45</v>
      </c>
      <c r="F60" s="14" t="n">
        <v>1361.49</v>
      </c>
      <c r="G60" s="15">
        <f>HYPERLINK("https://www.tradingview.com/chart/?symbol=NSE:UNITDSPR","Chart 📈")</f>
        <v/>
      </c>
    </row>
    <row r="61" ht="16" customHeight="1">
      <c r="A61" s="8" t="inlineStr">
        <is>
          <t>NIFTY FINANCIAL SERVICES</t>
        </is>
      </c>
      <c r="B61" s="17" t="inlineStr">
        <is>
          <t>BAJAJFINSV</t>
        </is>
      </c>
      <c r="C61" s="18" t="n">
        <v>2012</v>
      </c>
      <c r="D61" s="18" t="n">
        <v>1991.5</v>
      </c>
      <c r="E61" s="18" t="n">
        <v>1920.98</v>
      </c>
      <c r="F61" s="18" t="n">
        <v>1896.49</v>
      </c>
      <c r="G61" s="19">
        <f>HYPERLINK("https://www.tradingview.com/chart/?symbol=NSE:BAJAJFINSV","Chart 📈")</f>
        <v/>
      </c>
    </row>
    <row r="62" ht="16" customHeight="1">
      <c r="A62" s="20" t="inlineStr">
        <is>
          <t>NIFTY FINANCIAL SERVICES</t>
        </is>
      </c>
      <c r="B62" s="17" t="inlineStr">
        <is>
          <t>CHOLAFIN</t>
        </is>
      </c>
      <c r="C62" s="18" t="n">
        <v>1873.5</v>
      </c>
      <c r="D62" s="18" t="n">
        <v>1861.01</v>
      </c>
      <c r="E62" s="18" t="n">
        <v>1789.94</v>
      </c>
      <c r="F62" s="18" t="n">
        <v>1671.78</v>
      </c>
      <c r="G62" s="19">
        <f>HYPERLINK("https://www.tradingview.com/chart/?symbol=NSE:CHOLAFIN","Chart 📈")</f>
        <v/>
      </c>
    </row>
    <row r="63" ht="16" customHeight="1">
      <c r="A63" s="20" t="inlineStr">
        <is>
          <t>NIFTY FINANCIAL SERVICES</t>
        </is>
      </c>
      <c r="B63" s="17" t="inlineStr">
        <is>
          <t>MCX</t>
        </is>
      </c>
      <c r="C63" s="18" t="n">
        <v>2973</v>
      </c>
      <c r="D63" s="18" t="n">
        <v>2841.68</v>
      </c>
      <c r="E63" s="18" t="n">
        <v>2825.95</v>
      </c>
      <c r="F63" s="18" t="n">
        <v>2572.88</v>
      </c>
      <c r="G63" s="19">
        <f>HYPERLINK("https://www.tradingview.com/chart/?symbol=NSE:MCX","Chart 📈")</f>
        <v/>
      </c>
    </row>
    <row r="64" ht="16" customHeight="1">
      <c r="A64" s="20" t="inlineStr">
        <is>
          <t>NIFTY FINANCIAL SERVICES</t>
        </is>
      </c>
      <c r="B64" s="17" t="inlineStr">
        <is>
          <t>SHRIRAMFIN</t>
        </is>
      </c>
      <c r="C64" s="18" t="n">
        <v>1106</v>
      </c>
      <c r="D64" s="18" t="n">
        <v>1094.98</v>
      </c>
      <c r="E64" s="18" t="n">
        <v>1054.52</v>
      </c>
      <c r="F64" s="18" t="n">
        <v>950.29</v>
      </c>
      <c r="G64" s="19">
        <f>HYPERLINK("https://www.tradingview.com/chart/?symbol=NSE:SHRIRAMFIN","Chart 📈")</f>
        <v/>
      </c>
    </row>
    <row r="65" ht="16" customHeight="1">
      <c r="A65" s="12" t="inlineStr">
        <is>
          <t>NIFTY IT</t>
        </is>
      </c>
      <c r="B65" s="13" t="inlineStr">
        <is>
          <t>HCLTECH</t>
        </is>
      </c>
      <c r="C65" s="14" t="n">
        <v>1324.8</v>
      </c>
      <c r="D65" s="14" t="n">
        <v>1317.16</v>
      </c>
      <c r="E65" s="14" t="n">
        <v>1262.54</v>
      </c>
      <c r="F65" s="14" t="n">
        <v>1311.16</v>
      </c>
      <c r="G65" s="15">
        <f>HYPERLINK("https://www.tradingview.com/chart/?symbol=NSE:HCLTECH","Chart 📈")</f>
        <v/>
      </c>
    </row>
    <row r="66" ht="16" customHeight="1">
      <c r="A66" s="8" t="inlineStr">
        <is>
          <t>NIFTY ENERGY</t>
        </is>
      </c>
      <c r="B66" s="17" t="inlineStr">
        <is>
          <t>BHEL</t>
        </is>
      </c>
      <c r="C66" s="18" t="n">
        <v>419.8</v>
      </c>
      <c r="D66" s="18" t="n">
        <v>415.02</v>
      </c>
      <c r="E66" s="18" t="n">
        <v>404.03</v>
      </c>
      <c r="F66" s="18" t="n">
        <v>339.35</v>
      </c>
      <c r="G66" s="19">
        <f>HYPERLINK("https://www.tradingview.com/chart/?symbol=NSE:BHEL","Chart 📈")</f>
        <v/>
      </c>
    </row>
    <row r="67" ht="16" customHeight="1">
      <c r="A67" s="20" t="inlineStr">
        <is>
          <t>NIFTY ENERGY</t>
        </is>
      </c>
      <c r="B67" s="17" t="inlineStr">
        <is>
          <t>SIEMENS</t>
        </is>
      </c>
      <c r="C67" s="18" t="n">
        <v>3898.9</v>
      </c>
      <c r="D67" s="18" t="n">
        <v>3863.75</v>
      </c>
      <c r="E67" s="18" t="n">
        <v>3744.38</v>
      </c>
      <c r="F67" s="18" t="n">
        <v>3474.04</v>
      </c>
      <c r="G67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2026-08-19T11:31:30Z</dcterms:created>
  <dcterms:modified xmlns:dcterms="http://purl.org/dc/terms/" xmlns:xsi="http://www.w3.org/2001/XMLSchema-instance" xsi:type="dcterms:W3CDTF">2026-08-19T11:31:30Z</dcterms:modified>
</cp:coreProperties>
</file>