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ector EMA Summary" sheetId="1" state="visible" r:id="rId1"/>
    <sheet xmlns:r="http://schemas.openxmlformats.org/officeDocument/2006/relationships" name="Ticker Detail (Above EMA)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2"/>
    </font>
    <font>
      <name val="Arial"/>
      <b val="1"/>
      <color rgb="00FFFFFF"/>
      <sz val="9"/>
    </font>
    <font>
      <name val="Arial"/>
      <b val="1"/>
      <color rgb="00FFFFFF"/>
      <sz val="10"/>
    </font>
    <font>
      <name val="Arial"/>
      <b val="1"/>
      <color rgb="001A1A1A"/>
      <sz val="10"/>
    </font>
    <font>
      <name val="Arial"/>
      <color rgb="001A1A1A"/>
      <sz val="10"/>
    </font>
    <font>
      <name val="Arial"/>
      <color rgb="000563C1"/>
      <sz val="10"/>
      <u val="single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4472C4"/>
      </patternFill>
    </fill>
    <fill>
      <patternFill patternType="solid">
        <fgColor rgb="002E75B6"/>
      </patternFill>
    </fill>
    <fill>
      <patternFill patternType="solid">
        <fgColor rgb="00EBF3FB"/>
      </patternFill>
    </fill>
    <fill>
      <patternFill patternType="solid">
        <fgColor rgb="00FFFFFF"/>
      </patternFill>
    </fill>
    <fill>
      <patternFill patternType="solid">
        <fgColor rgb="00D6E4F7"/>
      </patternFill>
    </fill>
  </fills>
  <borders count="4">
    <border>
      <left/>
      <right/>
      <top/>
      <bottom/>
      <diagonal/>
    </border>
    <border>
      <bottom style="thin">
        <color rgb="00AAAAAA"/>
      </bottom>
    </border>
    <border>
      <left style="thin">
        <color rgb="00AAAAAA"/>
      </left>
      <right style="thin">
        <color rgb="00AAAAAA"/>
      </right>
      <top style="thin">
        <color rgb="00AAAAAA"/>
      </top>
      <bottom style="medium">
        <color rgb="00555555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2" applyAlignment="1" pivotButton="0" quotePrefix="0" xfId="0">
      <alignment horizontal="center" vertical="center" wrapText="1"/>
    </xf>
    <xf numFmtId="0" fontId="4" fillId="5" borderId="3" applyAlignment="1" pivotButton="0" quotePrefix="0" xfId="0">
      <alignment horizontal="left" vertical="center"/>
    </xf>
    <xf numFmtId="1" fontId="5" fillId="5" borderId="3" applyAlignment="1" pivotButton="0" quotePrefix="0" xfId="0">
      <alignment horizontal="center" vertical="center"/>
    </xf>
    <xf numFmtId="164" fontId="5" fillId="5" borderId="3" applyAlignment="1" pivotButton="0" quotePrefix="0" xfId="0">
      <alignment horizontal="center" vertical="center"/>
    </xf>
    <xf numFmtId="164" fontId="4" fillId="5" borderId="3" applyAlignment="1" pivotButton="0" quotePrefix="0" xfId="0">
      <alignment horizontal="center" vertical="center"/>
    </xf>
    <xf numFmtId="0" fontId="4" fillId="6" borderId="3" applyAlignment="1" pivotButton="0" quotePrefix="0" xfId="0">
      <alignment horizontal="left" vertical="center"/>
    </xf>
    <xf numFmtId="1" fontId="5" fillId="6" borderId="3" applyAlignment="1" pivotButton="0" quotePrefix="0" xfId="0">
      <alignment horizontal="center" vertical="center"/>
    </xf>
    <xf numFmtId="164" fontId="5" fillId="6" borderId="3" applyAlignment="1" pivotButton="0" quotePrefix="0" xfId="0">
      <alignment horizontal="center" vertical="center"/>
    </xf>
    <xf numFmtId="164" fontId="4" fillId="6" borderId="3" applyAlignment="1" pivotButton="0" quotePrefix="0" xfId="0">
      <alignment horizontal="center" vertical="center"/>
    </xf>
    <xf numFmtId="0" fontId="4" fillId="7" borderId="3" applyAlignment="1" pivotButton="0" quotePrefix="0" xfId="0">
      <alignment horizontal="left" vertical="center"/>
    </xf>
    <xf numFmtId="0" fontId="5" fillId="7" borderId="3" applyAlignment="1" pivotButton="0" quotePrefix="0" xfId="0">
      <alignment horizontal="center" vertical="center"/>
    </xf>
    <xf numFmtId="4" fontId="5" fillId="7" borderId="3" applyAlignment="1" pivotButton="0" quotePrefix="0" xfId="0">
      <alignment horizontal="right" vertical="center"/>
    </xf>
    <xf numFmtId="0" fontId="6" fillId="7" borderId="3" applyAlignment="1" pivotButton="0" quotePrefix="0" xfId="0">
      <alignment horizontal="center" vertical="center"/>
    </xf>
    <xf numFmtId="0" fontId="5" fillId="7" borderId="3" applyAlignment="1" pivotButton="0" quotePrefix="0" xfId="0">
      <alignment horizontal="left" vertical="center"/>
    </xf>
    <xf numFmtId="0" fontId="5" fillId="6" borderId="3" applyAlignment="1" pivotButton="0" quotePrefix="0" xfId="0">
      <alignment horizontal="center" vertical="center"/>
    </xf>
    <xf numFmtId="4" fontId="5" fillId="6" borderId="3" applyAlignment="1" pivotButton="0" quotePrefix="0" xfId="0">
      <alignment horizontal="right" vertical="center"/>
    </xf>
    <xf numFmtId="0" fontId="6" fillId="6" borderId="3" applyAlignment="1" pivotButton="0" quotePrefix="0" xfId="0">
      <alignment horizontal="center" vertical="center"/>
    </xf>
    <xf numFmtId="0" fontId="5" fillId="6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</cols>
  <sheetData>
    <row r="1" ht="28" customHeight="1">
      <c r="A1" s="1" t="inlineStr">
        <is>
          <t>NSE Sectoral EMA Analysis   ·   Generated: 22-Oct-2026  15:57</t>
        </is>
      </c>
    </row>
    <row r="2" ht="18" customHeight="1">
      <c r="C2" s="2" t="inlineStr">
        <is>
          <t>No. of Stocks Above EMA</t>
        </is>
      </c>
      <c r="F2" s="2" t="inlineStr">
        <is>
          <t>% of Stocks Above EMA</t>
        </is>
      </c>
    </row>
    <row r="3" ht="36" customHeight="1">
      <c r="A3" s="3" t="inlineStr">
        <is>
          <t>Sector</t>
        </is>
      </c>
      <c r="B3" s="3" t="inlineStr">
        <is>
          <t>Total
Stocks</t>
        </is>
      </c>
      <c r="C3" s="3" t="inlineStr">
        <is>
          <t>Above
20 EMA</t>
        </is>
      </c>
      <c r="D3" s="3" t="inlineStr">
        <is>
          <t>Above
50 EMA</t>
        </is>
      </c>
      <c r="E3" s="3" t="inlineStr">
        <is>
          <t>Above
200 EMA</t>
        </is>
      </c>
      <c r="F3" s="3" t="inlineStr">
        <is>
          <t>% Above
20 EMA</t>
        </is>
      </c>
      <c r="G3" s="3" t="inlineStr">
        <is>
          <t>% Above
50 EMA</t>
        </is>
      </c>
      <c r="H3" s="3" t="inlineStr">
        <is>
          <t>% Above
200 EMA</t>
        </is>
      </c>
      <c r="I3" s="3" t="inlineStr">
        <is>
          <t>Composite
Strength %</t>
        </is>
      </c>
    </row>
    <row r="4" ht="17" customHeight="1">
      <c r="A4" s="4" t="inlineStr">
        <is>
          <t>NIFTY MIDSMALL IT &amp; TELECOM</t>
        </is>
      </c>
      <c r="B4" s="5" t="n">
        <v>20</v>
      </c>
      <c r="C4" s="5" t="n">
        <v>12</v>
      </c>
      <c r="D4" s="5" t="n">
        <v>11</v>
      </c>
      <c r="E4" s="5" t="n">
        <v>7</v>
      </c>
      <c r="F4" s="6" t="n">
        <v>0.6</v>
      </c>
      <c r="G4" s="6" t="n">
        <v>0.55</v>
      </c>
      <c r="H4" s="6" t="n">
        <v>0.35</v>
      </c>
      <c r="I4" s="7" t="n">
        <v>0.5</v>
      </c>
    </row>
    <row r="5" ht="17" customHeight="1">
      <c r="A5" s="8" t="inlineStr">
        <is>
          <t>NIFTY MEDIA</t>
        </is>
      </c>
      <c r="B5" s="9" t="n">
        <v>10</v>
      </c>
      <c r="C5" s="9" t="n">
        <v>4</v>
      </c>
      <c r="D5" s="9" t="n">
        <v>5</v>
      </c>
      <c r="E5" s="9" t="n">
        <v>5</v>
      </c>
      <c r="F5" s="10" t="n">
        <v>0.4</v>
      </c>
      <c r="G5" s="10" t="n">
        <v>0.5</v>
      </c>
      <c r="H5" s="10" t="n">
        <v>0.5</v>
      </c>
      <c r="I5" s="11" t="n">
        <v>0.4667</v>
      </c>
    </row>
    <row r="6" ht="17" customHeight="1">
      <c r="A6" s="4" t="inlineStr">
        <is>
          <t>NIFTY IT</t>
        </is>
      </c>
      <c r="B6" s="5" t="n">
        <v>10</v>
      </c>
      <c r="C6" s="5" t="n">
        <v>5</v>
      </c>
      <c r="D6" s="5" t="n">
        <v>5</v>
      </c>
      <c r="E6" s="5" t="n">
        <v>3</v>
      </c>
      <c r="F6" s="6" t="n">
        <v>0.5</v>
      </c>
      <c r="G6" s="6" t="n">
        <v>0.5</v>
      </c>
      <c r="H6" s="6" t="n">
        <v>0.3</v>
      </c>
      <c r="I6" s="7" t="n">
        <v>0.4333</v>
      </c>
    </row>
    <row r="7" ht="17" customHeight="1">
      <c r="A7" s="8" t="inlineStr">
        <is>
          <t>NIFTY PSU BANK</t>
        </is>
      </c>
      <c r="B7" s="9" t="n">
        <v>12</v>
      </c>
      <c r="C7" s="9" t="n">
        <v>7</v>
      </c>
      <c r="D7" s="9" t="n">
        <v>3</v>
      </c>
      <c r="E7" s="9" t="n">
        <v>4</v>
      </c>
      <c r="F7" s="10" t="n">
        <v>0.583</v>
      </c>
      <c r="G7" s="10" t="n">
        <v>0.25</v>
      </c>
      <c r="H7" s="10" t="n">
        <v>0.333</v>
      </c>
      <c r="I7" s="11" t="n">
        <v>0.3887</v>
      </c>
    </row>
    <row r="8" ht="17" customHeight="1">
      <c r="A8" s="4" t="inlineStr">
        <is>
          <t>NIFTY REALTY</t>
        </is>
      </c>
      <c r="B8" s="5" t="n">
        <v>10</v>
      </c>
      <c r="C8" s="5" t="n">
        <v>2</v>
      </c>
      <c r="D8" s="5" t="n">
        <v>3</v>
      </c>
      <c r="E8" s="5" t="n">
        <v>3</v>
      </c>
      <c r="F8" s="6" t="n">
        <v>0.2</v>
      </c>
      <c r="G8" s="6" t="n">
        <v>0.3</v>
      </c>
      <c r="H8" s="6" t="n">
        <v>0.3</v>
      </c>
      <c r="I8" s="7" t="n">
        <v>0.2667</v>
      </c>
    </row>
    <row r="9" ht="17" customHeight="1">
      <c r="A9" s="8" t="inlineStr">
        <is>
          <t>NIFTY PHARMA</t>
        </is>
      </c>
      <c r="B9" s="9" t="n">
        <v>20</v>
      </c>
      <c r="C9" s="9" t="n">
        <v>1</v>
      </c>
      <c r="D9" s="9" t="n">
        <v>4</v>
      </c>
      <c r="E9" s="9" t="n">
        <v>10</v>
      </c>
      <c r="F9" s="10" t="n">
        <v>0.05</v>
      </c>
      <c r="G9" s="10" t="n">
        <v>0.2</v>
      </c>
      <c r="H9" s="10" t="n">
        <v>0.5</v>
      </c>
      <c r="I9" s="11" t="n">
        <v>0.25</v>
      </c>
    </row>
    <row r="10" ht="17" customHeight="1">
      <c r="A10" s="4" t="inlineStr">
        <is>
          <t>NIFTY OIL &amp; GAS</t>
        </is>
      </c>
      <c r="B10" s="5" t="n">
        <v>15</v>
      </c>
      <c r="C10" s="5" t="n">
        <v>3</v>
      </c>
      <c r="D10" s="5" t="n">
        <v>2</v>
      </c>
      <c r="E10" s="5" t="n">
        <v>4</v>
      </c>
      <c r="F10" s="6" t="n">
        <v>0.2</v>
      </c>
      <c r="G10" s="6" t="n">
        <v>0.133</v>
      </c>
      <c r="H10" s="6" t="n">
        <v>0.267</v>
      </c>
      <c r="I10" s="7" t="n">
        <v>0.2</v>
      </c>
    </row>
    <row r="11" ht="17" customHeight="1">
      <c r="A11" s="8" t="inlineStr">
        <is>
          <t>NIFTY FINANCIAL SERVICES</t>
        </is>
      </c>
      <c r="B11" s="9" t="n">
        <v>20</v>
      </c>
      <c r="C11" s="9" t="n">
        <v>3</v>
      </c>
      <c r="D11" s="9" t="n">
        <v>3</v>
      </c>
      <c r="E11" s="9" t="n">
        <v>3</v>
      </c>
      <c r="F11" s="10" t="n">
        <v>0.15</v>
      </c>
      <c r="G11" s="10" t="n">
        <v>0.15</v>
      </c>
      <c r="H11" s="10" t="n">
        <v>0.15</v>
      </c>
      <c r="I11" s="11" t="n">
        <v>0.15</v>
      </c>
    </row>
    <row r="12" ht="17" customHeight="1">
      <c r="A12" s="4" t="inlineStr">
        <is>
          <t>NIFTY CONSUMER DURABLES</t>
        </is>
      </c>
      <c r="B12" s="5" t="n">
        <v>15</v>
      </c>
      <c r="C12" s="5" t="n">
        <v>2</v>
      </c>
      <c r="D12" s="5" t="n">
        <v>1</v>
      </c>
      <c r="E12" s="5" t="n">
        <v>2</v>
      </c>
      <c r="F12" s="6" t="n">
        <v>0.133</v>
      </c>
      <c r="G12" s="6" t="n">
        <v>0.067</v>
      </c>
      <c r="H12" s="6" t="n">
        <v>0.133</v>
      </c>
      <c r="I12" s="7" t="n">
        <v>0.111</v>
      </c>
    </row>
    <row r="13" ht="17" customHeight="1">
      <c r="A13" s="8" t="inlineStr">
        <is>
          <t>NIFTY AUTO</t>
        </is>
      </c>
      <c r="B13" s="9" t="n">
        <v>15</v>
      </c>
      <c r="C13" s="9" t="n">
        <v>1</v>
      </c>
      <c r="D13" s="9" t="n">
        <v>0</v>
      </c>
      <c r="E13" s="9" t="n">
        <v>3</v>
      </c>
      <c r="F13" s="10" t="n">
        <v>0.067</v>
      </c>
      <c r="G13" s="10" t="n">
        <v>0</v>
      </c>
      <c r="H13" s="10" t="n">
        <v>0.2</v>
      </c>
      <c r="I13" s="11" t="n">
        <v>0.08900000000000001</v>
      </c>
    </row>
    <row r="14" ht="17" customHeight="1">
      <c r="A14" s="4" t="inlineStr">
        <is>
          <t>NIFTY METAL</t>
        </is>
      </c>
      <c r="B14" s="5" t="n">
        <v>15</v>
      </c>
      <c r="C14" s="5" t="n">
        <v>0</v>
      </c>
      <c r="D14" s="5" t="n">
        <v>1</v>
      </c>
      <c r="E14" s="5" t="n">
        <v>3</v>
      </c>
      <c r="F14" s="6" t="n">
        <v>0</v>
      </c>
      <c r="G14" s="6" t="n">
        <v>0.067</v>
      </c>
      <c r="H14" s="6" t="n">
        <v>0.2</v>
      </c>
      <c r="I14" s="7" t="n">
        <v>0.08900000000000001</v>
      </c>
    </row>
    <row r="15" ht="17" customHeight="1">
      <c r="A15" s="8" t="inlineStr">
        <is>
          <t>NIFTY BANK</t>
        </is>
      </c>
      <c r="B15" s="9" t="n">
        <v>12</v>
      </c>
      <c r="C15" s="9" t="n">
        <v>1</v>
      </c>
      <c r="D15" s="9" t="n">
        <v>1</v>
      </c>
      <c r="E15" s="9" t="n">
        <v>1</v>
      </c>
      <c r="F15" s="10" t="n">
        <v>0.083</v>
      </c>
      <c r="G15" s="10" t="n">
        <v>0.083</v>
      </c>
      <c r="H15" s="10" t="n">
        <v>0.083</v>
      </c>
      <c r="I15" s="11" t="n">
        <v>0.083</v>
      </c>
    </row>
    <row r="16" ht="17" customHeight="1">
      <c r="A16" s="4" t="inlineStr">
        <is>
          <t>NIFTY FMCG</t>
        </is>
      </c>
      <c r="B16" s="5" t="n">
        <v>15</v>
      </c>
      <c r="C16" s="5" t="n">
        <v>0</v>
      </c>
      <c r="D16" s="5" t="n">
        <v>0</v>
      </c>
      <c r="E16" s="5" t="n">
        <v>2</v>
      </c>
      <c r="F16" s="6" t="n">
        <v>0</v>
      </c>
      <c r="G16" s="6" t="n">
        <v>0</v>
      </c>
      <c r="H16" s="6" t="n">
        <v>0.133</v>
      </c>
      <c r="I16" s="7" t="n">
        <v>0.0443</v>
      </c>
    </row>
    <row r="17" ht="17" customHeight="1">
      <c r="A17" s="8" t="inlineStr">
        <is>
          <t>NIFTY ENERGY</t>
        </is>
      </c>
      <c r="B17" s="9" t="n">
        <v>40</v>
      </c>
      <c r="C17" s="9" t="n">
        <v>1</v>
      </c>
      <c r="D17" s="9" t="n">
        <v>0</v>
      </c>
      <c r="E17" s="9" t="n">
        <v>2</v>
      </c>
      <c r="F17" s="10" t="n">
        <v>0.025</v>
      </c>
      <c r="G17" s="10" t="n">
        <v>0</v>
      </c>
      <c r="H17" s="10" t="n">
        <v>0.05</v>
      </c>
      <c r="I17" s="11" t="n">
        <v>0.025</v>
      </c>
    </row>
  </sheetData>
  <mergeCells count="3">
    <mergeCell ref="A1:I1"/>
    <mergeCell ref="C2:E2"/>
    <mergeCell ref="F2:H2"/>
  </mergeCells>
  <conditionalFormatting sqref="F4:F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4:G17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4:H17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4:I1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</cols>
  <sheetData>
    <row r="1" ht="28" customHeight="1">
      <c r="A1" s="1" t="inlineStr">
        <is>
          <t>NSE Stocks Trading Above 20 / 50 / 200-Day EMA   ·   Strongest Sector First</t>
        </is>
      </c>
    </row>
    <row r="2" ht="36" customHeight="1">
      <c r="A2" s="3" t="inlineStr">
        <is>
          <t>Sector</t>
        </is>
      </c>
      <c r="B2" s="3" t="inlineStr">
        <is>
          <t>Ticker</t>
        </is>
      </c>
      <c r="C2" s="3" t="inlineStr">
        <is>
          <t>Current
Close (₹)</t>
        </is>
      </c>
      <c r="D2" s="3" t="inlineStr">
        <is>
          <t>20-Day
EMA (₹)</t>
        </is>
      </c>
      <c r="E2" s="3" t="inlineStr">
        <is>
          <t>50-Day
EMA (₹)</t>
        </is>
      </c>
      <c r="F2" s="3" t="inlineStr">
        <is>
          <t>200-Day
EMA (₹)</t>
        </is>
      </c>
      <c r="G2" s="3" t="inlineStr">
        <is>
          <t>TradingView
Chart</t>
        </is>
      </c>
    </row>
    <row r="3" ht="16" customHeight="1">
      <c r="A3" s="12" t="inlineStr">
        <is>
          <t>NIFTY MIDSMALL IT &amp; TELECOM</t>
        </is>
      </c>
      <c r="B3" s="13" t="inlineStr">
        <is>
          <t>COFORGE</t>
        </is>
      </c>
      <c r="C3" s="14" t="n">
        <v>1908.8</v>
      </c>
      <c r="D3" s="14" t="n">
        <v>1878.64</v>
      </c>
      <c r="E3" s="14" t="n">
        <v>1821.86</v>
      </c>
      <c r="F3" s="14" t="n">
        <v>1648.43</v>
      </c>
      <c r="G3" s="15">
        <f>HYPERLINK("https://www.tradingview.com/chart/?symbol=NSE:COFORGE","Chart 📈")</f>
        <v/>
      </c>
    </row>
    <row r="4" ht="16" customHeight="1">
      <c r="A4" s="16" t="inlineStr">
        <is>
          <t>NIFTY MIDSMALL IT &amp; TELECOM</t>
        </is>
      </c>
      <c r="B4" s="13" t="inlineStr">
        <is>
          <t>CYIENT</t>
        </is>
      </c>
      <c r="C4" s="14" t="n">
        <v>1143.7</v>
      </c>
      <c r="D4" s="14" t="n">
        <v>1135.52</v>
      </c>
      <c r="E4" s="14" t="n">
        <v>1069.83</v>
      </c>
      <c r="F4" s="14" t="n">
        <v>1006.41</v>
      </c>
      <c r="G4" s="15">
        <f>HYPERLINK("https://www.tradingview.com/chart/?symbol=NSE:CYIENT","Chart 📈")</f>
        <v/>
      </c>
    </row>
    <row r="5" ht="16" customHeight="1">
      <c r="A5" s="16" t="inlineStr">
        <is>
          <t>NIFTY MIDSMALL IT &amp; TELECOM</t>
        </is>
      </c>
      <c r="B5" s="13" t="inlineStr">
        <is>
          <t>HFCL</t>
        </is>
      </c>
      <c r="C5" s="14" t="n">
        <v>251.55</v>
      </c>
      <c r="D5" s="14" t="n">
        <v>249.11</v>
      </c>
      <c r="E5" s="14" t="n">
        <v>234.81</v>
      </c>
      <c r="F5" s="14" t="n">
        <v>174.01</v>
      </c>
      <c r="G5" s="15">
        <f>HYPERLINK("https://www.tradingview.com/chart/?symbol=NSE:HFCL","Chart 📈")</f>
        <v/>
      </c>
    </row>
    <row r="6" ht="16" customHeight="1">
      <c r="A6" s="16" t="inlineStr">
        <is>
          <t>NIFTY MIDSMALL IT &amp; TELECOM</t>
        </is>
      </c>
      <c r="B6" s="13" t="inlineStr">
        <is>
          <t>LTTS</t>
        </is>
      </c>
      <c r="C6" s="14" t="n">
        <v>3954.8</v>
      </c>
      <c r="D6" s="14" t="n">
        <v>3515.34</v>
      </c>
      <c r="E6" s="14" t="n">
        <v>3445.52</v>
      </c>
      <c r="F6" s="14" t="n">
        <v>3551.42</v>
      </c>
      <c r="G6" s="15">
        <f>HYPERLINK("https://www.tradingview.com/chart/?symbol=NSE:LTTS","Chart 📈")</f>
        <v/>
      </c>
    </row>
    <row r="7" ht="16" customHeight="1">
      <c r="A7" s="16" t="inlineStr">
        <is>
          <t>NIFTY MIDSMALL IT &amp; TELECOM</t>
        </is>
      </c>
      <c r="B7" s="13" t="inlineStr">
        <is>
          <t>MPHASIS</t>
        </is>
      </c>
      <c r="C7" s="14" t="n">
        <v>2499.5</v>
      </c>
      <c r="D7" s="14" t="n">
        <v>2399.28</v>
      </c>
      <c r="E7" s="14" t="n">
        <v>2367.04</v>
      </c>
      <c r="F7" s="14" t="n">
        <v>2388.39</v>
      </c>
      <c r="G7" s="15">
        <f>HYPERLINK("https://www.tradingview.com/chart/?symbol=NSE:MPHASIS","Chart 📈")</f>
        <v/>
      </c>
    </row>
    <row r="8" ht="16" customHeight="1">
      <c r="A8" s="16" t="inlineStr">
        <is>
          <t>NIFTY MIDSMALL IT &amp; TELECOM</t>
        </is>
      </c>
      <c r="B8" s="13" t="inlineStr">
        <is>
          <t>PERSISTENT</t>
        </is>
      </c>
      <c r="C8" s="14" t="n">
        <v>5740.5</v>
      </c>
      <c r="D8" s="14" t="n">
        <v>5653.66</v>
      </c>
      <c r="E8" s="14" t="n">
        <v>5531.47</v>
      </c>
      <c r="F8" s="14" t="n">
        <v>5420.4</v>
      </c>
      <c r="G8" s="15">
        <f>HYPERLINK("https://www.tradingview.com/chart/?symbol=NSE:PERSISTENT","Chart 📈")</f>
        <v/>
      </c>
    </row>
    <row r="9" ht="16" customHeight="1">
      <c r="A9" s="16" t="inlineStr">
        <is>
          <t>NIFTY MIDSMALL IT &amp; TELECOM</t>
        </is>
      </c>
      <c r="B9" s="13" t="inlineStr">
        <is>
          <t>TANLA</t>
        </is>
      </c>
      <c r="C9" s="14" t="n">
        <v>581.3</v>
      </c>
      <c r="D9" s="14" t="n">
        <v>530.17</v>
      </c>
      <c r="E9" s="14" t="n">
        <v>528.8</v>
      </c>
      <c r="F9" s="14" t="n">
        <v>532.4400000000001</v>
      </c>
      <c r="G9" s="15">
        <f>HYPERLINK("https://www.tradingview.com/chart/?symbol=NSE:TANLA","Chart 📈")</f>
        <v/>
      </c>
    </row>
    <row r="10" ht="16" customHeight="1">
      <c r="A10" s="8" t="inlineStr">
        <is>
          <t>NIFTY MEDIA</t>
        </is>
      </c>
      <c r="B10" s="17" t="inlineStr">
        <is>
          <t>PVRINOX</t>
        </is>
      </c>
      <c r="C10" s="18" t="n">
        <v>1419.9</v>
      </c>
      <c r="D10" s="18" t="n">
        <v>1340.65</v>
      </c>
      <c r="E10" s="18" t="n">
        <v>1264.97</v>
      </c>
      <c r="F10" s="18" t="n">
        <v>1131.94</v>
      </c>
      <c r="G10" s="19">
        <f>HYPERLINK("https://www.tradingview.com/chart/?symbol=NSE:PVRINOX","Chart 📈")</f>
        <v/>
      </c>
    </row>
    <row r="11" ht="16" customHeight="1">
      <c r="A11" s="20" t="inlineStr">
        <is>
          <t>NIFTY MEDIA</t>
        </is>
      </c>
      <c r="B11" s="17" t="inlineStr">
        <is>
          <t>SAREGAMA</t>
        </is>
      </c>
      <c r="C11" s="18" t="n">
        <v>508.9</v>
      </c>
      <c r="D11" s="18" t="n">
        <v>501.11</v>
      </c>
      <c r="E11" s="18" t="n">
        <v>497.56</v>
      </c>
      <c r="F11" s="18" t="n">
        <v>453.07</v>
      </c>
      <c r="G11" s="19">
        <f>HYPERLINK("https://www.tradingview.com/chart/?symbol=NSE:SAREGAMA","Chart 📈")</f>
        <v/>
      </c>
    </row>
    <row r="12" ht="16" customHeight="1">
      <c r="A12" s="20" t="inlineStr">
        <is>
          <t>NIFTY MEDIA</t>
        </is>
      </c>
      <c r="B12" s="17" t="inlineStr">
        <is>
          <t>SUNTV</t>
        </is>
      </c>
      <c r="C12" s="18" t="n">
        <v>600.3</v>
      </c>
      <c r="D12" s="18" t="n">
        <v>596.66</v>
      </c>
      <c r="E12" s="18" t="n">
        <v>549.6</v>
      </c>
      <c r="F12" s="18" t="n">
        <v>534.36</v>
      </c>
      <c r="G12" s="19">
        <f>HYPERLINK("https://www.tradingview.com/chart/?symbol=NSE:SUNTV","Chart 📈")</f>
        <v/>
      </c>
    </row>
    <row r="13" ht="16" customHeight="1">
      <c r="A13" s="20" t="inlineStr">
        <is>
          <t>NIFTY MEDIA</t>
        </is>
      </c>
      <c r="B13" s="17" t="inlineStr">
        <is>
          <t>TIPSMUSIC</t>
        </is>
      </c>
      <c r="C13" s="18" t="n">
        <v>723.25</v>
      </c>
      <c r="D13" s="18" t="n">
        <v>686.26</v>
      </c>
      <c r="E13" s="18" t="n">
        <v>667.3200000000001</v>
      </c>
      <c r="F13" s="18" t="n">
        <v>621.6799999999999</v>
      </c>
      <c r="G13" s="19">
        <f>HYPERLINK("https://www.tradingview.com/chart/?symbol=NSE:TIPSMUSIC","Chart 📈")</f>
        <v/>
      </c>
    </row>
    <row r="14" ht="16" customHeight="1">
      <c r="A14" s="12" t="inlineStr">
        <is>
          <t>NIFTY IT</t>
        </is>
      </c>
      <c r="B14" s="13" t="inlineStr">
        <is>
          <t>HCLTECH</t>
        </is>
      </c>
      <c r="C14" s="14" t="n">
        <v>1421.7</v>
      </c>
      <c r="D14" s="14" t="n">
        <v>1300.23</v>
      </c>
      <c r="E14" s="14" t="n">
        <v>1272.69</v>
      </c>
      <c r="F14" s="14" t="n">
        <v>1297.6</v>
      </c>
      <c r="G14" s="15">
        <f>HYPERLINK("https://www.tradingview.com/chart/?symbol=NSE:HCLTECH","Chart 📈")</f>
        <v/>
      </c>
    </row>
    <row r="15" ht="16" customHeight="1">
      <c r="A15" s="16" t="inlineStr">
        <is>
          <t>NIFTY IT</t>
        </is>
      </c>
      <c r="B15" s="13" t="inlineStr">
        <is>
          <t>TCS</t>
        </is>
      </c>
      <c r="C15" s="14" t="n">
        <v>2506.9</v>
      </c>
      <c r="D15" s="14" t="n">
        <v>2274.92</v>
      </c>
      <c r="E15" s="14" t="n">
        <v>2238.5</v>
      </c>
      <c r="F15" s="14" t="n">
        <v>2396.97</v>
      </c>
      <c r="G15" s="15">
        <f>HYPERLINK("https://www.tradingview.com/chart/?symbol=NSE:TCS","Chart 📈")</f>
        <v/>
      </c>
    </row>
    <row r="16" ht="16" customHeight="1">
      <c r="A16" s="16" t="inlineStr">
        <is>
          <t>NIFTY IT</t>
        </is>
      </c>
      <c r="B16" s="13" t="inlineStr">
        <is>
          <t>TECHM</t>
        </is>
      </c>
      <c r="C16" s="14" t="n">
        <v>1829.1</v>
      </c>
      <c r="D16" s="14" t="n">
        <v>1632.58</v>
      </c>
      <c r="E16" s="14" t="n">
        <v>1587.38</v>
      </c>
      <c r="F16" s="14" t="n">
        <v>1513.33</v>
      </c>
      <c r="G16" s="15">
        <f>HYPERLINK("https://www.tradingview.com/chart/?symbol=NSE:TECHM","Chart 📈")</f>
        <v/>
      </c>
    </row>
    <row r="17" ht="16" customHeight="1">
      <c r="A17" s="8" t="inlineStr">
        <is>
          <t>NIFTY PSU BANK</t>
        </is>
      </c>
      <c r="B17" s="17" t="inlineStr">
        <is>
          <t>INDIANB</t>
        </is>
      </c>
      <c r="C17" s="18" t="n">
        <v>855.7</v>
      </c>
      <c r="D17" s="18" t="n">
        <v>839</v>
      </c>
      <c r="E17" s="18" t="n">
        <v>842.91</v>
      </c>
      <c r="F17" s="18" t="n">
        <v>844.62</v>
      </c>
      <c r="G17" s="19">
        <f>HYPERLINK("https://www.tradingview.com/chart/?symbol=NSE:INDIANB","Chart 📈")</f>
        <v/>
      </c>
    </row>
    <row r="18" ht="16" customHeight="1">
      <c r="A18" s="20" t="inlineStr">
        <is>
          <t>NIFTY PSU BANK</t>
        </is>
      </c>
      <c r="B18" s="17" t="inlineStr">
        <is>
          <t>PNB</t>
        </is>
      </c>
      <c r="C18" s="18" t="n">
        <v>122.5</v>
      </c>
      <c r="D18" s="18" t="n">
        <v>117.21</v>
      </c>
      <c r="E18" s="18" t="n">
        <v>115.46</v>
      </c>
      <c r="F18" s="18" t="n">
        <v>113.02</v>
      </c>
      <c r="G18" s="19">
        <f>HYPERLINK("https://www.tradingview.com/chart/?symbol=NSE:PNB","Chart 📈")</f>
        <v/>
      </c>
    </row>
    <row r="19" ht="16" customHeight="1">
      <c r="A19" s="20" t="inlineStr">
        <is>
          <t>NIFTY PSU BANK</t>
        </is>
      </c>
      <c r="B19" s="17" t="inlineStr">
        <is>
          <t>UNIONBANK</t>
        </is>
      </c>
      <c r="C19" s="18" t="n">
        <v>182.85</v>
      </c>
      <c r="D19" s="18" t="n">
        <v>175.81</v>
      </c>
      <c r="E19" s="18" t="n">
        <v>176.33</v>
      </c>
      <c r="F19" s="18" t="n">
        <v>169.57</v>
      </c>
      <c r="G19" s="19">
        <f>HYPERLINK("https://www.tradingview.com/chart/?symbol=NSE:UNIONBANK","Chart 📈")</f>
        <v/>
      </c>
    </row>
    <row r="20" ht="16" customHeight="1">
      <c r="A20" s="12" t="inlineStr">
        <is>
          <t>NIFTY REALTY</t>
        </is>
      </c>
      <c r="B20" s="13" t="inlineStr">
        <is>
          <t>PHOENIXLTD</t>
        </is>
      </c>
      <c r="C20" s="14" t="n">
        <v>1909.9</v>
      </c>
      <c r="D20" s="14" t="n">
        <v>1892.05</v>
      </c>
      <c r="E20" s="14" t="n">
        <v>1903.39</v>
      </c>
      <c r="F20" s="14" t="n">
        <v>1845.33</v>
      </c>
      <c r="G20" s="15">
        <f>HYPERLINK("https://www.tradingview.com/chart/?symbol=NSE:PHOENIXLTD","Chart 📈")</f>
        <v/>
      </c>
    </row>
    <row r="21" ht="16" customHeight="1">
      <c r="A21" s="8" t="inlineStr">
        <is>
          <t>NIFTY PHARMA</t>
        </is>
      </c>
      <c r="B21" s="17" t="inlineStr">
        <is>
          <t>DRREDDY</t>
        </is>
      </c>
      <c r="C21" s="18" t="n">
        <v>1239</v>
      </c>
      <c r="D21" s="18" t="n">
        <v>1217.17</v>
      </c>
      <c r="E21" s="18" t="n">
        <v>1206.35</v>
      </c>
      <c r="F21" s="18" t="n">
        <v>1230.92</v>
      </c>
      <c r="G21" s="19">
        <f>HYPERLINK("https://www.tradingview.com/chart/?symbol=NSE:DRREDDY","Chart 📈")</f>
        <v/>
      </c>
    </row>
    <row r="22" ht="16" customHeight="1">
      <c r="A22" s="12" t="inlineStr">
        <is>
          <t>NIFTY OIL &amp; GAS</t>
        </is>
      </c>
      <c r="B22" s="13" t="inlineStr">
        <is>
          <t>CASTROLIND</t>
        </is>
      </c>
      <c r="C22" s="14" t="n">
        <v>197.38</v>
      </c>
      <c r="D22" s="14" t="n">
        <v>195.97</v>
      </c>
      <c r="E22" s="14" t="n">
        <v>192.24</v>
      </c>
      <c r="F22" s="14" t="n">
        <v>184.47</v>
      </c>
      <c r="G22" s="15">
        <f>HYPERLINK("https://www.tradingview.com/chart/?symbol=NSE:CASTROLIND","Chart 📈")</f>
        <v/>
      </c>
    </row>
    <row r="23" ht="16" customHeight="1">
      <c r="A23" s="8" t="inlineStr">
        <is>
          <t>NIFTY FINANCIAL SERVICES</t>
        </is>
      </c>
      <c r="B23" s="17" t="inlineStr">
        <is>
          <t>ICICIBANK</t>
        </is>
      </c>
      <c r="C23" s="18" t="n">
        <v>1398.5</v>
      </c>
      <c r="D23" s="18" t="n">
        <v>1364.82</v>
      </c>
      <c r="E23" s="18" t="n">
        <v>1370.66</v>
      </c>
      <c r="F23" s="18" t="n">
        <v>1357.26</v>
      </c>
      <c r="G23" s="19">
        <f>HYPERLINK("https://www.tradingview.com/chart/?symbol=NSE:ICICIBANK","Chart 📈")</f>
        <v/>
      </c>
    </row>
    <row r="24" ht="16" customHeight="1">
      <c r="A24" s="20" t="inlineStr">
        <is>
          <t>NIFTY FINANCIAL SERVICES</t>
        </is>
      </c>
      <c r="B24" s="17" t="inlineStr">
        <is>
          <t>KOTAKBANK</t>
        </is>
      </c>
      <c r="C24" s="18" t="n">
        <v>437</v>
      </c>
      <c r="D24" s="18" t="n">
        <v>431.91</v>
      </c>
      <c r="E24" s="18" t="n">
        <v>419.45</v>
      </c>
      <c r="F24" s="18" t="n">
        <v>407.97</v>
      </c>
      <c r="G24" s="19">
        <f>HYPERLINK("https://www.tradingview.com/chart/?symbol=NSE:KOTAKBANK","Chart 📈")</f>
        <v/>
      </c>
    </row>
    <row r="25" ht="16" customHeight="1">
      <c r="A25" s="12" t="inlineStr">
        <is>
          <t>NIFTY BANK</t>
        </is>
      </c>
      <c r="B25" s="13" t="inlineStr">
        <is>
          <t>FEDERALBNK</t>
        </is>
      </c>
      <c r="C25" s="14" t="n">
        <v>347.8</v>
      </c>
      <c r="D25" s="14" t="n">
        <v>334.71</v>
      </c>
      <c r="E25" s="14" t="n">
        <v>335.62</v>
      </c>
      <c r="F25" s="14" t="n">
        <v>310.29</v>
      </c>
      <c r="G25" s="15">
        <f>HYPERLINK("https://www.tradingview.com/chart/?symbol=NSE:FEDERALBNK","Chart 📈")</f>
        <v/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2026-10-22T15:57:55Z</dcterms:created>
  <dcterms:modified xmlns:dcterms="http://purl.org/dc/terms/" xmlns:xsi="http://www.w3.org/2001/XMLSchema-instance" xsi:type="dcterms:W3CDTF">2026-10-22T15:57:55Z</dcterms:modified>
</cp:coreProperties>
</file>