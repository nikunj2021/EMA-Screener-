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08-May-2026  16:19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20</v>
      </c>
      <c r="D4" s="5" t="n">
        <v>20</v>
      </c>
      <c r="E4" s="5" t="n">
        <v>18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METAL</t>
        </is>
      </c>
      <c r="B5" s="9" t="n">
        <v>15</v>
      </c>
      <c r="C5" s="9" t="n">
        <v>11</v>
      </c>
      <c r="D5" s="9" t="n">
        <v>12</v>
      </c>
      <c r="E5" s="9" t="n">
        <v>14</v>
      </c>
      <c r="F5" s="10" t="n">
        <v>0.733</v>
      </c>
      <c r="G5" s="10" t="n">
        <v>0.8</v>
      </c>
      <c r="H5" s="10" t="n">
        <v>0.9329999999999999</v>
      </c>
      <c r="I5" s="11" t="n">
        <v>0.8220000000000001</v>
      </c>
    </row>
    <row r="6" ht="17" customHeight="1">
      <c r="A6" s="4" t="inlineStr">
        <is>
          <t>NIFTY AUTO</t>
        </is>
      </c>
      <c r="B6" s="5" t="n">
        <v>15</v>
      </c>
      <c r="C6" s="5" t="n">
        <v>13</v>
      </c>
      <c r="D6" s="5" t="n">
        <v>12</v>
      </c>
      <c r="E6" s="5" t="n">
        <v>9</v>
      </c>
      <c r="F6" s="6" t="n">
        <v>0.867</v>
      </c>
      <c r="G6" s="6" t="n">
        <v>0.8</v>
      </c>
      <c r="H6" s="6" t="n">
        <v>0.6</v>
      </c>
      <c r="I6" s="7" t="n">
        <v>0.7556999999999999</v>
      </c>
    </row>
    <row r="7" ht="17" customHeight="1">
      <c r="A7" s="8" t="inlineStr">
        <is>
          <t>NIFTY REALTY</t>
        </is>
      </c>
      <c r="B7" s="9" t="n">
        <v>10</v>
      </c>
      <c r="C7" s="9" t="n">
        <v>9</v>
      </c>
      <c r="D7" s="9" t="n">
        <v>9</v>
      </c>
      <c r="E7" s="9" t="n">
        <v>4</v>
      </c>
      <c r="F7" s="10" t="n">
        <v>0.9</v>
      </c>
      <c r="G7" s="10" t="n">
        <v>0.9</v>
      </c>
      <c r="H7" s="10" t="n">
        <v>0.4</v>
      </c>
      <c r="I7" s="11" t="n">
        <v>0.7333</v>
      </c>
    </row>
    <row r="8" ht="17" customHeight="1">
      <c r="A8" s="4" t="inlineStr">
        <is>
          <t>NIFTY OIL &amp; GAS</t>
        </is>
      </c>
      <c r="B8" s="5" t="n">
        <v>15</v>
      </c>
      <c r="C8" s="5" t="n">
        <v>11</v>
      </c>
      <c r="D8" s="5" t="n">
        <v>11</v>
      </c>
      <c r="E8" s="5" t="n">
        <v>8</v>
      </c>
      <c r="F8" s="6" t="n">
        <v>0.733</v>
      </c>
      <c r="G8" s="6" t="n">
        <v>0.733</v>
      </c>
      <c r="H8" s="6" t="n">
        <v>0.5329999999999999</v>
      </c>
      <c r="I8" s="7" t="n">
        <v>0.6663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15</v>
      </c>
      <c r="D9" s="9" t="n">
        <v>11</v>
      </c>
      <c r="E9" s="9" t="n">
        <v>10</v>
      </c>
      <c r="F9" s="10" t="n">
        <v>0.75</v>
      </c>
      <c r="G9" s="10" t="n">
        <v>0.55</v>
      </c>
      <c r="H9" s="10" t="n">
        <v>0.5</v>
      </c>
      <c r="I9" s="11" t="n">
        <v>0.6</v>
      </c>
    </row>
    <row r="10" ht="17" customHeight="1">
      <c r="A10" s="4" t="inlineStr">
        <is>
          <t>NIFTY MEDIA</t>
        </is>
      </c>
      <c r="B10" s="5" t="n">
        <v>10</v>
      </c>
      <c r="C10" s="5" t="n">
        <v>8</v>
      </c>
      <c r="D10" s="5" t="n">
        <v>7</v>
      </c>
      <c r="E10" s="5" t="n">
        <v>3</v>
      </c>
      <c r="F10" s="6" t="n">
        <v>0.8</v>
      </c>
      <c r="G10" s="6" t="n">
        <v>0.7</v>
      </c>
      <c r="H10" s="6" t="n">
        <v>0.3</v>
      </c>
      <c r="I10" s="7" t="n">
        <v>0.6</v>
      </c>
    </row>
    <row r="11" ht="17" customHeight="1">
      <c r="A11" s="8" t="inlineStr">
        <is>
          <t>NIFTY FMCG</t>
        </is>
      </c>
      <c r="B11" s="9" t="n">
        <v>15</v>
      </c>
      <c r="C11" s="9" t="n">
        <v>9</v>
      </c>
      <c r="D11" s="9" t="n">
        <v>9</v>
      </c>
      <c r="E11" s="9" t="n">
        <v>8</v>
      </c>
      <c r="F11" s="10" t="n">
        <v>0.6</v>
      </c>
      <c r="G11" s="10" t="n">
        <v>0.6</v>
      </c>
      <c r="H11" s="10" t="n">
        <v>0.5329999999999999</v>
      </c>
      <c r="I11" s="11" t="n">
        <v>0.5777</v>
      </c>
    </row>
    <row r="12" ht="17" customHeight="1">
      <c r="A12" s="4" t="inlineStr">
        <is>
          <t>NIFTY ENERGY</t>
        </is>
      </c>
      <c r="B12" s="5" t="n">
        <v>40</v>
      </c>
      <c r="C12" s="5" t="n">
        <v>21</v>
      </c>
      <c r="D12" s="5" t="n">
        <v>25</v>
      </c>
      <c r="E12" s="5" t="n">
        <v>23</v>
      </c>
      <c r="F12" s="6" t="n">
        <v>0.525</v>
      </c>
      <c r="G12" s="6" t="n">
        <v>0.625</v>
      </c>
      <c r="H12" s="6" t="n">
        <v>0.575</v>
      </c>
      <c r="I12" s="7" t="n">
        <v>0.575</v>
      </c>
    </row>
    <row r="13" ht="17" customHeight="1">
      <c r="A13" s="8" t="inlineStr">
        <is>
          <t>NIFTY MIDSMALL IT &amp; TELECOM</t>
        </is>
      </c>
      <c r="B13" s="9" t="n">
        <v>20</v>
      </c>
      <c r="C13" s="9" t="n">
        <v>15</v>
      </c>
      <c r="D13" s="9" t="n">
        <v>12</v>
      </c>
      <c r="E13" s="9" t="n">
        <v>6</v>
      </c>
      <c r="F13" s="10" t="n">
        <v>0.75</v>
      </c>
      <c r="G13" s="10" t="n">
        <v>0.6</v>
      </c>
      <c r="H13" s="10" t="n">
        <v>0.3</v>
      </c>
      <c r="I13" s="11" t="n">
        <v>0.55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9</v>
      </c>
      <c r="D14" s="5" t="n">
        <v>9</v>
      </c>
      <c r="E14" s="5" t="n">
        <v>6</v>
      </c>
      <c r="F14" s="6" t="n">
        <v>0.6</v>
      </c>
      <c r="G14" s="6" t="n">
        <v>0.6</v>
      </c>
      <c r="H14" s="6" t="n">
        <v>0.4</v>
      </c>
      <c r="I14" s="7" t="n">
        <v>0.5333</v>
      </c>
    </row>
    <row r="15" ht="17" customHeight="1">
      <c r="A15" s="8" t="inlineStr">
        <is>
          <t>NIFTY PSU BANK</t>
        </is>
      </c>
      <c r="B15" s="9" t="n">
        <v>12</v>
      </c>
      <c r="C15" s="9" t="n">
        <v>5</v>
      </c>
      <c r="D15" s="9" t="n">
        <v>5</v>
      </c>
      <c r="E15" s="9" t="n">
        <v>6</v>
      </c>
      <c r="F15" s="10" t="n">
        <v>0.417</v>
      </c>
      <c r="G15" s="10" t="n">
        <v>0.417</v>
      </c>
      <c r="H15" s="10" t="n">
        <v>0.5</v>
      </c>
      <c r="I15" s="11" t="n">
        <v>0.4447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3035</v>
      </c>
      <c r="D3" s="14" t="n">
        <v>2889.64</v>
      </c>
      <c r="E3" s="14" t="n">
        <v>2862.98</v>
      </c>
      <c r="F3" s="14" t="n">
        <v>2729.38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5585.5</v>
      </c>
      <c r="D4" s="14" t="n">
        <v>5460.09</v>
      </c>
      <c r="E4" s="14" t="n">
        <v>5458.99</v>
      </c>
      <c r="F4" s="14" t="n">
        <v>5400.54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1487.3</v>
      </c>
      <c r="D5" s="14" t="n">
        <v>1407.37</v>
      </c>
      <c r="E5" s="14" t="n">
        <v>1341.78</v>
      </c>
      <c r="F5" s="14" t="n">
        <v>1226.39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380.4</v>
      </c>
      <c r="D6" s="14" t="n">
        <v>365.81</v>
      </c>
      <c r="E6" s="14" t="n">
        <v>367.72</v>
      </c>
      <c r="F6" s="14" t="n">
        <v>369.07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6710.5</v>
      </c>
      <c r="D7" s="14" t="n">
        <v>6437.87</v>
      </c>
      <c r="E7" s="14" t="n">
        <v>6304.11</v>
      </c>
      <c r="F7" s="14" t="n">
        <v>6273.43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1293.9</v>
      </c>
      <c r="D8" s="14" t="n">
        <v>1287.98</v>
      </c>
      <c r="E8" s="14" t="n">
        <v>1274.22</v>
      </c>
      <c r="F8" s="14" t="n">
        <v>1252.4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1904.4</v>
      </c>
      <c r="D9" s="14" t="n">
        <v>1784.09</v>
      </c>
      <c r="E9" s="14" t="n">
        <v>1758.57</v>
      </c>
      <c r="F9" s="14" t="n">
        <v>1747.61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GLENMARK</t>
        </is>
      </c>
      <c r="C10" s="14" t="n">
        <v>2366.4</v>
      </c>
      <c r="D10" s="14" t="n">
        <v>2322.31</v>
      </c>
      <c r="E10" s="14" t="n">
        <v>2225.18</v>
      </c>
      <c r="F10" s="14" t="n">
        <v>2010.6</v>
      </c>
      <c r="G10" s="15">
        <f>HYPERLINK("https://www.tradingview.com/chart/?symbol=NSE:GLENMARK","Chart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752.95</v>
      </c>
      <c r="D11" s="14" t="n">
        <v>692.97</v>
      </c>
      <c r="E11" s="14" t="n">
        <v>650.13</v>
      </c>
      <c r="F11" s="14" t="n">
        <v>577.51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1552.6</v>
      </c>
      <c r="D12" s="14" t="n">
        <v>1527.28</v>
      </c>
      <c r="E12" s="14" t="n">
        <v>1509.83</v>
      </c>
      <c r="F12" s="14" t="n">
        <v>1449.71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2149.8</v>
      </c>
      <c r="D13" s="14" t="n">
        <v>2062.83</v>
      </c>
      <c r="E13" s="14" t="n">
        <v>2025.94</v>
      </c>
      <c r="F13" s="14" t="n">
        <v>1865.91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1228.3</v>
      </c>
      <c r="D14" s="14" t="n">
        <v>1130.44</v>
      </c>
      <c r="E14" s="14" t="n">
        <v>1084.57</v>
      </c>
      <c r="F14" s="14" t="n">
        <v>968.14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LUPIN</t>
        </is>
      </c>
      <c r="C15" s="14" t="n">
        <v>2379.5</v>
      </c>
      <c r="D15" s="14" t="n">
        <v>2345.3</v>
      </c>
      <c r="E15" s="14" t="n">
        <v>2305.75</v>
      </c>
      <c r="F15" s="14" t="n">
        <v>2159.53</v>
      </c>
      <c r="G15" s="15">
        <f>HYPERLINK("https://www.tradingview.com/chart/?symbol=NSE:LUPIN","Chart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2430.8</v>
      </c>
      <c r="D16" s="14" t="n">
        <v>2247.74</v>
      </c>
      <c r="E16" s="14" t="n">
        <v>2180.95</v>
      </c>
      <c r="F16" s="14" t="n">
        <v>2250.87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NATCOPHARM</t>
        </is>
      </c>
      <c r="C17" s="14" t="n">
        <v>1174.7</v>
      </c>
      <c r="D17" s="14" t="n">
        <v>1101.31</v>
      </c>
      <c r="E17" s="14" t="n">
        <v>1040.4</v>
      </c>
      <c r="F17" s="14" t="n">
        <v>931.84</v>
      </c>
      <c r="G17" s="15">
        <f>HYPERLINK("https://www.tradingview.com/chart/?symbol=NSE:NATCOPHARM","Chart 📈")</f>
        <v/>
      </c>
    </row>
    <row r="18" ht="16" customHeight="1">
      <c r="A18" s="16" t="inlineStr">
        <is>
          <t>NIFTY PHARMA</t>
        </is>
      </c>
      <c r="B18" s="13" t="inlineStr">
        <is>
          <t>SUNPHARMA</t>
        </is>
      </c>
      <c r="C18" s="14" t="n">
        <v>1847.9</v>
      </c>
      <c r="D18" s="14" t="n">
        <v>1770.65</v>
      </c>
      <c r="E18" s="14" t="n">
        <v>1746.39</v>
      </c>
      <c r="F18" s="14" t="n">
        <v>1717.97</v>
      </c>
      <c r="G18" s="15">
        <f>HYPERLINK("https://www.tradingview.com/chart/?symbol=NSE:SUNPHARMA","Chart 📈")</f>
        <v/>
      </c>
    </row>
    <row r="19" ht="16" customHeight="1">
      <c r="A19" s="16" t="inlineStr">
        <is>
          <t>NIFTY PHARMA</t>
        </is>
      </c>
      <c r="B19" s="13" t="inlineStr">
        <is>
          <t>TORNTPHARM</t>
        </is>
      </c>
      <c r="C19" s="14" t="n">
        <v>4380.8</v>
      </c>
      <c r="D19" s="14" t="n">
        <v>4235.83</v>
      </c>
      <c r="E19" s="14" t="n">
        <v>4189.78</v>
      </c>
      <c r="F19" s="14" t="n">
        <v>3884.77</v>
      </c>
      <c r="G19" s="15">
        <f>HYPERLINK("https://www.tradingview.com/chart/?symbol=NSE:TORNTPHARM","Chart 📈")</f>
        <v/>
      </c>
    </row>
    <row r="20" ht="16" customHeight="1">
      <c r="A20" s="16" t="inlineStr">
        <is>
          <t>NIFTY PHARMA</t>
        </is>
      </c>
      <c r="B20" s="13" t="inlineStr">
        <is>
          <t>ZYDUSLIFE</t>
        </is>
      </c>
      <c r="C20" s="14" t="n">
        <v>940.05</v>
      </c>
      <c r="D20" s="14" t="n">
        <v>919.1</v>
      </c>
      <c r="E20" s="14" t="n">
        <v>912.36</v>
      </c>
      <c r="F20" s="14" t="n">
        <v>920.78</v>
      </c>
      <c r="G20" s="15">
        <f>HYPERLINK("https://www.tradingview.com/chart/?symbol=NSE:ZYDUSLIFE","Chart 📈")</f>
        <v/>
      </c>
    </row>
    <row r="21" ht="16" customHeight="1">
      <c r="A21" s="8" t="inlineStr">
        <is>
          <t>NIFTY METAL</t>
        </is>
      </c>
      <c r="B21" s="17" t="inlineStr">
        <is>
          <t>ADANIENT</t>
        </is>
      </c>
      <c r="C21" s="18" t="n">
        <v>2505.9</v>
      </c>
      <c r="D21" s="18" t="n">
        <v>2338.47</v>
      </c>
      <c r="E21" s="18" t="n">
        <v>2211.64</v>
      </c>
      <c r="F21" s="18" t="n">
        <v>2246.07</v>
      </c>
      <c r="G21" s="19">
        <f>HYPERLINK("https://www.tradingview.com/chart/?symbol=NSE:ADANIENT","Chart 📈")</f>
        <v/>
      </c>
    </row>
    <row r="22" ht="16" customHeight="1">
      <c r="A22" s="20" t="inlineStr">
        <is>
          <t>NIFTY METAL</t>
        </is>
      </c>
      <c r="B22" s="17" t="inlineStr">
        <is>
          <t>HINDALCO</t>
        </is>
      </c>
      <c r="C22" s="18" t="n">
        <v>1044.4</v>
      </c>
      <c r="D22" s="18" t="n">
        <v>1027.95</v>
      </c>
      <c r="E22" s="18" t="n">
        <v>985.55</v>
      </c>
      <c r="F22" s="18" t="n">
        <v>867.79</v>
      </c>
      <c r="G22" s="19">
        <f>HYPERLINK("https://www.tradingview.com/chart/?symbol=NSE:HINDALCO","Chart 📈")</f>
        <v/>
      </c>
    </row>
    <row r="23" ht="16" customHeight="1">
      <c r="A23" s="20" t="inlineStr">
        <is>
          <t>NIFTY METAL</t>
        </is>
      </c>
      <c r="B23" s="17" t="inlineStr">
        <is>
          <t>HINDCOPPER</t>
        </is>
      </c>
      <c r="C23" s="18" t="n">
        <v>569.2</v>
      </c>
      <c r="D23" s="18" t="n">
        <v>544.85</v>
      </c>
      <c r="E23" s="18" t="n">
        <v>535.1900000000001</v>
      </c>
      <c r="F23" s="18" t="n">
        <v>440.5</v>
      </c>
      <c r="G23" s="19">
        <f>HYPERLINK("https://www.tradingview.com/chart/?symbol=NSE:HINDCOPPER","Chart 📈")</f>
        <v/>
      </c>
    </row>
    <row r="24" ht="16" customHeight="1">
      <c r="A24" s="20" t="inlineStr">
        <is>
          <t>NIFTY METAL</t>
        </is>
      </c>
      <c r="B24" s="17" t="inlineStr">
        <is>
          <t>HINDZINC</t>
        </is>
      </c>
      <c r="C24" s="18" t="n">
        <v>635.1</v>
      </c>
      <c r="D24" s="18" t="n">
        <v>596.36</v>
      </c>
      <c r="E24" s="18" t="n">
        <v>578.97</v>
      </c>
      <c r="F24" s="18" t="n">
        <v>532.42</v>
      </c>
      <c r="G24" s="19">
        <f>HYPERLINK("https://www.tradingview.com/chart/?symbol=NSE:HINDZINC","Chart 📈")</f>
        <v/>
      </c>
    </row>
    <row r="25" ht="16" customHeight="1">
      <c r="A25" s="20" t="inlineStr">
        <is>
          <t>NIFTY METAL</t>
        </is>
      </c>
      <c r="B25" s="17" t="inlineStr">
        <is>
          <t>JINDALSTEL</t>
        </is>
      </c>
      <c r="C25" s="18" t="n">
        <v>1248.4</v>
      </c>
      <c r="D25" s="18" t="n">
        <v>1240.76</v>
      </c>
      <c r="E25" s="18" t="n">
        <v>1207.22</v>
      </c>
      <c r="F25" s="18" t="n">
        <v>1096.35</v>
      </c>
      <c r="G25" s="19">
        <f>HYPERLINK("https://www.tradingview.com/chart/?symbol=NSE:JINDALSTEL","Chart 📈")</f>
        <v/>
      </c>
    </row>
    <row r="26" ht="16" customHeight="1">
      <c r="A26" s="20" t="inlineStr">
        <is>
          <t>NIFTY METAL</t>
        </is>
      </c>
      <c r="B26" s="17" t="inlineStr">
        <is>
          <t>JSWSTEEL</t>
        </is>
      </c>
      <c r="C26" s="18" t="n">
        <v>1277.8</v>
      </c>
      <c r="D26" s="18" t="n">
        <v>1252.51</v>
      </c>
      <c r="E26" s="18" t="n">
        <v>1225.1</v>
      </c>
      <c r="F26" s="18" t="n">
        <v>1155.6</v>
      </c>
      <c r="G26" s="19">
        <f>HYPERLINK("https://www.tradingview.com/chart/?symbol=NSE:JSWSTEEL","Chart 📈")</f>
        <v/>
      </c>
    </row>
    <row r="27" ht="16" customHeight="1">
      <c r="A27" s="20" t="inlineStr">
        <is>
          <t>NIFTY METAL</t>
        </is>
      </c>
      <c r="B27" s="17" t="inlineStr">
        <is>
          <t>NMDC</t>
        </is>
      </c>
      <c r="C27" s="18" t="n">
        <v>88.8</v>
      </c>
      <c r="D27" s="18" t="n">
        <v>88.03</v>
      </c>
      <c r="E27" s="18" t="n">
        <v>84.68000000000001</v>
      </c>
      <c r="F27" s="18" t="n">
        <v>77.27</v>
      </c>
      <c r="G27" s="19">
        <f>HYPERLINK("https://www.tradingview.com/chart/?symbol=NSE:NMDC","Chart 📈")</f>
        <v/>
      </c>
    </row>
    <row r="28" ht="16" customHeight="1">
      <c r="A28" s="20" t="inlineStr">
        <is>
          <t>NIFTY METAL</t>
        </is>
      </c>
      <c r="B28" s="17" t="inlineStr">
        <is>
          <t>RATNAMANI</t>
        </is>
      </c>
      <c r="C28" s="18" t="n">
        <v>2869.4</v>
      </c>
      <c r="D28" s="18" t="n">
        <v>2597.3</v>
      </c>
      <c r="E28" s="18" t="n">
        <v>2453.31</v>
      </c>
      <c r="F28" s="18" t="n">
        <v>2413.8</v>
      </c>
      <c r="G28" s="19">
        <f>HYPERLINK("https://www.tradingview.com/chart/?symbol=NSE:RATNAMANI","Chart 📈")</f>
        <v/>
      </c>
    </row>
    <row r="29" ht="16" customHeight="1">
      <c r="A29" s="20" t="inlineStr">
        <is>
          <t>NIFTY METAL</t>
        </is>
      </c>
      <c r="B29" s="17" t="inlineStr">
        <is>
          <t>SAIL</t>
        </is>
      </c>
      <c r="C29" s="18" t="n">
        <v>184.88</v>
      </c>
      <c r="D29" s="18" t="n">
        <v>178.91</v>
      </c>
      <c r="E29" s="18" t="n">
        <v>168.47</v>
      </c>
      <c r="F29" s="18" t="n">
        <v>147.36</v>
      </c>
      <c r="G29" s="19">
        <f>HYPERLINK("https://www.tradingview.com/chart/?symbol=NSE:SAIL","Chart 📈")</f>
        <v/>
      </c>
    </row>
    <row r="30" ht="16" customHeight="1">
      <c r="A30" s="20" t="inlineStr">
        <is>
          <t>NIFTY METAL</t>
        </is>
      </c>
      <c r="B30" s="17" t="inlineStr">
        <is>
          <t>TATASTEEL</t>
        </is>
      </c>
      <c r="C30" s="18" t="n">
        <v>214.49</v>
      </c>
      <c r="D30" s="18" t="n">
        <v>210.85</v>
      </c>
      <c r="E30" s="18" t="n">
        <v>204.66</v>
      </c>
      <c r="F30" s="18" t="n">
        <v>184.68</v>
      </c>
      <c r="G30" s="19">
        <f>HYPERLINK("https://www.tradingview.com/chart/?symbol=NSE:TATASTEEL","Chart 📈")</f>
        <v/>
      </c>
    </row>
    <row r="31" ht="16" customHeight="1">
      <c r="A31" s="20" t="inlineStr">
        <is>
          <t>NIFTY METAL</t>
        </is>
      </c>
      <c r="B31" s="17" t="inlineStr">
        <is>
          <t>WELCORP</t>
        </is>
      </c>
      <c r="C31" s="18" t="n">
        <v>1291.9</v>
      </c>
      <c r="D31" s="18" t="n">
        <v>1173.67</v>
      </c>
      <c r="E31" s="18" t="n">
        <v>1028.86</v>
      </c>
      <c r="F31" s="18" t="n">
        <v>888.25</v>
      </c>
      <c r="G31" s="19">
        <f>HYPERLINK("https://www.tradingview.com/chart/?symbol=NSE:WELCORP","Chart 📈")</f>
        <v/>
      </c>
    </row>
    <row r="32" ht="16" customHeight="1">
      <c r="A32" s="12" t="inlineStr">
        <is>
          <t>NIFTY AUTO</t>
        </is>
      </c>
      <c r="B32" s="13" t="inlineStr">
        <is>
          <t>BAJAJ-AUTO</t>
        </is>
      </c>
      <c r="C32" s="14" t="n">
        <v>10711.5</v>
      </c>
      <c r="D32" s="14" t="n">
        <v>9919.280000000001</v>
      </c>
      <c r="E32" s="14" t="n">
        <v>9656.5</v>
      </c>
      <c r="F32" s="14" t="n">
        <v>9151.27</v>
      </c>
      <c r="G32" s="15">
        <f>HYPERLINK("https://www.tradingview.com/chart/?symbol=NSE:BAJAJ-AUTO","Chart 📈")</f>
        <v/>
      </c>
    </row>
    <row r="33" ht="16" customHeight="1">
      <c r="A33" s="16" t="inlineStr">
        <is>
          <t>NIFTY AUTO</t>
        </is>
      </c>
      <c r="B33" s="13" t="inlineStr">
        <is>
          <t>BHARATFORG</t>
        </is>
      </c>
      <c r="C33" s="14" t="n">
        <v>1989.7</v>
      </c>
      <c r="D33" s="14" t="n">
        <v>1873.82</v>
      </c>
      <c r="E33" s="14" t="n">
        <v>1795.94</v>
      </c>
      <c r="F33" s="14" t="n">
        <v>1533.27</v>
      </c>
      <c r="G33" s="15">
        <f>HYPERLINK("https://www.tradingview.com/chart/?symbol=NSE:BHARATFORG","Chart 📈")</f>
        <v/>
      </c>
    </row>
    <row r="34" ht="16" customHeight="1">
      <c r="A34" s="16" t="inlineStr">
        <is>
          <t>NIFTY AUTO</t>
        </is>
      </c>
      <c r="B34" s="13" t="inlineStr">
        <is>
          <t>BOSCHLTD</t>
        </is>
      </c>
      <c r="C34" s="14" t="n">
        <v>38145</v>
      </c>
      <c r="D34" s="14" t="n">
        <v>36377.57</v>
      </c>
      <c r="E34" s="14" t="n">
        <v>35421.99</v>
      </c>
      <c r="F34" s="14" t="n">
        <v>35334.97</v>
      </c>
      <c r="G34" s="15">
        <f>HYPERLINK("https://www.tradingview.com/chart/?symbol=NSE:BOSCHLTD","Chart 📈")</f>
        <v/>
      </c>
    </row>
    <row r="35" ht="16" customHeight="1">
      <c r="A35" s="16" t="inlineStr">
        <is>
          <t>NIFTY AUTO</t>
        </is>
      </c>
      <c r="B35" s="13" t="inlineStr">
        <is>
          <t>EICHERMOT</t>
        </is>
      </c>
      <c r="C35" s="14" t="n">
        <v>7302.5</v>
      </c>
      <c r="D35" s="14" t="n">
        <v>7191.81</v>
      </c>
      <c r="E35" s="14" t="n">
        <v>7191.79</v>
      </c>
      <c r="F35" s="14" t="n">
        <v>6872.33</v>
      </c>
      <c r="G35" s="15">
        <f>HYPERLINK("https://www.tradingview.com/chart/?symbol=NSE:EICHERMOT","Chart 📈")</f>
        <v/>
      </c>
    </row>
    <row r="36" ht="16" customHeight="1">
      <c r="A36" s="16" t="inlineStr">
        <is>
          <t>NIFTY AUTO</t>
        </is>
      </c>
      <c r="B36" s="13" t="inlineStr">
        <is>
          <t>EXIDEIND</t>
        </is>
      </c>
      <c r="C36" s="14" t="n">
        <v>362.25</v>
      </c>
      <c r="D36" s="14" t="n">
        <v>347.11</v>
      </c>
      <c r="E36" s="14" t="n">
        <v>336.05</v>
      </c>
      <c r="F36" s="14" t="n">
        <v>351.54</v>
      </c>
      <c r="G36" s="15">
        <f>HYPERLINK("https://www.tradingview.com/chart/?symbol=NSE:EXIDEIND","Chart 📈")</f>
        <v/>
      </c>
    </row>
    <row r="37" ht="16" customHeight="1">
      <c r="A37" s="16" t="inlineStr">
        <is>
          <t>NIFTY AUTO</t>
        </is>
      </c>
      <c r="B37" s="13" t="inlineStr">
        <is>
          <t>HEROMOTOCO</t>
        </is>
      </c>
      <c r="C37" s="14" t="n">
        <v>5322</v>
      </c>
      <c r="D37" s="14" t="n">
        <v>5182.2</v>
      </c>
      <c r="E37" s="14" t="n">
        <v>5270.06</v>
      </c>
      <c r="F37" s="14" t="n">
        <v>5178.63</v>
      </c>
      <c r="G37" s="15">
        <f>HYPERLINK("https://www.tradingview.com/chart/?symbol=NSE:HEROMOTOCO","Chart 📈")</f>
        <v/>
      </c>
    </row>
    <row r="38" ht="16" customHeight="1">
      <c r="A38" s="16" t="inlineStr">
        <is>
          <t>NIFTY AUTO</t>
        </is>
      </c>
      <c r="B38" s="13" t="inlineStr">
        <is>
          <t>MOTHERSON</t>
        </is>
      </c>
      <c r="C38" s="14" t="n">
        <v>132.03</v>
      </c>
      <c r="D38" s="14" t="n">
        <v>123.82</v>
      </c>
      <c r="E38" s="14" t="n">
        <v>121.29</v>
      </c>
      <c r="F38" s="14" t="n">
        <v>113.64</v>
      </c>
      <c r="G38" s="15">
        <f>HYPERLINK("https://www.tradingview.com/chart/?symbol=NSE:MOTHERSON","Chart 📈")</f>
        <v/>
      </c>
    </row>
    <row r="39" ht="16" customHeight="1">
      <c r="A39" s="16" t="inlineStr">
        <is>
          <t>NIFTY AUTO</t>
        </is>
      </c>
      <c r="B39" s="13" t="inlineStr">
        <is>
          <t>TVSMOTOR</t>
        </is>
      </c>
      <c r="C39" s="14" t="n">
        <v>3695.2</v>
      </c>
      <c r="D39" s="14" t="n">
        <v>3598.05</v>
      </c>
      <c r="E39" s="14" t="n">
        <v>3611.3</v>
      </c>
      <c r="F39" s="14" t="n">
        <v>3466.08</v>
      </c>
      <c r="G39" s="15">
        <f>HYPERLINK("https://www.tradingview.com/chart/?symbol=NSE:TVSMOTOR","Chart 📈")</f>
        <v/>
      </c>
    </row>
    <row r="40" ht="16" customHeight="1">
      <c r="A40" s="8" t="inlineStr">
        <is>
          <t>NIFTY REALTY</t>
        </is>
      </c>
      <c r="B40" s="17" t="inlineStr">
        <is>
          <t>OBEROIRLTY</t>
        </is>
      </c>
      <c r="C40" s="18" t="n">
        <v>1703</v>
      </c>
      <c r="D40" s="18" t="n">
        <v>1666.39</v>
      </c>
      <c r="E40" s="18" t="n">
        <v>1615.01</v>
      </c>
      <c r="F40" s="18" t="n">
        <v>1614.33</v>
      </c>
      <c r="G40" s="19">
        <f>HYPERLINK("https://www.tradingview.com/chart/?symbol=NSE:OBEROIRLTY","Chart 📈")</f>
        <v/>
      </c>
    </row>
    <row r="41" ht="16" customHeight="1">
      <c r="A41" s="20" t="inlineStr">
        <is>
          <t>NIFTY REALTY</t>
        </is>
      </c>
      <c r="B41" s="17" t="inlineStr">
        <is>
          <t>PHOENIXLTD</t>
        </is>
      </c>
      <c r="C41" s="18" t="n">
        <v>1829.3</v>
      </c>
      <c r="D41" s="18" t="n">
        <v>1768.11</v>
      </c>
      <c r="E41" s="18" t="n">
        <v>1722.45</v>
      </c>
      <c r="F41" s="18" t="n">
        <v>1674.7</v>
      </c>
      <c r="G41" s="19">
        <f>HYPERLINK("https://www.tradingview.com/chart/?symbol=NSE:PHOENIXLTD","Chart 📈")</f>
        <v/>
      </c>
    </row>
    <row r="42" ht="16" customHeight="1">
      <c r="A42" s="20" t="inlineStr">
        <is>
          <t>NIFTY REALTY</t>
        </is>
      </c>
      <c r="B42" s="17" t="inlineStr">
        <is>
          <t>PRESTIGE</t>
        </is>
      </c>
      <c r="C42" s="18" t="n">
        <v>1507.3</v>
      </c>
      <c r="D42" s="18" t="n">
        <v>1404.01</v>
      </c>
      <c r="E42" s="18" t="n">
        <v>1383.58</v>
      </c>
      <c r="F42" s="18" t="n">
        <v>1471.32</v>
      </c>
      <c r="G42" s="19">
        <f>HYPERLINK("https://www.tradingview.com/chart/?symbol=NSE:PRESTIGE","Chart 📈")</f>
        <v/>
      </c>
    </row>
    <row r="43" ht="16" customHeight="1">
      <c r="A43" s="20" t="inlineStr">
        <is>
          <t>NIFTY REALTY</t>
        </is>
      </c>
      <c r="B43" s="17" t="inlineStr">
        <is>
          <t>SOBHA</t>
        </is>
      </c>
      <c r="C43" s="18" t="n">
        <v>1425.4</v>
      </c>
      <c r="D43" s="18" t="n">
        <v>1398.31</v>
      </c>
      <c r="E43" s="18" t="n">
        <v>1377.29</v>
      </c>
      <c r="F43" s="18" t="n">
        <v>1421.9</v>
      </c>
      <c r="G43" s="19">
        <f>HYPERLINK("https://www.tradingview.com/chart/?symbol=NSE:SOBHA","Chart 📈")</f>
        <v/>
      </c>
    </row>
    <row r="44" ht="16" customHeight="1">
      <c r="A44" s="12" t="inlineStr">
        <is>
          <t>NIFTY OIL &amp; GAS</t>
        </is>
      </c>
      <c r="B44" s="13" t="inlineStr">
        <is>
          <t>AEGISLOG</t>
        </is>
      </c>
      <c r="C44" s="14" t="n">
        <v>720.9</v>
      </c>
      <c r="D44" s="14" t="n">
        <v>698.34</v>
      </c>
      <c r="E44" s="14" t="n">
        <v>680.28</v>
      </c>
      <c r="F44" s="14" t="n">
        <v>714.9299999999999</v>
      </c>
      <c r="G44" s="15">
        <f>HYPERLINK("https://www.tradingview.com/chart/?symbol=NSE:AEGISLOG","Chart 📈")</f>
        <v/>
      </c>
    </row>
    <row r="45" ht="16" customHeight="1">
      <c r="A45" s="16" t="inlineStr">
        <is>
          <t>NIFTY OIL &amp; GAS</t>
        </is>
      </c>
      <c r="B45" s="13" t="inlineStr">
        <is>
          <t>ATGL</t>
        </is>
      </c>
      <c r="C45" s="14" t="n">
        <v>633.05</v>
      </c>
      <c r="D45" s="14" t="n">
        <v>620.66</v>
      </c>
      <c r="E45" s="14" t="n">
        <v>586.5700000000001</v>
      </c>
      <c r="F45" s="14" t="n">
        <v>584.75</v>
      </c>
      <c r="G45" s="15">
        <f>HYPERLINK("https://www.tradingview.com/chart/?symbol=NSE:ATGL","Chart 📈")</f>
        <v/>
      </c>
    </row>
    <row r="46" ht="16" customHeight="1">
      <c r="A46" s="16" t="inlineStr">
        <is>
          <t>NIFTY OIL &amp; GAS</t>
        </is>
      </c>
      <c r="B46" s="13" t="inlineStr">
        <is>
          <t>GAIL</t>
        </is>
      </c>
      <c r="C46" s="14" t="n">
        <v>166.49</v>
      </c>
      <c r="D46" s="14" t="n">
        <v>161.73</v>
      </c>
      <c r="E46" s="14" t="n">
        <v>158.55</v>
      </c>
      <c r="F46" s="14" t="n">
        <v>164.56</v>
      </c>
      <c r="G46" s="15">
        <f>HYPERLINK("https://www.tradingview.com/chart/?symbol=NSE:GAIL","Chart 📈")</f>
        <v/>
      </c>
    </row>
    <row r="47" ht="16" customHeight="1">
      <c r="A47" s="16" t="inlineStr">
        <is>
          <t>NIFTY OIL &amp; GAS</t>
        </is>
      </c>
      <c r="B47" s="13" t="inlineStr">
        <is>
          <t>MGL</t>
        </is>
      </c>
      <c r="C47" s="14" t="n">
        <v>1172.9</v>
      </c>
      <c r="D47" s="14" t="n">
        <v>1121.01</v>
      </c>
      <c r="E47" s="14" t="n">
        <v>1092.7</v>
      </c>
      <c r="F47" s="14" t="n">
        <v>1161.3</v>
      </c>
      <c r="G47" s="15">
        <f>HYPERLINK("https://www.tradingview.com/chart/?symbol=NSE:MGL","Chart 📈")</f>
        <v/>
      </c>
    </row>
    <row r="48" ht="16" customHeight="1">
      <c r="A48" s="16" t="inlineStr">
        <is>
          <t>NIFTY OIL &amp; GAS</t>
        </is>
      </c>
      <c r="B48" s="13" t="inlineStr">
        <is>
          <t>PETRONET</t>
        </is>
      </c>
      <c r="C48" s="14" t="n">
        <v>283.8</v>
      </c>
      <c r="D48" s="14" t="n">
        <v>277.1</v>
      </c>
      <c r="E48" s="14" t="n">
        <v>277.34</v>
      </c>
      <c r="F48" s="14" t="n">
        <v>281.07</v>
      </c>
      <c r="G48" s="15">
        <f>HYPERLINK("https://www.tradingview.com/chart/?symbol=NSE:PETRONET","Chart 📈")</f>
        <v/>
      </c>
    </row>
    <row r="49" ht="16" customHeight="1">
      <c r="A49" s="16" t="inlineStr">
        <is>
          <t>NIFTY OIL &amp; GAS</t>
        </is>
      </c>
      <c r="B49" s="13" t="inlineStr">
        <is>
          <t>RELIANCE</t>
        </is>
      </c>
      <c r="C49" s="14" t="n">
        <v>1435.2</v>
      </c>
      <c r="D49" s="14" t="n">
        <v>1403.9</v>
      </c>
      <c r="E49" s="14" t="n">
        <v>1398.17</v>
      </c>
      <c r="F49" s="14" t="n">
        <v>1425.63</v>
      </c>
      <c r="G49" s="15">
        <f>HYPERLINK("https://www.tradingview.com/chart/?symbol=NSE:RELIANCE","Chart 📈")</f>
        <v/>
      </c>
    </row>
    <row r="50" ht="16" customHeight="1">
      <c r="A50" s="8" t="inlineStr">
        <is>
          <t>NIFTY FINANCIAL SERVICES</t>
        </is>
      </c>
      <c r="B50" s="17" t="inlineStr">
        <is>
          <t>BAJFINANCE</t>
        </is>
      </c>
      <c r="C50" s="18" t="n">
        <v>955.35</v>
      </c>
      <c r="D50" s="18" t="n">
        <v>933.83</v>
      </c>
      <c r="E50" s="18" t="n">
        <v>926.72</v>
      </c>
      <c r="F50" s="18" t="n">
        <v>945.03</v>
      </c>
      <c r="G50" s="19">
        <f>HYPERLINK("https://www.tradingview.com/chart/?symbol=NSE:BAJFINANCE","Chart 📈")</f>
        <v/>
      </c>
    </row>
    <row r="51" ht="16" customHeight="1">
      <c r="A51" s="20" t="inlineStr">
        <is>
          <t>NIFTY FINANCIAL SERVICES</t>
        </is>
      </c>
      <c r="B51" s="17" t="inlineStr">
        <is>
          <t>CHOLAFIN</t>
        </is>
      </c>
      <c r="C51" s="18" t="n">
        <v>1674.1</v>
      </c>
      <c r="D51" s="18" t="n">
        <v>1595.39</v>
      </c>
      <c r="E51" s="18" t="n">
        <v>1582.78</v>
      </c>
      <c r="F51" s="18" t="n">
        <v>1606</v>
      </c>
      <c r="G51" s="19">
        <f>HYPERLINK("https://www.tradingview.com/chart/?symbol=NSE:CHOLAFIN","Chart 📈")</f>
        <v/>
      </c>
    </row>
    <row r="52" ht="16" customHeight="1">
      <c r="A52" s="20" t="inlineStr">
        <is>
          <t>NIFTY FINANCIAL SERVICES</t>
        </is>
      </c>
      <c r="B52" s="17" t="inlineStr">
        <is>
          <t>HDFCAMC</t>
        </is>
      </c>
      <c r="C52" s="18" t="n">
        <v>2854</v>
      </c>
      <c r="D52" s="18" t="n">
        <v>2724.02</v>
      </c>
      <c r="E52" s="18" t="n">
        <v>2644.39</v>
      </c>
      <c r="F52" s="18" t="n">
        <v>2597.96</v>
      </c>
      <c r="G52" s="19">
        <f>HYPERLINK("https://www.tradingview.com/chart/?symbol=NSE:HDFCAMC","Chart 📈")</f>
        <v/>
      </c>
    </row>
    <row r="53" ht="16" customHeight="1">
      <c r="A53" s="20" t="inlineStr">
        <is>
          <t>NIFTY FINANCIAL SERVICES</t>
        </is>
      </c>
      <c r="B53" s="17" t="inlineStr">
        <is>
          <t>LICHSGFIN</t>
        </is>
      </c>
      <c r="C53" s="18" t="n">
        <v>581.5</v>
      </c>
      <c r="D53" s="18" t="n">
        <v>553.35</v>
      </c>
      <c r="E53" s="18" t="n">
        <v>536.8200000000001</v>
      </c>
      <c r="F53" s="18" t="n">
        <v>543.54</v>
      </c>
      <c r="G53" s="19">
        <f>HYPERLINK("https://www.tradingview.com/chart/?symbol=NSE:LICHSGFIN","Chart 📈")</f>
        <v/>
      </c>
    </row>
    <row r="54" ht="16" customHeight="1">
      <c r="A54" s="20" t="inlineStr">
        <is>
          <t>NIFTY FINANCIAL SERVICES</t>
        </is>
      </c>
      <c r="B54" s="17" t="inlineStr">
        <is>
          <t>MCX</t>
        </is>
      </c>
      <c r="C54" s="18" t="n">
        <v>3097.8</v>
      </c>
      <c r="D54" s="18" t="n">
        <v>2870.25</v>
      </c>
      <c r="E54" s="18" t="n">
        <v>2692.06</v>
      </c>
      <c r="F54" s="18" t="n">
        <v>2196.26</v>
      </c>
      <c r="G54" s="19">
        <f>HYPERLINK("https://www.tradingview.com/chart/?symbol=NSE:MCX","Chart 📈")</f>
        <v/>
      </c>
    </row>
    <row r="55" ht="16" customHeight="1">
      <c r="A55" s="20" t="inlineStr">
        <is>
          <t>NIFTY FINANCIAL SERVICES</t>
        </is>
      </c>
      <c r="B55" s="17" t="inlineStr">
        <is>
          <t>MUTHOOTFIN</t>
        </is>
      </c>
      <c r="C55" s="18" t="n">
        <v>3528.9</v>
      </c>
      <c r="D55" s="18" t="n">
        <v>3483.03</v>
      </c>
      <c r="E55" s="18" t="n">
        <v>3465.76</v>
      </c>
      <c r="F55" s="18" t="n">
        <v>3280.16</v>
      </c>
      <c r="G55" s="19">
        <f>HYPERLINK("https://www.tradingview.com/chart/?symbol=NSE:MUTHOOTFIN","Chart 📈")</f>
        <v/>
      </c>
    </row>
    <row r="56" ht="16" customHeight="1">
      <c r="A56" s="20" t="inlineStr">
        <is>
          <t>NIFTY FINANCIAL SERVICES</t>
        </is>
      </c>
      <c r="B56" s="17" t="inlineStr">
        <is>
          <t>PFC</t>
        </is>
      </c>
      <c r="C56" s="18" t="n">
        <v>461.35</v>
      </c>
      <c r="D56" s="18" t="n">
        <v>453.01</v>
      </c>
      <c r="E56" s="18" t="n">
        <v>432.51</v>
      </c>
      <c r="F56" s="18" t="n">
        <v>398.62</v>
      </c>
      <c r="G56" s="19">
        <f>HYPERLINK("https://www.tradingview.com/chart/?symbol=NSE:PFC","Chart 📈")</f>
        <v/>
      </c>
    </row>
    <row r="57" ht="16" customHeight="1">
      <c r="A57" s="20" t="inlineStr">
        <is>
          <t>NIFTY FINANCIAL SERVICES</t>
        </is>
      </c>
      <c r="B57" s="17" t="inlineStr">
        <is>
          <t>RECLTD</t>
        </is>
      </c>
      <c r="C57" s="18" t="n">
        <v>359.4</v>
      </c>
      <c r="D57" s="18" t="n">
        <v>358.95</v>
      </c>
      <c r="E57" s="18" t="n">
        <v>352.87</v>
      </c>
      <c r="F57" s="18" t="n">
        <v>355.75</v>
      </c>
      <c r="G57" s="19">
        <f>HYPERLINK("https://www.tradingview.com/chart/?symbol=NSE:RECLTD","Chart 📈")</f>
        <v/>
      </c>
    </row>
    <row r="58" ht="16" customHeight="1">
      <c r="A58" s="20" t="inlineStr">
        <is>
          <t>NIFTY FINANCIAL SERVICES</t>
        </is>
      </c>
      <c r="B58" s="17" t="inlineStr">
        <is>
          <t>SHRIRAMFIN</t>
        </is>
      </c>
      <c r="C58" s="18" t="n">
        <v>1007.75</v>
      </c>
      <c r="D58" s="18" t="n">
        <v>986.5599999999999</v>
      </c>
      <c r="E58" s="18" t="n">
        <v>986.6900000000001</v>
      </c>
      <c r="F58" s="18" t="n">
        <v>878.23</v>
      </c>
      <c r="G58" s="19">
        <f>HYPERLINK("https://www.tradingview.com/chart/?symbol=NSE:SHRIRAMFIN","Chart 📈")</f>
        <v/>
      </c>
    </row>
    <row r="59" ht="16" customHeight="1">
      <c r="A59" s="12" t="inlineStr">
        <is>
          <t>NIFTY MEDIA</t>
        </is>
      </c>
      <c r="B59" s="13" t="inlineStr">
        <is>
          <t>NAZARA</t>
        </is>
      </c>
      <c r="C59" s="14" t="n">
        <v>268.6</v>
      </c>
      <c r="D59" s="14" t="n">
        <v>264.51</v>
      </c>
      <c r="E59" s="14" t="n">
        <v>259.77</v>
      </c>
      <c r="F59" s="14" t="n">
        <v>268</v>
      </c>
      <c r="G59" s="15">
        <f>HYPERLINK("https://www.tradingview.com/chart/?symbol=NSE:NAZARA","Chart 📈")</f>
        <v/>
      </c>
    </row>
    <row r="60" ht="16" customHeight="1">
      <c r="A60" s="16" t="inlineStr">
        <is>
          <t>NIFTY MEDIA</t>
        </is>
      </c>
      <c r="B60" s="13" t="inlineStr">
        <is>
          <t>PVRINOX</t>
        </is>
      </c>
      <c r="C60" s="14" t="n">
        <v>1073.8</v>
      </c>
      <c r="D60" s="14" t="n">
        <v>1025.38</v>
      </c>
      <c r="E60" s="14" t="n">
        <v>1007.93</v>
      </c>
      <c r="F60" s="14" t="n">
        <v>1021.55</v>
      </c>
      <c r="G60" s="15">
        <f>HYPERLINK("https://www.tradingview.com/chart/?symbol=NSE:PVRINOX","Chart 📈")</f>
        <v/>
      </c>
    </row>
    <row r="61" ht="16" customHeight="1">
      <c r="A61" s="16" t="inlineStr">
        <is>
          <t>NIFTY MEDIA</t>
        </is>
      </c>
      <c r="B61" s="13" t="inlineStr">
        <is>
          <t>TIPSMUSIC</t>
        </is>
      </c>
      <c r="C61" s="14" t="n">
        <v>648.35</v>
      </c>
      <c r="D61" s="14" t="n">
        <v>621.5599999999999</v>
      </c>
      <c r="E61" s="14" t="n">
        <v>582.75</v>
      </c>
      <c r="F61" s="14" t="n">
        <v>562.55</v>
      </c>
      <c r="G61" s="15">
        <f>HYPERLINK("https://www.tradingview.com/chart/?symbol=NSE:TIPSMUSIC","Chart 📈")</f>
        <v/>
      </c>
    </row>
    <row r="62" ht="16" customHeight="1">
      <c r="A62" s="8" t="inlineStr">
        <is>
          <t>NIFTY FMCG</t>
        </is>
      </c>
      <c r="B62" s="17" t="inlineStr">
        <is>
          <t>BALRAMCHIN</t>
        </is>
      </c>
      <c r="C62" s="18" t="n">
        <v>522.75</v>
      </c>
      <c r="D62" s="18" t="n">
        <v>513.91</v>
      </c>
      <c r="E62" s="18" t="n">
        <v>496</v>
      </c>
      <c r="F62" s="18" t="n">
        <v>488.86</v>
      </c>
      <c r="G62" s="19">
        <f>HYPERLINK("https://www.tradingview.com/chart/?symbol=NSE:BALRAMCHIN","Chart 📈")</f>
        <v/>
      </c>
    </row>
    <row r="63" ht="16" customHeight="1">
      <c r="A63" s="20" t="inlineStr">
        <is>
          <t>NIFTY FMCG</t>
        </is>
      </c>
      <c r="B63" s="17" t="inlineStr">
        <is>
          <t>COLPAL</t>
        </is>
      </c>
      <c r="C63" s="18" t="n">
        <v>2197.4</v>
      </c>
      <c r="D63" s="18" t="n">
        <v>2105.28</v>
      </c>
      <c r="E63" s="18" t="n">
        <v>2072.38</v>
      </c>
      <c r="F63" s="18" t="n">
        <v>2164.8</v>
      </c>
      <c r="G63" s="19">
        <f>HYPERLINK("https://www.tradingview.com/chart/?symbol=NSE:COLPAL","Chart 📈")</f>
        <v/>
      </c>
    </row>
    <row r="64" ht="16" customHeight="1">
      <c r="A64" s="20" t="inlineStr">
        <is>
          <t>NIFTY FMCG</t>
        </is>
      </c>
      <c r="B64" s="17" t="inlineStr">
        <is>
          <t>DABUR</t>
        </is>
      </c>
      <c r="C64" s="18" t="n">
        <v>487.7</v>
      </c>
      <c r="D64" s="18" t="n">
        <v>453.78</v>
      </c>
      <c r="E64" s="18" t="n">
        <v>458.4</v>
      </c>
      <c r="F64" s="18" t="n">
        <v>482.31</v>
      </c>
      <c r="G64" s="19">
        <f>HYPERLINK("https://www.tradingview.com/chart/?symbol=NSE:DABUR","Chart 📈")</f>
        <v/>
      </c>
    </row>
    <row r="65" ht="16" customHeight="1">
      <c r="A65" s="20" t="inlineStr">
        <is>
          <t>NIFTY FMCG</t>
        </is>
      </c>
      <c r="B65" s="17" t="inlineStr">
        <is>
          <t>MARICO</t>
        </is>
      </c>
      <c r="C65" s="18" t="n">
        <v>831.3</v>
      </c>
      <c r="D65" s="18" t="n">
        <v>787.04</v>
      </c>
      <c r="E65" s="18" t="n">
        <v>772.04</v>
      </c>
      <c r="F65" s="18" t="n">
        <v>746.9299999999999</v>
      </c>
      <c r="G65" s="19">
        <f>HYPERLINK("https://www.tradingview.com/chart/?symbol=NSE:MARICO","Chart 📈")</f>
        <v/>
      </c>
    </row>
    <row r="66" ht="16" customHeight="1">
      <c r="A66" s="20" t="inlineStr">
        <is>
          <t>NIFTY FMCG</t>
        </is>
      </c>
      <c r="B66" s="17" t="inlineStr">
        <is>
          <t>NESTLEIND</t>
        </is>
      </c>
      <c r="C66" s="18" t="n">
        <v>1482.4</v>
      </c>
      <c r="D66" s="18" t="n">
        <v>1402.33</v>
      </c>
      <c r="E66" s="18" t="n">
        <v>1331.98</v>
      </c>
      <c r="F66" s="18" t="n">
        <v>1260.25</v>
      </c>
      <c r="G66" s="19">
        <f>HYPERLINK("https://www.tradingview.com/chart/?symbol=NSE:NESTLEIND","Chart 📈")</f>
        <v/>
      </c>
    </row>
    <row r="67" ht="16" customHeight="1">
      <c r="A67" s="20" t="inlineStr">
        <is>
          <t>NIFTY FMCG</t>
        </is>
      </c>
      <c r="B67" s="17" t="inlineStr">
        <is>
          <t>RADICO</t>
        </is>
      </c>
      <c r="C67" s="18" t="n">
        <v>3477.2</v>
      </c>
      <c r="D67" s="18" t="n">
        <v>3244.81</v>
      </c>
      <c r="E67" s="18" t="n">
        <v>3050.37</v>
      </c>
      <c r="F67" s="18" t="n">
        <v>2918.5</v>
      </c>
      <c r="G67" s="19">
        <f>HYPERLINK("https://www.tradingview.com/chart/?symbol=NSE:RADICO","Chart 📈")</f>
        <v/>
      </c>
    </row>
    <row r="68" ht="16" customHeight="1">
      <c r="A68" s="20" t="inlineStr">
        <is>
          <t>NIFTY FMCG</t>
        </is>
      </c>
      <c r="B68" s="17" t="inlineStr">
        <is>
          <t>TATACONSUM</t>
        </is>
      </c>
      <c r="C68" s="18" t="n">
        <v>1176.2</v>
      </c>
      <c r="D68" s="18" t="n">
        <v>1140.56</v>
      </c>
      <c r="E68" s="18" t="n">
        <v>1125.86</v>
      </c>
      <c r="F68" s="18" t="n">
        <v>1128.27</v>
      </c>
      <c r="G68" s="19">
        <f>HYPERLINK("https://www.tradingview.com/chart/?symbol=NSE:TATACONSUM","Chart 📈")</f>
        <v/>
      </c>
    </row>
    <row r="69" ht="16" customHeight="1">
      <c r="A69" s="20" t="inlineStr">
        <is>
          <t>NIFTY FMCG</t>
        </is>
      </c>
      <c r="B69" s="17" t="inlineStr">
        <is>
          <t>VBL</t>
        </is>
      </c>
      <c r="C69" s="18" t="n">
        <v>508.85</v>
      </c>
      <c r="D69" s="18" t="n">
        <v>489.1</v>
      </c>
      <c r="E69" s="18" t="n">
        <v>465.62</v>
      </c>
      <c r="F69" s="18" t="n">
        <v>465.09</v>
      </c>
      <c r="G69" s="19">
        <f>HYPERLINK("https://www.tradingview.com/chart/?symbol=NSE:VBL","Chart 📈")</f>
        <v/>
      </c>
    </row>
    <row r="70" ht="16" customHeight="1">
      <c r="A70" s="12" t="inlineStr">
        <is>
          <t>NIFTY ENERGY</t>
        </is>
      </c>
      <c r="B70" s="13" t="inlineStr">
        <is>
          <t>ADANIENSOL</t>
        </is>
      </c>
      <c r="C70" s="14" t="n">
        <v>1353.6</v>
      </c>
      <c r="D70" s="14" t="n">
        <v>1307.72</v>
      </c>
      <c r="E70" s="14" t="n">
        <v>1178.07</v>
      </c>
      <c r="F70" s="14" t="n">
        <v>1009.69</v>
      </c>
      <c r="G70" s="15">
        <f>HYPERLINK("https://www.tradingview.com/chart/?symbol=NSE:ADANIENSOL","Chart 📈")</f>
        <v/>
      </c>
    </row>
    <row r="71" ht="16" customHeight="1">
      <c r="A71" s="16" t="inlineStr">
        <is>
          <t>NIFTY ENERGY</t>
        </is>
      </c>
      <c r="B71" s="13" t="inlineStr">
        <is>
          <t>ADANIGREEN</t>
        </is>
      </c>
      <c r="C71" s="14" t="n">
        <v>1355.8</v>
      </c>
      <c r="D71" s="14" t="n">
        <v>1215.4</v>
      </c>
      <c r="E71" s="14" t="n">
        <v>1091.81</v>
      </c>
      <c r="F71" s="14" t="n">
        <v>1003.25</v>
      </c>
      <c r="G71" s="15">
        <f>HYPERLINK("https://www.tradingview.com/chart/?symbol=NSE:ADANIGREEN","Chart 📈")</f>
        <v/>
      </c>
    </row>
    <row r="72" ht="16" customHeight="1">
      <c r="A72" s="16" t="inlineStr">
        <is>
          <t>NIFTY ENERGY</t>
        </is>
      </c>
      <c r="B72" s="13" t="inlineStr">
        <is>
          <t>ADANIPOWER</t>
        </is>
      </c>
      <c r="C72" s="14" t="n">
        <v>225.33</v>
      </c>
      <c r="D72" s="14" t="n">
        <v>210.56</v>
      </c>
      <c r="E72" s="14" t="n">
        <v>185.6</v>
      </c>
      <c r="F72" s="14" t="n">
        <v>152.13</v>
      </c>
      <c r="G72" s="15">
        <f>HYPERLINK("https://www.tradingview.com/chart/?symbol=NSE:ADANIPOWER","Chart 📈")</f>
        <v/>
      </c>
    </row>
    <row r="73" ht="16" customHeight="1">
      <c r="A73" s="16" t="inlineStr">
        <is>
          <t>NIFTY ENERGY</t>
        </is>
      </c>
      <c r="B73" s="13" t="inlineStr">
        <is>
          <t>BHEL</t>
        </is>
      </c>
      <c r="C73" s="14" t="n">
        <v>404.6</v>
      </c>
      <c r="D73" s="14" t="n">
        <v>347.33</v>
      </c>
      <c r="E73" s="14" t="n">
        <v>309.97</v>
      </c>
      <c r="F73" s="14" t="n">
        <v>271.19</v>
      </c>
      <c r="G73" s="15">
        <f>HYPERLINK("https://www.tradingview.com/chart/?symbol=NSE:BHEL","Chart 📈")</f>
        <v/>
      </c>
    </row>
    <row r="74" ht="16" customHeight="1">
      <c r="A74" s="16" t="inlineStr">
        <is>
          <t>NIFTY ENERGY</t>
        </is>
      </c>
      <c r="B74" s="13" t="inlineStr">
        <is>
          <t>CESC</t>
        </is>
      </c>
      <c r="C74" s="14" t="n">
        <v>184.41</v>
      </c>
      <c r="D74" s="14" t="n">
        <v>180.19</v>
      </c>
      <c r="E74" s="14" t="n">
        <v>170.01</v>
      </c>
      <c r="F74" s="14" t="n">
        <v>163.51</v>
      </c>
      <c r="G74" s="15">
        <f>HYPERLINK("https://www.tradingview.com/chart/?symbol=NSE:CESC","Chart 📈")</f>
        <v/>
      </c>
    </row>
    <row r="75" ht="16" customHeight="1">
      <c r="A75" s="16" t="inlineStr">
        <is>
          <t>NIFTY ENERGY</t>
        </is>
      </c>
      <c r="B75" s="13" t="inlineStr">
        <is>
          <t>CGPOWER</t>
        </is>
      </c>
      <c r="C75" s="14" t="n">
        <v>873.55</v>
      </c>
      <c r="D75" s="14" t="n">
        <v>805.02</v>
      </c>
      <c r="E75" s="14" t="n">
        <v>755.22</v>
      </c>
      <c r="F75" s="14" t="n">
        <v>699.64</v>
      </c>
      <c r="G75" s="15">
        <f>HYPERLINK("https://www.tradingview.com/chart/?symbol=NSE:CGPOWER","Chart 📈")</f>
        <v/>
      </c>
    </row>
    <row r="76" ht="16" customHeight="1">
      <c r="A76" s="16" t="inlineStr">
        <is>
          <t>NIFTY ENERGY</t>
        </is>
      </c>
      <c r="B76" s="13" t="inlineStr">
        <is>
          <t>GVT&amp;D</t>
        </is>
      </c>
      <c r="C76" s="14" t="n">
        <v>4625.5</v>
      </c>
      <c r="D76" s="14" t="n">
        <v>4385.98</v>
      </c>
      <c r="E76" s="14" t="n">
        <v>4049.41</v>
      </c>
      <c r="F76" s="14" t="n">
        <v>3271.8</v>
      </c>
      <c r="G76" s="15">
        <f>HYPERLINK("https://www.tradingview.com/chart/?symbol=NSE:GVT&amp;D","Chart 📈")</f>
        <v/>
      </c>
    </row>
    <row r="77" ht="16" customHeight="1">
      <c r="A77" s="16" t="inlineStr">
        <is>
          <t>NIFTY ENERGY</t>
        </is>
      </c>
      <c r="B77" s="13" t="inlineStr">
        <is>
          <t>JPPOWER</t>
        </is>
      </c>
      <c r="C77" s="14" t="n">
        <v>19.08</v>
      </c>
      <c r="D77" s="14" t="n">
        <v>18.8</v>
      </c>
      <c r="E77" s="14" t="n">
        <v>17.49</v>
      </c>
      <c r="F77" s="14" t="n">
        <v>16.87</v>
      </c>
      <c r="G77" s="15">
        <f>HYPERLINK("https://www.tradingview.com/chart/?symbol=NSE:JPPOWER","Chart 📈")</f>
        <v/>
      </c>
    </row>
    <row r="78" ht="16" customHeight="1">
      <c r="A78" s="16" t="inlineStr">
        <is>
          <t>NIFTY ENERGY</t>
        </is>
      </c>
      <c r="B78" s="13" t="inlineStr">
        <is>
          <t>JSWENERGY</t>
        </is>
      </c>
      <c r="C78" s="14" t="n">
        <v>571.2</v>
      </c>
      <c r="D78" s="14" t="n">
        <v>551.16</v>
      </c>
      <c r="E78" s="14" t="n">
        <v>526</v>
      </c>
      <c r="F78" s="14" t="n">
        <v>504.6</v>
      </c>
      <c r="G78" s="15">
        <f>HYPERLINK("https://www.tradingview.com/chart/?symbol=NSE:JSWENERGY","Chart 📈")</f>
        <v/>
      </c>
    </row>
    <row r="79" ht="16" customHeight="1">
      <c r="A79" s="16" t="inlineStr">
        <is>
          <t>NIFTY ENERGY</t>
        </is>
      </c>
      <c r="B79" s="13" t="inlineStr">
        <is>
          <t>NLCINDIA</t>
        </is>
      </c>
      <c r="C79" s="14" t="n">
        <v>328.2</v>
      </c>
      <c r="D79" s="14" t="n">
        <v>307.47</v>
      </c>
      <c r="E79" s="14" t="n">
        <v>287.63</v>
      </c>
      <c r="F79" s="14" t="n">
        <v>259.37</v>
      </c>
      <c r="G79" s="15">
        <f>HYPERLINK("https://www.tradingview.com/chart/?symbol=NSE:NLCINDIA","Chart 📈")</f>
        <v/>
      </c>
    </row>
    <row r="80" ht="16" customHeight="1">
      <c r="A80" s="16" t="inlineStr">
        <is>
          <t>NIFTY ENERGY</t>
        </is>
      </c>
      <c r="B80" s="13" t="inlineStr">
        <is>
          <t>NTPC</t>
        </is>
      </c>
      <c r="C80" s="14" t="n">
        <v>402.15</v>
      </c>
      <c r="D80" s="14" t="n">
        <v>395.98</v>
      </c>
      <c r="E80" s="14" t="n">
        <v>384.66</v>
      </c>
      <c r="F80" s="14" t="n">
        <v>355.44</v>
      </c>
      <c r="G80" s="15">
        <f>HYPERLINK("https://www.tradingview.com/chart/?symbol=NSE:NTPC","Chart 📈")</f>
        <v/>
      </c>
    </row>
    <row r="81" ht="16" customHeight="1">
      <c r="A81" s="16" t="inlineStr">
        <is>
          <t>NIFTY ENERGY</t>
        </is>
      </c>
      <c r="B81" s="13" t="inlineStr">
        <is>
          <t>POWERINDIA</t>
        </is>
      </c>
      <c r="C81" s="14" t="n">
        <v>34005</v>
      </c>
      <c r="D81" s="14" t="n">
        <v>31660.53</v>
      </c>
      <c r="E81" s="14" t="n">
        <v>28251.31</v>
      </c>
      <c r="F81" s="14" t="n">
        <v>22451.01</v>
      </c>
      <c r="G81" s="15">
        <f>HYPERLINK("https://www.tradingview.com/chart/?symbol=NSE:POWERINDIA","Chart 📈")</f>
        <v/>
      </c>
    </row>
    <row r="82" ht="16" customHeight="1">
      <c r="A82" s="16" t="inlineStr">
        <is>
          <t>NIFTY ENERGY</t>
        </is>
      </c>
      <c r="B82" s="13" t="inlineStr">
        <is>
          <t>SCHNEIDER</t>
        </is>
      </c>
      <c r="C82" s="14" t="n">
        <v>1344.6</v>
      </c>
      <c r="D82" s="14" t="n">
        <v>1182.74</v>
      </c>
      <c r="E82" s="14" t="n">
        <v>1039.42</v>
      </c>
      <c r="F82" s="14" t="n">
        <v>854.96</v>
      </c>
      <c r="G82" s="15">
        <f>HYPERLINK("https://www.tradingview.com/chart/?symbol=NSE:SCHNEIDER","Chart 📈")</f>
        <v/>
      </c>
    </row>
    <row r="83" ht="16" customHeight="1">
      <c r="A83" s="16" t="inlineStr">
        <is>
          <t>NIFTY ENERGY</t>
        </is>
      </c>
      <c r="B83" s="13" t="inlineStr">
        <is>
          <t>SIEMENS</t>
        </is>
      </c>
      <c r="C83" s="14" t="n">
        <v>3822.6</v>
      </c>
      <c r="D83" s="14" t="n">
        <v>3704.85</v>
      </c>
      <c r="E83" s="14" t="n">
        <v>3485.59</v>
      </c>
      <c r="F83" s="14" t="n">
        <v>3230.86</v>
      </c>
      <c r="G83" s="15">
        <f>HYPERLINK("https://www.tradingview.com/chart/?symbol=NSE:SIEMENS","Chart 📈")</f>
        <v/>
      </c>
    </row>
    <row r="84" ht="16" customHeight="1">
      <c r="A84" s="16" t="inlineStr">
        <is>
          <t>NIFTY ENERGY</t>
        </is>
      </c>
      <c r="B84" s="13" t="inlineStr">
        <is>
          <t>SUZLON</t>
        </is>
      </c>
      <c r="C84" s="14" t="n">
        <v>54.97</v>
      </c>
      <c r="D84" s="14" t="n">
        <v>52.84</v>
      </c>
      <c r="E84" s="14" t="n">
        <v>49.44</v>
      </c>
      <c r="F84" s="14" t="n">
        <v>51.33</v>
      </c>
      <c r="G84" s="15">
        <f>HYPERLINK("https://www.tradingview.com/chart/?symbol=NSE:SUZLON","Chart 📈")</f>
        <v/>
      </c>
    </row>
    <row r="85" ht="16" customHeight="1">
      <c r="A85" s="16" t="inlineStr">
        <is>
          <t>NIFTY ENERGY</t>
        </is>
      </c>
      <c r="B85" s="13" t="inlineStr">
        <is>
          <t>TATAPOWER</t>
        </is>
      </c>
      <c r="C85" s="14" t="n">
        <v>436</v>
      </c>
      <c r="D85" s="14" t="n">
        <v>432.72</v>
      </c>
      <c r="E85" s="14" t="n">
        <v>413.06</v>
      </c>
      <c r="F85" s="14" t="n">
        <v>391.89</v>
      </c>
      <c r="G85" s="15">
        <f>HYPERLINK("https://www.tradingview.com/chart/?symbol=NSE:TATAPOWER","Chart 📈")</f>
        <v/>
      </c>
    </row>
    <row r="86" ht="16" customHeight="1">
      <c r="A86" s="16" t="inlineStr">
        <is>
          <t>NIFTY ENERGY</t>
        </is>
      </c>
      <c r="B86" s="13" t="inlineStr">
        <is>
          <t>THERMAX</t>
        </is>
      </c>
      <c r="C86" s="14" t="n">
        <v>4677.5</v>
      </c>
      <c r="D86" s="14" t="n">
        <v>4029.92</v>
      </c>
      <c r="E86" s="14" t="n">
        <v>3681.73</v>
      </c>
      <c r="F86" s="14" t="n">
        <v>3312.78</v>
      </c>
      <c r="G86" s="15">
        <f>HYPERLINK("https://www.tradingview.com/chart/?symbol=NSE:THERMAX","Chart 📈")</f>
        <v/>
      </c>
    </row>
    <row r="87" ht="16" customHeight="1">
      <c r="A87" s="16" t="inlineStr">
        <is>
          <t>NIFTY ENERGY</t>
        </is>
      </c>
      <c r="B87" s="13" t="inlineStr">
        <is>
          <t>TORNTPOWER</t>
        </is>
      </c>
      <c r="C87" s="14" t="n">
        <v>1724.4</v>
      </c>
      <c r="D87" s="14" t="n">
        <v>1659.38</v>
      </c>
      <c r="E87" s="14" t="n">
        <v>1557.95</v>
      </c>
      <c r="F87" s="14" t="n">
        <v>1419.03</v>
      </c>
      <c r="G87" s="15">
        <f>HYPERLINK("https://www.tradingview.com/chart/?symbol=NSE:TORNTPOWER","Chart 📈")</f>
        <v/>
      </c>
    </row>
    <row r="88" ht="16" customHeight="1">
      <c r="A88" s="16" t="inlineStr">
        <is>
          <t>NIFTY ENERGY</t>
        </is>
      </c>
      <c r="B88" s="13" t="inlineStr">
        <is>
          <t>TRITURBINE</t>
        </is>
      </c>
      <c r="C88" s="14" t="n">
        <v>597.9</v>
      </c>
      <c r="D88" s="14" t="n">
        <v>550.23</v>
      </c>
      <c r="E88" s="14" t="n">
        <v>519.8</v>
      </c>
      <c r="F88" s="14" t="n">
        <v>518.67</v>
      </c>
      <c r="G88" s="15">
        <f>HYPERLINK("https://www.tradingview.com/chart/?symbol=NSE:TRITURBINE","Chart 📈")</f>
        <v/>
      </c>
    </row>
    <row r="89" ht="16" customHeight="1">
      <c r="A89" s="8" t="inlineStr">
        <is>
          <t>NIFTY MIDSMALL IT &amp; TELECOM</t>
        </is>
      </c>
      <c r="B89" s="17" t="inlineStr">
        <is>
          <t>HFCL</t>
        </is>
      </c>
      <c r="C89" s="18" t="n">
        <v>141.15</v>
      </c>
      <c r="D89" s="18" t="n">
        <v>112.55</v>
      </c>
      <c r="E89" s="18" t="n">
        <v>93.81</v>
      </c>
      <c r="F89" s="18" t="n">
        <v>78.83</v>
      </c>
      <c r="G89" s="19">
        <f>HYPERLINK("https://www.tradingview.com/chart/?symbol=NSE:HFCL","Chart 📈")</f>
        <v/>
      </c>
    </row>
    <row r="90" ht="16" customHeight="1">
      <c r="A90" s="20" t="inlineStr">
        <is>
          <t>NIFTY MIDSMALL IT &amp; TELECOM</t>
        </is>
      </c>
      <c r="B90" s="17" t="inlineStr">
        <is>
          <t>IDEA</t>
        </is>
      </c>
      <c r="C90" s="18" t="n">
        <v>11.24</v>
      </c>
      <c r="D90" s="18" t="n">
        <v>10.21</v>
      </c>
      <c r="E90" s="18" t="n">
        <v>10</v>
      </c>
      <c r="F90" s="18" t="n">
        <v>9.470000000000001</v>
      </c>
      <c r="G90" s="19">
        <f>HYPERLINK("https://www.tradingview.com/chart/?symbol=NSE:IDEA","Chart 📈")</f>
        <v/>
      </c>
    </row>
    <row r="91" ht="16" customHeight="1">
      <c r="A91" s="20" t="inlineStr">
        <is>
          <t>NIFTY MIDSMALL IT &amp; TELECOM</t>
        </is>
      </c>
      <c r="B91" s="17" t="inlineStr">
        <is>
          <t>OFSS</t>
        </is>
      </c>
      <c r="C91" s="18" t="n">
        <v>9345.5</v>
      </c>
      <c r="D91" s="18" t="n">
        <v>8683.299999999999</v>
      </c>
      <c r="E91" s="18" t="n">
        <v>7881.12</v>
      </c>
      <c r="F91" s="18" t="n">
        <v>7705.25</v>
      </c>
      <c r="G91" s="19">
        <f>HYPERLINK("https://www.tradingview.com/chart/?symbol=NSE:OFSS","Chart 📈")</f>
        <v/>
      </c>
    </row>
    <row r="92" ht="16" customHeight="1">
      <c r="A92" s="20" t="inlineStr">
        <is>
          <t>NIFTY MIDSMALL IT &amp; TELECOM</t>
        </is>
      </c>
      <c r="B92" s="17" t="inlineStr">
        <is>
          <t>TANLA</t>
        </is>
      </c>
      <c r="C92" s="18" t="n">
        <v>564.8</v>
      </c>
      <c r="D92" s="18" t="n">
        <v>515.7</v>
      </c>
      <c r="E92" s="18" t="n">
        <v>486.77</v>
      </c>
      <c r="F92" s="18" t="n">
        <v>516.78</v>
      </c>
      <c r="G92" s="19">
        <f>HYPERLINK("https://www.tradingview.com/chart/?symbol=NSE:TANLA","Chart 📈")</f>
        <v/>
      </c>
    </row>
    <row r="93" ht="16" customHeight="1">
      <c r="A93" s="20" t="inlineStr">
        <is>
          <t>NIFTY MIDSMALL IT &amp; TELECOM</t>
        </is>
      </c>
      <c r="B93" s="17" t="inlineStr">
        <is>
          <t>TATATECH</t>
        </is>
      </c>
      <c r="C93" s="18" t="n">
        <v>630.95</v>
      </c>
      <c r="D93" s="18" t="n">
        <v>590.29</v>
      </c>
      <c r="E93" s="18" t="n">
        <v>584.48</v>
      </c>
      <c r="F93" s="18" t="n">
        <v>628.53</v>
      </c>
      <c r="G93" s="19">
        <f>HYPERLINK("https://www.tradingview.com/chart/?symbol=NSE:TATATECH","Chart 📈")</f>
        <v/>
      </c>
    </row>
    <row r="94" ht="16" customHeight="1">
      <c r="A94" s="20" t="inlineStr">
        <is>
          <t>NIFTY MIDSMALL IT &amp; TELECOM</t>
        </is>
      </c>
      <c r="B94" s="17" t="inlineStr">
        <is>
          <t>TEJASNET</t>
        </is>
      </c>
      <c r="C94" s="18" t="n">
        <v>514.4</v>
      </c>
      <c r="D94" s="18" t="n">
        <v>441.51</v>
      </c>
      <c r="E94" s="18" t="n">
        <v>426.56</v>
      </c>
      <c r="F94" s="18" t="n">
        <v>482.29</v>
      </c>
      <c r="G94" s="19">
        <f>HYPERLINK("https://www.tradingview.com/chart/?symbol=NSE:TEJASNET","Chart 📈")</f>
        <v/>
      </c>
    </row>
    <row r="95" ht="16" customHeight="1">
      <c r="A95" s="12" t="inlineStr">
        <is>
          <t>NIFTY CONSUMER DURABLES</t>
        </is>
      </c>
      <c r="B95" s="13" t="inlineStr">
        <is>
          <t>AMBER</t>
        </is>
      </c>
      <c r="C95" s="14" t="n">
        <v>8824.5</v>
      </c>
      <c r="D95" s="14" t="n">
        <v>8006.3</v>
      </c>
      <c r="E95" s="14" t="n">
        <v>7542.35</v>
      </c>
      <c r="F95" s="14" t="n">
        <v>7149.92</v>
      </c>
      <c r="G95" s="15">
        <f>HYPERLINK("https://www.tradingview.com/chart/?symbol=NSE:AMBER","Chart 📈")</f>
        <v/>
      </c>
    </row>
    <row r="96" ht="16" customHeight="1">
      <c r="A96" s="16" t="inlineStr">
        <is>
          <t>NIFTY CONSUMER DURABLES</t>
        </is>
      </c>
      <c r="B96" s="13" t="inlineStr">
        <is>
          <t>CENTURYPLY</t>
        </is>
      </c>
      <c r="C96" s="14" t="n">
        <v>795.15</v>
      </c>
      <c r="D96" s="14" t="n">
        <v>778.72</v>
      </c>
      <c r="E96" s="14" t="n">
        <v>757.5700000000001</v>
      </c>
      <c r="F96" s="14" t="n">
        <v>755.04</v>
      </c>
      <c r="G96" s="15">
        <f>HYPERLINK("https://www.tradingview.com/chart/?symbol=NSE:CENTURYPLY","Chart 📈")</f>
        <v/>
      </c>
    </row>
    <row r="97" ht="16" customHeight="1">
      <c r="A97" s="16" t="inlineStr">
        <is>
          <t>NIFTY CONSUMER DURABLES</t>
        </is>
      </c>
      <c r="B97" s="13" t="inlineStr">
        <is>
          <t>CERA</t>
        </is>
      </c>
      <c r="C97" s="14" t="n">
        <v>5782</v>
      </c>
      <c r="D97" s="14" t="n">
        <v>5301.2</v>
      </c>
      <c r="E97" s="14" t="n">
        <v>5149.63</v>
      </c>
      <c r="F97" s="14" t="n">
        <v>5414.64</v>
      </c>
      <c r="G97" s="15">
        <f>HYPERLINK("https://www.tradingview.com/chart/?symbol=NSE:CERA","Chart 📈")</f>
        <v/>
      </c>
    </row>
    <row r="98" ht="16" customHeight="1">
      <c r="A98" s="16" t="inlineStr">
        <is>
          <t>NIFTY CONSUMER DURABLES</t>
        </is>
      </c>
      <c r="B98" s="13" t="inlineStr">
        <is>
          <t>CROMPTON</t>
        </is>
      </c>
      <c r="C98" s="14" t="n">
        <v>293.3</v>
      </c>
      <c r="D98" s="14" t="n">
        <v>268.46</v>
      </c>
      <c r="E98" s="14" t="n">
        <v>258.51</v>
      </c>
      <c r="F98" s="14" t="n">
        <v>273.05</v>
      </c>
      <c r="G98" s="15">
        <f>HYPERLINK("https://www.tradingview.com/chart/?symbol=NSE:CROMPTON","Chart 📈")</f>
        <v/>
      </c>
    </row>
    <row r="99" ht="16" customHeight="1">
      <c r="A99" s="16" t="inlineStr">
        <is>
          <t>NIFTY CONSUMER DURABLES</t>
        </is>
      </c>
      <c r="B99" s="13" t="inlineStr">
        <is>
          <t>TITAN</t>
        </is>
      </c>
      <c r="C99" s="14" t="n">
        <v>4509</v>
      </c>
      <c r="D99" s="14" t="n">
        <v>4383.18</v>
      </c>
      <c r="E99" s="14" t="n">
        <v>4296.65</v>
      </c>
      <c r="F99" s="14" t="n">
        <v>3980.11</v>
      </c>
      <c r="G99" s="15">
        <f>HYPERLINK("https://www.tradingview.com/chart/?symbol=NSE:TITAN","Chart 📈")</f>
        <v/>
      </c>
    </row>
    <row r="100" ht="16" customHeight="1">
      <c r="A100" s="8" t="inlineStr">
        <is>
          <t>NIFTY PSU BANK</t>
        </is>
      </c>
      <c r="B100" s="17" t="inlineStr">
        <is>
          <t>CENTRALBK</t>
        </is>
      </c>
      <c r="C100" s="18" t="n">
        <v>36.51</v>
      </c>
      <c r="D100" s="18" t="n">
        <v>35.56</v>
      </c>
      <c r="E100" s="18" t="n">
        <v>35.47</v>
      </c>
      <c r="F100" s="18" t="n">
        <v>35.83</v>
      </c>
      <c r="G100" s="19">
        <f>HYPERLINK("https://www.tradingview.com/chart/?symbol=NSE:CENTRALBK","Chart 📈")</f>
        <v/>
      </c>
    </row>
    <row r="101" ht="16" customHeight="1">
      <c r="A101" s="20" t="inlineStr">
        <is>
          <t>NIFTY PSU BANK</t>
        </is>
      </c>
      <c r="B101" s="17" t="inlineStr">
        <is>
          <t>MAHABANK</t>
        </is>
      </c>
      <c r="C101" s="18" t="n">
        <v>83.90000000000001</v>
      </c>
      <c r="D101" s="18" t="n">
        <v>77.95999999999999</v>
      </c>
      <c r="E101" s="18" t="n">
        <v>72.78</v>
      </c>
      <c r="F101" s="18" t="n">
        <v>63.29</v>
      </c>
      <c r="G101" s="19">
        <f>HYPERLINK("https://www.tradingview.com/chart/?symbol=NSE:MAHABANK","Chart 📈")</f>
        <v/>
      </c>
    </row>
    <row r="102" ht="16" customHeight="1">
      <c r="A102" s="12" t="inlineStr">
        <is>
          <t>NIFTY BANK</t>
        </is>
      </c>
      <c r="B102" s="13" t="inlineStr">
        <is>
          <t>AUBANK</t>
        </is>
      </c>
      <c r="C102" s="14" t="n">
        <v>1050.4</v>
      </c>
      <c r="D102" s="14" t="n">
        <v>1009.05</v>
      </c>
      <c r="E102" s="14" t="n">
        <v>981.53</v>
      </c>
      <c r="F102" s="14" t="n">
        <v>905.38</v>
      </c>
      <c r="G102" s="15">
        <f>HYPERLINK("https://www.tradingview.com/chart/?symbol=NSE:AUBANK","Chart 📈")</f>
        <v/>
      </c>
    </row>
    <row r="103" ht="16" customHeight="1">
      <c r="A103" s="16" t="inlineStr">
        <is>
          <t>NIFTY BANK</t>
        </is>
      </c>
      <c r="B103" s="13" t="inlineStr">
        <is>
          <t>FEDERALBNK</t>
        </is>
      </c>
      <c r="C103" s="14" t="n">
        <v>297.25</v>
      </c>
      <c r="D103" s="14" t="n">
        <v>289.61</v>
      </c>
      <c r="E103" s="14" t="n">
        <v>283.71</v>
      </c>
      <c r="F103" s="14" t="n">
        <v>254.45</v>
      </c>
      <c r="G103" s="15">
        <f>HYPERLINK("https://www.tradingview.com/chart/?symbol=NSE:FEDERALBNK","Chart 📈")</f>
        <v/>
      </c>
    </row>
    <row r="104" ht="16" customHeight="1">
      <c r="A104" s="16" t="inlineStr">
        <is>
          <t>NIFTY BANK</t>
        </is>
      </c>
      <c r="B104" s="13" t="inlineStr">
        <is>
          <t>INDUSINDBK</t>
        </is>
      </c>
      <c r="C104" s="14" t="n">
        <v>950.75</v>
      </c>
      <c r="D104" s="14" t="n">
        <v>893.8</v>
      </c>
      <c r="E104" s="14" t="n">
        <v>875.23</v>
      </c>
      <c r="F104" s="14" t="n">
        <v>852.14</v>
      </c>
      <c r="G104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2026-05-08T16:19:28Z</dcterms:created>
  <dcterms:modified xsi:type="dcterms:W3CDTF">2026-05-08T16:19:28Z</dcterms:modified>
</cp:coreProperties>
</file>