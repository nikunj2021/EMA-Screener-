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21-May-2026  14:27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19</v>
      </c>
      <c r="D4" s="5" t="n">
        <v>19</v>
      </c>
      <c r="E4" s="5" t="n">
        <v>19</v>
      </c>
      <c r="F4" s="6" t="n">
        <v>0.95</v>
      </c>
      <c r="G4" s="6" t="n">
        <v>0.95</v>
      </c>
      <c r="H4" s="6" t="n">
        <v>0.95</v>
      </c>
      <c r="I4" s="7" t="n">
        <v>0.95</v>
      </c>
    </row>
    <row r="5" ht="17" customHeight="1">
      <c r="A5" s="8" t="inlineStr">
        <is>
          <t>NIFTY METAL</t>
        </is>
      </c>
      <c r="B5" s="9" t="n">
        <v>15</v>
      </c>
      <c r="C5" s="9" t="n">
        <v>7</v>
      </c>
      <c r="D5" s="9" t="n">
        <v>11</v>
      </c>
      <c r="E5" s="9" t="n">
        <v>12</v>
      </c>
      <c r="F5" s="10" t="n">
        <v>0.467</v>
      </c>
      <c r="G5" s="10" t="n">
        <v>0.733</v>
      </c>
      <c r="H5" s="10" t="n">
        <v>0.8</v>
      </c>
      <c r="I5" s="11" t="n">
        <v>0.6667000000000001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16</v>
      </c>
      <c r="D6" s="5" t="n">
        <v>11</v>
      </c>
      <c r="E6" s="5" t="n">
        <v>6</v>
      </c>
      <c r="F6" s="6" t="n">
        <v>0.8</v>
      </c>
      <c r="G6" s="6" t="n">
        <v>0.55</v>
      </c>
      <c r="H6" s="6" t="n">
        <v>0.3</v>
      </c>
      <c r="I6" s="7" t="n">
        <v>0.55</v>
      </c>
    </row>
    <row r="7" ht="17" customHeight="1">
      <c r="A7" s="8" t="inlineStr">
        <is>
          <t>NIFTY REALTY</t>
        </is>
      </c>
      <c r="B7" s="9" t="n">
        <v>10</v>
      </c>
      <c r="C7" s="9" t="n">
        <v>5</v>
      </c>
      <c r="D7" s="9" t="n">
        <v>6</v>
      </c>
      <c r="E7" s="9" t="n">
        <v>3</v>
      </c>
      <c r="F7" s="10" t="n">
        <v>0.5</v>
      </c>
      <c r="G7" s="10" t="n">
        <v>0.6</v>
      </c>
      <c r="H7" s="10" t="n">
        <v>0.3</v>
      </c>
      <c r="I7" s="11" t="n">
        <v>0.4667</v>
      </c>
    </row>
    <row r="8" ht="17" customHeight="1">
      <c r="A8" s="4" t="inlineStr">
        <is>
          <t>NIFTY ENERGY</t>
        </is>
      </c>
      <c r="B8" s="5" t="n">
        <v>40</v>
      </c>
      <c r="C8" s="5" t="n">
        <v>13</v>
      </c>
      <c r="D8" s="5" t="n">
        <v>19</v>
      </c>
      <c r="E8" s="5" t="n">
        <v>22</v>
      </c>
      <c r="F8" s="6" t="n">
        <v>0.325</v>
      </c>
      <c r="G8" s="6" t="n">
        <v>0.475</v>
      </c>
      <c r="H8" s="6" t="n">
        <v>0.55</v>
      </c>
      <c r="I8" s="7" t="n">
        <v>0.45</v>
      </c>
    </row>
    <row r="9" ht="17" customHeight="1">
      <c r="A9" s="8" t="inlineStr">
        <is>
          <t>NIFTY FMCG</t>
        </is>
      </c>
      <c r="B9" s="9" t="n">
        <v>15</v>
      </c>
      <c r="C9" s="9" t="n">
        <v>7</v>
      </c>
      <c r="D9" s="9" t="n">
        <v>7</v>
      </c>
      <c r="E9" s="9" t="n">
        <v>6</v>
      </c>
      <c r="F9" s="10" t="n">
        <v>0.467</v>
      </c>
      <c r="G9" s="10" t="n">
        <v>0.467</v>
      </c>
      <c r="H9" s="10" t="n">
        <v>0.4</v>
      </c>
      <c r="I9" s="11" t="n">
        <v>0.4447</v>
      </c>
    </row>
    <row r="10" ht="17" customHeight="1">
      <c r="A10" s="4" t="inlineStr">
        <is>
          <t>NIFTY OIL &amp; GAS</t>
        </is>
      </c>
      <c r="B10" s="5" t="n">
        <v>15</v>
      </c>
      <c r="C10" s="5" t="n">
        <v>7</v>
      </c>
      <c r="D10" s="5" t="n">
        <v>7</v>
      </c>
      <c r="E10" s="5" t="n">
        <v>4</v>
      </c>
      <c r="F10" s="6" t="n">
        <v>0.467</v>
      </c>
      <c r="G10" s="6" t="n">
        <v>0.467</v>
      </c>
      <c r="H10" s="6" t="n">
        <v>0.267</v>
      </c>
      <c r="I10" s="7" t="n">
        <v>0.4003</v>
      </c>
    </row>
    <row r="11" ht="17" customHeight="1">
      <c r="A11" s="8" t="inlineStr">
        <is>
          <t>NIFTY MEDIA</t>
        </is>
      </c>
      <c r="B11" s="9" t="n">
        <v>10</v>
      </c>
      <c r="C11" s="9" t="n">
        <v>5</v>
      </c>
      <c r="D11" s="9" t="n">
        <v>4</v>
      </c>
      <c r="E11" s="9" t="n">
        <v>3</v>
      </c>
      <c r="F11" s="10" t="n">
        <v>0.5</v>
      </c>
      <c r="G11" s="10" t="n">
        <v>0.4</v>
      </c>
      <c r="H11" s="10" t="n">
        <v>0.3</v>
      </c>
      <c r="I11" s="11" t="n">
        <v>0.4</v>
      </c>
    </row>
    <row r="12" ht="17" customHeight="1">
      <c r="A12" s="4" t="inlineStr">
        <is>
          <t>NIFTY AUTO</t>
        </is>
      </c>
      <c r="B12" s="5" t="n">
        <v>15</v>
      </c>
      <c r="C12" s="5" t="n">
        <v>5</v>
      </c>
      <c r="D12" s="5" t="n">
        <v>5</v>
      </c>
      <c r="E12" s="5" t="n">
        <v>4</v>
      </c>
      <c r="F12" s="6" t="n">
        <v>0.333</v>
      </c>
      <c r="G12" s="6" t="n">
        <v>0.333</v>
      </c>
      <c r="H12" s="6" t="n">
        <v>0.267</v>
      </c>
      <c r="I12" s="7" t="n">
        <v>0.311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3</v>
      </c>
      <c r="D13" s="9" t="n">
        <v>4</v>
      </c>
      <c r="E13" s="9" t="n">
        <v>6</v>
      </c>
      <c r="F13" s="10" t="n">
        <v>0.2</v>
      </c>
      <c r="G13" s="10" t="n">
        <v>0.267</v>
      </c>
      <c r="H13" s="10" t="n">
        <v>0.4</v>
      </c>
      <c r="I13" s="11" t="n">
        <v>0.289</v>
      </c>
    </row>
    <row r="14" ht="17" customHeight="1">
      <c r="A14" s="4" t="inlineStr">
        <is>
          <t>NIFTY BANK</t>
        </is>
      </c>
      <c r="B14" s="5" t="n">
        <v>12</v>
      </c>
      <c r="C14" s="5" t="n">
        <v>2</v>
      </c>
      <c r="D14" s="5" t="n">
        <v>1</v>
      </c>
      <c r="E14" s="5" t="n">
        <v>3</v>
      </c>
      <c r="F14" s="6" t="n">
        <v>0.167</v>
      </c>
      <c r="G14" s="6" t="n">
        <v>0.083</v>
      </c>
      <c r="H14" s="6" t="n">
        <v>0.25</v>
      </c>
      <c r="I14" s="7" t="n">
        <v>0.1667</v>
      </c>
    </row>
    <row r="15" ht="17" customHeight="1">
      <c r="A15" s="8" t="inlineStr">
        <is>
          <t>NIFTY FINANCIAL SERVICES</t>
        </is>
      </c>
      <c r="B15" s="9" t="n">
        <v>20</v>
      </c>
      <c r="C15" s="9" t="n">
        <v>4</v>
      </c>
      <c r="D15" s="9" t="n">
        <v>2</v>
      </c>
      <c r="E15" s="9" t="n">
        <v>4</v>
      </c>
      <c r="F15" s="10" t="n">
        <v>0.2</v>
      </c>
      <c r="G15" s="10" t="n">
        <v>0.1</v>
      </c>
      <c r="H15" s="10" t="n">
        <v>0.2</v>
      </c>
      <c r="I15" s="11" t="n">
        <v>0.1667</v>
      </c>
    </row>
    <row r="16" ht="17" customHeight="1">
      <c r="A16" s="4" t="inlineStr">
        <is>
          <t>NIFTY PSU BANK</t>
        </is>
      </c>
      <c r="B16" s="5" t="n">
        <v>12</v>
      </c>
      <c r="C16" s="5" t="n">
        <v>1</v>
      </c>
      <c r="D16" s="5" t="n">
        <v>1</v>
      </c>
      <c r="E16" s="5" t="n">
        <v>1</v>
      </c>
      <c r="F16" s="6" t="n">
        <v>0.083</v>
      </c>
      <c r="G16" s="6" t="n">
        <v>0.083</v>
      </c>
      <c r="H16" s="6" t="n">
        <v>0.083</v>
      </c>
      <c r="I16" s="7" t="n">
        <v>0.083</v>
      </c>
    </row>
    <row r="17" ht="17" customHeight="1">
      <c r="A17" s="8" t="inlineStr">
        <is>
          <t>NIFTY IT</t>
        </is>
      </c>
      <c r="B17" s="9" t="n">
        <v>10</v>
      </c>
      <c r="C17" s="9" t="n">
        <v>2</v>
      </c>
      <c r="D17" s="9" t="n">
        <v>0</v>
      </c>
      <c r="E17" s="9" t="n">
        <v>0</v>
      </c>
      <c r="F17" s="10" t="n">
        <v>0.2</v>
      </c>
      <c r="G17" s="10" t="n">
        <v>0</v>
      </c>
      <c r="H17" s="10" t="n">
        <v>0</v>
      </c>
      <c r="I17" s="11" t="n">
        <v>0.0667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3149.2</v>
      </c>
      <c r="D3" s="14" t="n">
        <v>3059.89</v>
      </c>
      <c r="E3" s="14" t="n">
        <v>2956.4</v>
      </c>
      <c r="F3" s="14" t="n">
        <v>2776.61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5501.5</v>
      </c>
      <c r="D4" s="14" t="n">
        <v>5478.89</v>
      </c>
      <c r="E4" s="14" t="n">
        <v>5469.34</v>
      </c>
      <c r="F4" s="14" t="n">
        <v>5443.3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1546.7</v>
      </c>
      <c r="D5" s="14" t="n">
        <v>1469.48</v>
      </c>
      <c r="E5" s="14" t="n">
        <v>1392.53</v>
      </c>
      <c r="F5" s="14" t="n">
        <v>1254.22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430.85</v>
      </c>
      <c r="D6" s="14" t="n">
        <v>399.56</v>
      </c>
      <c r="E6" s="14" t="n">
        <v>383.81</v>
      </c>
      <c r="F6" s="14" t="n">
        <v>373.95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CIPLA</t>
        </is>
      </c>
      <c r="C7" s="14" t="n">
        <v>1401.9</v>
      </c>
      <c r="D7" s="14" t="n">
        <v>1354.77</v>
      </c>
      <c r="E7" s="14" t="n">
        <v>1325.86</v>
      </c>
      <c r="F7" s="14" t="n">
        <v>1395.32</v>
      </c>
      <c r="G7" s="15">
        <f>HYPERLINK("https://www.tradingview.com/chart/?symbol=NSE:CIPLA","Chart 📈")</f>
        <v/>
      </c>
    </row>
    <row r="8" ht="16" customHeight="1">
      <c r="A8" s="16" t="inlineStr">
        <is>
          <t>NIFTY PHARMA</t>
        </is>
      </c>
      <c r="B8" s="13" t="inlineStr">
        <is>
          <t>DIVISLAB</t>
        </is>
      </c>
      <c r="C8" s="14" t="n">
        <v>6858</v>
      </c>
      <c r="D8" s="14" t="n">
        <v>6670.85</v>
      </c>
      <c r="E8" s="14" t="n">
        <v>6460.5</v>
      </c>
      <c r="F8" s="14" t="n">
        <v>6367.3</v>
      </c>
      <c r="G8" s="15">
        <f>HYPERLINK("https://www.tradingview.com/chart/?symbol=NSE:DIVISLAB","Chart 📈")</f>
        <v/>
      </c>
    </row>
    <row r="9" ht="16" customHeight="1">
      <c r="A9" s="16" t="inlineStr">
        <is>
          <t>NIFTY PHARMA</t>
        </is>
      </c>
      <c r="B9" s="13" t="inlineStr">
        <is>
          <t>DRREDDY</t>
        </is>
      </c>
      <c r="C9" s="14" t="n">
        <v>1318.5</v>
      </c>
      <c r="D9" s="14" t="n">
        <v>1302.17</v>
      </c>
      <c r="E9" s="14" t="n">
        <v>1284.74</v>
      </c>
      <c r="F9" s="14" t="n">
        <v>1263</v>
      </c>
      <c r="G9" s="15">
        <f>HYPERLINK("https://www.tradingview.com/chart/?symbol=NSE:DRREDDY","Chart 📈")</f>
        <v/>
      </c>
    </row>
    <row r="10" ht="16" customHeight="1">
      <c r="A10" s="16" t="inlineStr">
        <is>
          <t>NIFTY PHARMA</t>
        </is>
      </c>
      <c r="B10" s="13" t="inlineStr">
        <is>
          <t>GLAND</t>
        </is>
      </c>
      <c r="C10" s="14" t="n">
        <v>2331</v>
      </c>
      <c r="D10" s="14" t="n">
        <v>1961.61</v>
      </c>
      <c r="E10" s="14" t="n">
        <v>1848.88</v>
      </c>
      <c r="F10" s="14" t="n">
        <v>1785.68</v>
      </c>
      <c r="G10" s="15">
        <f>HYPERLINK("https://www.tradingview.com/chart/?symbol=NSE:GLAND","Chart 📈")</f>
        <v/>
      </c>
    </row>
    <row r="11" ht="16" customHeight="1">
      <c r="A11" s="16" t="inlineStr">
        <is>
          <t>NIFTY PHARMA</t>
        </is>
      </c>
      <c r="B11" s="13" t="inlineStr">
        <is>
          <t>GLENMARK</t>
        </is>
      </c>
      <c r="C11" s="14" t="n">
        <v>2393</v>
      </c>
      <c r="D11" s="14" t="n">
        <v>2338.62</v>
      </c>
      <c r="E11" s="14" t="n">
        <v>2261.2</v>
      </c>
      <c r="F11" s="14" t="n">
        <v>2040.77</v>
      </c>
      <c r="G11" s="15">
        <f>HYPERLINK("https://www.tradingview.com/chart/?symbol=NSE:GLENMARK","Chart 📈")</f>
        <v/>
      </c>
    </row>
    <row r="12" ht="16" customHeight="1">
      <c r="A12" s="16" t="inlineStr">
        <is>
          <t>NIFTY PHARMA</t>
        </is>
      </c>
      <c r="B12" s="13" t="inlineStr">
        <is>
          <t>GRANULES</t>
        </is>
      </c>
      <c r="C12" s="14" t="n">
        <v>764.2</v>
      </c>
      <c r="D12" s="14" t="n">
        <v>725.29</v>
      </c>
      <c r="E12" s="14" t="n">
        <v>679.1</v>
      </c>
      <c r="F12" s="14" t="n">
        <v>597.89</v>
      </c>
      <c r="G12" s="15">
        <f>HYPERLINK("https://www.tradingview.com/chart/?symbol=NSE:GRANULES","Chart 📈")</f>
        <v/>
      </c>
    </row>
    <row r="13" ht="16" customHeight="1">
      <c r="A13" s="16" t="inlineStr">
        <is>
          <t>NIFTY PHARMA</t>
        </is>
      </c>
      <c r="B13" s="13" t="inlineStr">
        <is>
          <t>IPCALAB</t>
        </is>
      </c>
      <c r="C13" s="14" t="n">
        <v>1637</v>
      </c>
      <c r="D13" s="14" t="n">
        <v>1573.06</v>
      </c>
      <c r="E13" s="14" t="n">
        <v>1536.16</v>
      </c>
      <c r="F13" s="14" t="n">
        <v>1471.76</v>
      </c>
      <c r="G13" s="15">
        <f>HYPERLINK("https://www.tradingview.com/chart/?symbol=NSE:IPCALAB","Chart 📈")</f>
        <v/>
      </c>
    </row>
    <row r="14" ht="16" customHeight="1">
      <c r="A14" s="16" t="inlineStr">
        <is>
          <t>NIFTY PHARMA</t>
        </is>
      </c>
      <c r="B14" s="13" t="inlineStr">
        <is>
          <t>JBCHEPHARM</t>
        </is>
      </c>
      <c r="C14" s="14" t="n">
        <v>2178.9</v>
      </c>
      <c r="D14" s="14" t="n">
        <v>2116.06</v>
      </c>
      <c r="E14" s="14" t="n">
        <v>2063.84</v>
      </c>
      <c r="F14" s="14" t="n">
        <v>1900.25</v>
      </c>
      <c r="G14" s="15">
        <f>HYPERLINK("https://www.tradingview.com/chart/?symbol=NSE:JBCHEPHARM","Chart 📈")</f>
        <v/>
      </c>
    </row>
    <row r="15" ht="16" customHeight="1">
      <c r="A15" s="16" t="inlineStr">
        <is>
          <t>NIFTY PHARMA</t>
        </is>
      </c>
      <c r="B15" s="13" t="inlineStr">
        <is>
          <t>LAURUSLABS</t>
        </is>
      </c>
      <c r="C15" s="14" t="n">
        <v>1351</v>
      </c>
      <c r="D15" s="14" t="n">
        <v>1245.11</v>
      </c>
      <c r="E15" s="14" t="n">
        <v>1155.38</v>
      </c>
      <c r="F15" s="14" t="n">
        <v>998.9299999999999</v>
      </c>
      <c r="G15" s="15">
        <f>HYPERLINK("https://www.tradingview.com/chart/?symbol=NSE:LAURUSLABS","Chart 📈")</f>
        <v/>
      </c>
    </row>
    <row r="16" ht="16" customHeight="1">
      <c r="A16" s="16" t="inlineStr">
        <is>
          <t>NIFTY PHARMA</t>
        </is>
      </c>
      <c r="B16" s="13" t="inlineStr">
        <is>
          <t>MANKIND</t>
        </is>
      </c>
      <c r="C16" s="14" t="n">
        <v>2514.1</v>
      </c>
      <c r="D16" s="14" t="n">
        <v>2391.33</v>
      </c>
      <c r="E16" s="14" t="n">
        <v>2272.28</v>
      </c>
      <c r="F16" s="14" t="n">
        <v>2277.58</v>
      </c>
      <c r="G16" s="15">
        <f>HYPERLINK("https://www.tradingview.com/chart/?symbol=NSE:MANKIND","Chart 📈")</f>
        <v/>
      </c>
    </row>
    <row r="17" ht="16" customHeight="1">
      <c r="A17" s="16" t="inlineStr">
        <is>
          <t>NIFTY PHARMA</t>
        </is>
      </c>
      <c r="B17" s="13" t="inlineStr">
        <is>
          <t>NATCOPHARM</t>
        </is>
      </c>
      <c r="C17" s="14" t="n">
        <v>1174.3</v>
      </c>
      <c r="D17" s="14" t="n">
        <v>1144.01</v>
      </c>
      <c r="E17" s="14" t="n">
        <v>1081.19</v>
      </c>
      <c r="F17" s="14" t="n">
        <v>958.65</v>
      </c>
      <c r="G17" s="15">
        <f>HYPERLINK("https://www.tradingview.com/chart/?symbol=NSE:NATCOPHARM","Chart 📈")</f>
        <v/>
      </c>
    </row>
    <row r="18" ht="16" customHeight="1">
      <c r="A18" s="16" t="inlineStr">
        <is>
          <t>NIFTY PHARMA</t>
        </is>
      </c>
      <c r="B18" s="13" t="inlineStr">
        <is>
          <t>SUNPHARMA</t>
        </is>
      </c>
      <c r="C18" s="14" t="n">
        <v>1891.3</v>
      </c>
      <c r="D18" s="14" t="n">
        <v>1832.77</v>
      </c>
      <c r="E18" s="14" t="n">
        <v>1784.69</v>
      </c>
      <c r="F18" s="14" t="n">
        <v>1728.64</v>
      </c>
      <c r="G18" s="15">
        <f>HYPERLINK("https://www.tradingview.com/chart/?symbol=NSE:SUNPHARMA","Chart 📈")</f>
        <v/>
      </c>
    </row>
    <row r="19" ht="16" customHeight="1">
      <c r="A19" s="16" t="inlineStr">
        <is>
          <t>NIFTY PHARMA</t>
        </is>
      </c>
      <c r="B19" s="13" t="inlineStr">
        <is>
          <t>TORNTPHARM</t>
        </is>
      </c>
      <c r="C19" s="14" t="n">
        <v>4469.2</v>
      </c>
      <c r="D19" s="14" t="n">
        <v>4345.95</v>
      </c>
      <c r="E19" s="14" t="n">
        <v>4259.02</v>
      </c>
      <c r="F19" s="14" t="n">
        <v>3938.68</v>
      </c>
      <c r="G19" s="15">
        <f>HYPERLINK("https://www.tradingview.com/chart/?symbol=NSE:TORNTPHARM","Chart 📈")</f>
        <v/>
      </c>
    </row>
    <row r="20" ht="16" customHeight="1">
      <c r="A20" s="16" t="inlineStr">
        <is>
          <t>NIFTY PHARMA</t>
        </is>
      </c>
      <c r="B20" s="13" t="inlineStr">
        <is>
          <t>ZYDUSLIFE</t>
        </is>
      </c>
      <c r="C20" s="14" t="n">
        <v>1036.45</v>
      </c>
      <c r="D20" s="14" t="n">
        <v>966.95</v>
      </c>
      <c r="E20" s="14" t="n">
        <v>937.17</v>
      </c>
      <c r="F20" s="14" t="n">
        <v>928.04</v>
      </c>
      <c r="G20" s="15">
        <f>HYPERLINK("https://www.tradingview.com/chart/?symbol=NSE:ZYDUSLIFE","Chart 📈")</f>
        <v/>
      </c>
    </row>
    <row r="21" ht="16" customHeight="1">
      <c r="A21" s="8" t="inlineStr">
        <is>
          <t>NIFTY METAL</t>
        </is>
      </c>
      <c r="B21" s="17" t="inlineStr">
        <is>
          <t>ADANIENT</t>
        </is>
      </c>
      <c r="C21" s="18" t="n">
        <v>2697.6</v>
      </c>
      <c r="D21" s="18" t="n">
        <v>2523.27</v>
      </c>
      <c r="E21" s="18" t="n">
        <v>2340.23</v>
      </c>
      <c r="F21" s="18" t="n">
        <v>2295.64</v>
      </c>
      <c r="G21" s="19">
        <f>HYPERLINK("https://www.tradingview.com/chart/?symbol=NSE:ADANIENT","Chart 📈")</f>
        <v/>
      </c>
    </row>
    <row r="22" ht="16" customHeight="1">
      <c r="A22" s="20" t="inlineStr">
        <is>
          <t>NIFTY METAL</t>
        </is>
      </c>
      <c r="B22" s="17" t="inlineStr">
        <is>
          <t>HINDALCO</t>
        </is>
      </c>
      <c r="C22" s="18" t="n">
        <v>1099.3</v>
      </c>
      <c r="D22" s="18" t="n">
        <v>1052.75</v>
      </c>
      <c r="E22" s="18" t="n">
        <v>1010.35</v>
      </c>
      <c r="F22" s="18" t="n">
        <v>888.1900000000001</v>
      </c>
      <c r="G22" s="19">
        <f>HYPERLINK("https://www.tradingview.com/chart/?symbol=NSE:HINDALCO","Chart 📈")</f>
        <v/>
      </c>
    </row>
    <row r="23" ht="16" customHeight="1">
      <c r="A23" s="20" t="inlineStr">
        <is>
          <t>NIFTY METAL</t>
        </is>
      </c>
      <c r="B23" s="17" t="inlineStr">
        <is>
          <t>HINDZINC</t>
        </is>
      </c>
      <c r="C23" s="18" t="n">
        <v>628.05</v>
      </c>
      <c r="D23" s="18" t="n">
        <v>622.0700000000001</v>
      </c>
      <c r="E23" s="18" t="n">
        <v>597.66</v>
      </c>
      <c r="F23" s="18" t="n">
        <v>544.22</v>
      </c>
      <c r="G23" s="19">
        <f>HYPERLINK("https://www.tradingview.com/chart/?symbol=NSE:HINDZINC","Chart 📈")</f>
        <v/>
      </c>
    </row>
    <row r="24" ht="16" customHeight="1">
      <c r="A24" s="20" t="inlineStr">
        <is>
          <t>NIFTY METAL</t>
        </is>
      </c>
      <c r="B24" s="17" t="inlineStr">
        <is>
          <t>JSWSTEEL</t>
        </is>
      </c>
      <c r="C24" s="18" t="n">
        <v>1281.3</v>
      </c>
      <c r="D24" s="18" t="n">
        <v>1269.12</v>
      </c>
      <c r="E24" s="18" t="n">
        <v>1241.54</v>
      </c>
      <c r="F24" s="18" t="n">
        <v>1169.79</v>
      </c>
      <c r="G24" s="19">
        <f>HYPERLINK("https://www.tradingview.com/chart/?symbol=NSE:JSWSTEEL","Chart 📈")</f>
        <v/>
      </c>
    </row>
    <row r="25" ht="16" customHeight="1">
      <c r="A25" s="20" t="inlineStr">
        <is>
          <t>NIFTY METAL</t>
        </is>
      </c>
      <c r="B25" s="17" t="inlineStr">
        <is>
          <t>NATIONALUM</t>
        </is>
      </c>
      <c r="C25" s="18" t="n">
        <v>406.4</v>
      </c>
      <c r="D25" s="18" t="n">
        <v>406.28</v>
      </c>
      <c r="E25" s="18" t="n">
        <v>397.74</v>
      </c>
      <c r="F25" s="18" t="n">
        <v>320.53</v>
      </c>
      <c r="G25" s="19">
        <f>HYPERLINK("https://www.tradingview.com/chart/?symbol=NSE:NATIONALUM","Chart 📈")</f>
        <v/>
      </c>
    </row>
    <row r="26" ht="16" customHeight="1">
      <c r="A26" s="20" t="inlineStr">
        <is>
          <t>NIFTY METAL</t>
        </is>
      </c>
      <c r="B26" s="17" t="inlineStr">
        <is>
          <t>SAIL</t>
        </is>
      </c>
      <c r="C26" s="18" t="n">
        <v>196.53</v>
      </c>
      <c r="D26" s="18" t="n">
        <v>188.01</v>
      </c>
      <c r="E26" s="18" t="n">
        <v>176.04</v>
      </c>
      <c r="F26" s="18" t="n">
        <v>152.51</v>
      </c>
      <c r="G26" s="19">
        <f>HYPERLINK("https://www.tradingview.com/chart/?symbol=NSE:SAIL","Chart 📈")</f>
        <v/>
      </c>
    </row>
    <row r="27" ht="16" customHeight="1">
      <c r="A27" s="20" t="inlineStr">
        <is>
          <t>NIFTY METAL</t>
        </is>
      </c>
      <c r="B27" s="17" t="inlineStr">
        <is>
          <t>WELCORP</t>
        </is>
      </c>
      <c r="C27" s="18" t="n">
        <v>1330.2</v>
      </c>
      <c r="D27" s="18" t="n">
        <v>1260.74</v>
      </c>
      <c r="E27" s="18" t="n">
        <v>1117.39</v>
      </c>
      <c r="F27" s="18" t="n">
        <v>927.49</v>
      </c>
      <c r="G27" s="19">
        <f>HYPERLINK("https://www.tradingview.com/chart/?symbol=NSE:WELCORP","Chart 📈")</f>
        <v/>
      </c>
    </row>
    <row r="28" ht="16" customHeight="1">
      <c r="A28" s="12" t="inlineStr">
        <is>
          <t>NIFTY MIDSMALL IT &amp; TELECOM</t>
        </is>
      </c>
      <c r="B28" s="13" t="inlineStr">
        <is>
          <t>HFCL</t>
        </is>
      </c>
      <c r="C28" s="14" t="n">
        <v>141.75</v>
      </c>
      <c r="D28" s="14" t="n">
        <v>131.4</v>
      </c>
      <c r="E28" s="14" t="n">
        <v>109.27</v>
      </c>
      <c r="F28" s="14" t="n">
        <v>85.28</v>
      </c>
      <c r="G28" s="15">
        <f>HYPERLINK("https://www.tradingview.com/chart/?symbol=NSE:HFCL","Chart 📈")</f>
        <v/>
      </c>
    </row>
    <row r="29" ht="16" customHeight="1">
      <c r="A29" s="16" t="inlineStr">
        <is>
          <t>NIFTY MIDSMALL IT &amp; TELECOM</t>
        </is>
      </c>
      <c r="B29" s="13" t="inlineStr">
        <is>
          <t>IDEA</t>
        </is>
      </c>
      <c r="C29" s="14" t="n">
        <v>13.62</v>
      </c>
      <c r="D29" s="14" t="n">
        <v>11.91</v>
      </c>
      <c r="E29" s="14" t="n">
        <v>10.91</v>
      </c>
      <c r="F29" s="14" t="n">
        <v>9.779999999999999</v>
      </c>
      <c r="G29" s="15">
        <f>HYPERLINK("https://www.tradingview.com/chart/?symbol=NSE:IDEA","Chart 📈")</f>
        <v/>
      </c>
    </row>
    <row r="30" ht="16" customHeight="1">
      <c r="A30" s="16" t="inlineStr">
        <is>
          <t>NIFTY MIDSMALL IT &amp; TELECOM</t>
        </is>
      </c>
      <c r="B30" s="13" t="inlineStr">
        <is>
          <t>INDUSTOWER</t>
        </is>
      </c>
      <c r="C30" s="14" t="n">
        <v>431.8</v>
      </c>
      <c r="D30" s="14" t="n">
        <v>419.02</v>
      </c>
      <c r="E30" s="14" t="n">
        <v>421.87</v>
      </c>
      <c r="F30" s="14" t="n">
        <v>412.38</v>
      </c>
      <c r="G30" s="15">
        <f>HYPERLINK("https://www.tradingview.com/chart/?symbol=NSE:INDUSTOWER","Chart 📈")</f>
        <v/>
      </c>
    </row>
    <row r="31" ht="16" customHeight="1">
      <c r="A31" s="16" t="inlineStr">
        <is>
          <t>NIFTY MIDSMALL IT &amp; TELECOM</t>
        </is>
      </c>
      <c r="B31" s="13" t="inlineStr">
        <is>
          <t>OFSS</t>
        </is>
      </c>
      <c r="C31" s="14" t="n">
        <v>9730.5</v>
      </c>
      <c r="D31" s="14" t="n">
        <v>9083.15</v>
      </c>
      <c r="E31" s="14" t="n">
        <v>8314.530000000001</v>
      </c>
      <c r="F31" s="14" t="n">
        <v>7857.79</v>
      </c>
      <c r="G31" s="15">
        <f>HYPERLINK("https://www.tradingview.com/chart/?symbol=NSE:OFSS","Chart 📈")</f>
        <v/>
      </c>
    </row>
    <row r="32" ht="16" customHeight="1">
      <c r="A32" s="16" t="inlineStr">
        <is>
          <t>NIFTY MIDSMALL IT &amp; TELECOM</t>
        </is>
      </c>
      <c r="B32" s="13" t="inlineStr">
        <is>
          <t>TATACOMM</t>
        </is>
      </c>
      <c r="C32" s="14" t="n">
        <v>1896.3</v>
      </c>
      <c r="D32" s="14" t="n">
        <v>1635</v>
      </c>
      <c r="E32" s="14" t="n">
        <v>1584.6</v>
      </c>
      <c r="F32" s="14" t="n">
        <v>1636.84</v>
      </c>
      <c r="G32" s="15">
        <f>HYPERLINK("https://www.tradingview.com/chart/?symbol=NSE:TATACOMM","Chart 📈")</f>
        <v/>
      </c>
    </row>
    <row r="33" ht="16" customHeight="1">
      <c r="A33" s="16" t="inlineStr">
        <is>
          <t>NIFTY MIDSMALL IT &amp; TELECOM</t>
        </is>
      </c>
      <c r="B33" s="13" t="inlineStr">
        <is>
          <t>TATATECH</t>
        </is>
      </c>
      <c r="C33" s="14" t="n">
        <v>664.1</v>
      </c>
      <c r="D33" s="14" t="n">
        <v>622.0599999999999</v>
      </c>
      <c r="E33" s="14" t="n">
        <v>601.58</v>
      </c>
      <c r="F33" s="14" t="n">
        <v>637.53</v>
      </c>
      <c r="G33" s="15">
        <f>HYPERLINK("https://www.tradingview.com/chart/?symbol=NSE:TATATECH","Chart 📈")</f>
        <v/>
      </c>
    </row>
    <row r="34" ht="16" customHeight="1">
      <c r="A34" s="8" t="inlineStr">
        <is>
          <t>NIFTY REALTY</t>
        </is>
      </c>
      <c r="B34" s="17" t="inlineStr">
        <is>
          <t>OBEROIRLTY</t>
        </is>
      </c>
      <c r="C34" s="18" t="n">
        <v>1654.4</v>
      </c>
      <c r="D34" s="18" t="n">
        <v>1642.09</v>
      </c>
      <c r="E34" s="18" t="n">
        <v>1617.01</v>
      </c>
      <c r="F34" s="18" t="n">
        <v>1627.6</v>
      </c>
      <c r="G34" s="19">
        <f>HYPERLINK("https://www.tradingview.com/chart/?symbol=NSE:OBEROIRLTY","Chart 📈")</f>
        <v/>
      </c>
    </row>
    <row r="35" ht="16" customHeight="1">
      <c r="A35" s="20" t="inlineStr">
        <is>
          <t>NIFTY REALTY</t>
        </is>
      </c>
      <c r="B35" s="17" t="inlineStr">
        <is>
          <t>PHOENIXLTD</t>
        </is>
      </c>
      <c r="C35" s="18" t="n">
        <v>1795.7</v>
      </c>
      <c r="D35" s="18" t="n">
        <v>1758.27</v>
      </c>
      <c r="E35" s="18" t="n">
        <v>1731.26</v>
      </c>
      <c r="F35" s="18" t="n">
        <v>1691.09</v>
      </c>
      <c r="G35" s="19">
        <f>HYPERLINK("https://www.tradingview.com/chart/?symbol=NSE:PHOENIXLTD","Chart 📈")</f>
        <v/>
      </c>
    </row>
    <row r="36" ht="16" customHeight="1">
      <c r="A36" s="20" t="inlineStr">
        <is>
          <t>NIFTY REALTY</t>
        </is>
      </c>
      <c r="B36" s="17" t="inlineStr">
        <is>
          <t>RAYMOND</t>
        </is>
      </c>
      <c r="C36" s="18" t="n">
        <v>541.5</v>
      </c>
      <c r="D36" s="18" t="n">
        <v>482.62</v>
      </c>
      <c r="E36" s="18" t="n">
        <v>446.48</v>
      </c>
      <c r="F36" s="18" t="n">
        <v>483.33</v>
      </c>
      <c r="G36" s="19">
        <f>HYPERLINK("https://www.tradingview.com/chart/?symbol=NSE:RAYMOND","Chart 📈")</f>
        <v/>
      </c>
    </row>
    <row r="37" ht="16" customHeight="1">
      <c r="A37" s="12" t="inlineStr">
        <is>
          <t>NIFTY ENERGY</t>
        </is>
      </c>
      <c r="B37" s="13" t="inlineStr">
        <is>
          <t>ADANIENSOL</t>
        </is>
      </c>
      <c r="C37" s="14" t="n">
        <v>1342.2</v>
      </c>
      <c r="D37" s="14" t="n">
        <v>1318.69</v>
      </c>
      <c r="E37" s="14" t="n">
        <v>1222.36</v>
      </c>
      <c r="F37" s="14" t="n">
        <v>1039.19</v>
      </c>
      <c r="G37" s="15">
        <f>HYPERLINK("https://www.tradingview.com/chart/?symbol=NSE:ADANIENSOL","Chart 📈")</f>
        <v/>
      </c>
    </row>
    <row r="38" ht="16" customHeight="1">
      <c r="A38" s="16" t="inlineStr">
        <is>
          <t>NIFTY ENERGY</t>
        </is>
      </c>
      <c r="B38" s="13" t="inlineStr">
        <is>
          <t>ADANIGREEN</t>
        </is>
      </c>
      <c r="C38" s="14" t="n">
        <v>1358.2</v>
      </c>
      <c r="D38" s="14" t="n">
        <v>1306.84</v>
      </c>
      <c r="E38" s="14" t="n">
        <v>1175.76</v>
      </c>
      <c r="F38" s="14" t="n">
        <v>1043.74</v>
      </c>
      <c r="G38" s="15">
        <f>HYPERLINK("https://www.tradingview.com/chart/?symbol=NSE:ADANIGREEN","Chart 📈")</f>
        <v/>
      </c>
    </row>
    <row r="39" ht="16" customHeight="1">
      <c r="A39" s="16" t="inlineStr">
        <is>
          <t>NIFTY ENERGY</t>
        </is>
      </c>
      <c r="B39" s="13" t="inlineStr">
        <is>
          <t>ADANIPOWER</t>
        </is>
      </c>
      <c r="C39" s="14" t="n">
        <v>219.33</v>
      </c>
      <c r="D39" s="14" t="n">
        <v>215.62</v>
      </c>
      <c r="E39" s="14" t="n">
        <v>195.68</v>
      </c>
      <c r="F39" s="14" t="n">
        <v>158.35</v>
      </c>
      <c r="G39" s="15">
        <f>HYPERLINK("https://www.tradingview.com/chart/?symbol=NSE:ADANIPOWER","Chart 📈")</f>
        <v/>
      </c>
    </row>
    <row r="40" ht="16" customHeight="1">
      <c r="A40" s="16" t="inlineStr">
        <is>
          <t>NIFTY ENERGY</t>
        </is>
      </c>
      <c r="B40" s="13" t="inlineStr">
        <is>
          <t>BHEL</t>
        </is>
      </c>
      <c r="C40" s="14" t="n">
        <v>408.15</v>
      </c>
      <c r="D40" s="14" t="n">
        <v>380.37</v>
      </c>
      <c r="E40" s="14" t="n">
        <v>337.98</v>
      </c>
      <c r="F40" s="14" t="n">
        <v>284.83</v>
      </c>
      <c r="G40" s="15">
        <f>HYPERLINK("https://www.tradingview.com/chart/?symbol=NSE:BHEL","Chart 📈")</f>
        <v/>
      </c>
    </row>
    <row r="41" ht="16" customHeight="1">
      <c r="A41" s="16" t="inlineStr">
        <is>
          <t>NIFTY ENERGY</t>
        </is>
      </c>
      <c r="B41" s="13" t="inlineStr">
        <is>
          <t>CGPOWER</t>
        </is>
      </c>
      <c r="C41" s="14" t="n">
        <v>864.9</v>
      </c>
      <c r="D41" s="14" t="n">
        <v>826.7</v>
      </c>
      <c r="E41" s="14" t="n">
        <v>781.25</v>
      </c>
      <c r="F41" s="14" t="n">
        <v>718.33</v>
      </c>
      <c r="G41" s="15">
        <f>HYPERLINK("https://www.tradingview.com/chart/?symbol=NSE:CGPOWER","Chart 📈")</f>
        <v/>
      </c>
    </row>
    <row r="42" ht="16" customHeight="1">
      <c r="A42" s="16" t="inlineStr">
        <is>
          <t>NIFTY ENERGY</t>
        </is>
      </c>
      <c r="B42" s="13" t="inlineStr">
        <is>
          <t>GVT&amp;D</t>
        </is>
      </c>
      <c r="C42" s="14" t="n">
        <v>4794.6</v>
      </c>
      <c r="D42" s="14" t="n">
        <v>4442.76</v>
      </c>
      <c r="E42" s="14" t="n">
        <v>4173.86</v>
      </c>
      <c r="F42" s="14" t="n">
        <v>3389.72</v>
      </c>
      <c r="G42" s="15">
        <f>HYPERLINK("https://www.tradingview.com/chart/?symbol=NSE:GVT&amp;D","Chart 📈")</f>
        <v/>
      </c>
    </row>
    <row r="43" ht="16" customHeight="1">
      <c r="A43" s="16" t="inlineStr">
        <is>
          <t>NIFTY ENERGY</t>
        </is>
      </c>
      <c r="B43" s="13" t="inlineStr">
        <is>
          <t>JSWENERGY</t>
        </is>
      </c>
      <c r="C43" s="14" t="n">
        <v>548.45</v>
      </c>
      <c r="D43" s="14" t="n">
        <v>538.6799999999999</v>
      </c>
      <c r="E43" s="14" t="n">
        <v>526.99</v>
      </c>
      <c r="F43" s="14" t="n">
        <v>509.93</v>
      </c>
      <c r="G43" s="15">
        <f>HYPERLINK("https://www.tradingview.com/chart/?symbol=NSE:JSWENERGY","Chart 📈")</f>
        <v/>
      </c>
    </row>
    <row r="44" ht="16" customHeight="1">
      <c r="A44" s="16" t="inlineStr">
        <is>
          <t>NIFTY ENERGY</t>
        </is>
      </c>
      <c r="B44" s="13" t="inlineStr">
        <is>
          <t>NLCINDIA</t>
        </is>
      </c>
      <c r="C44" s="14" t="n">
        <v>350.5</v>
      </c>
      <c r="D44" s="14" t="n">
        <v>330.96</v>
      </c>
      <c r="E44" s="14" t="n">
        <v>305.12</v>
      </c>
      <c r="F44" s="14" t="n">
        <v>268.13</v>
      </c>
      <c r="G44" s="15">
        <f>HYPERLINK("https://www.tradingview.com/chart/?symbol=NSE:NLCINDIA","Chart 📈")</f>
        <v/>
      </c>
    </row>
    <row r="45" ht="16" customHeight="1">
      <c r="A45" s="16" t="inlineStr">
        <is>
          <t>NIFTY ENERGY</t>
        </is>
      </c>
      <c r="B45" s="13" t="inlineStr">
        <is>
          <t>POWERINDIA</t>
        </is>
      </c>
      <c r="C45" s="14" t="n">
        <v>36450</v>
      </c>
      <c r="D45" s="14" t="n">
        <v>32845.8</v>
      </c>
      <c r="E45" s="14" t="n">
        <v>29825.43</v>
      </c>
      <c r="F45" s="14" t="n">
        <v>23541.32</v>
      </c>
      <c r="G45" s="15">
        <f>HYPERLINK("https://www.tradingview.com/chart/?symbol=NSE:POWERINDIA","Chart 📈")</f>
        <v/>
      </c>
    </row>
    <row r="46" ht="16" customHeight="1">
      <c r="A46" s="16" t="inlineStr">
        <is>
          <t>NIFTY ENERGY</t>
        </is>
      </c>
      <c r="B46" s="13" t="inlineStr">
        <is>
          <t>SCHNEIDER</t>
        </is>
      </c>
      <c r="C46" s="14" t="n">
        <v>1325.3</v>
      </c>
      <c r="D46" s="14" t="n">
        <v>1240.17</v>
      </c>
      <c r="E46" s="14" t="n">
        <v>1111.93</v>
      </c>
      <c r="F46" s="14" t="n">
        <v>899.97</v>
      </c>
      <c r="G46" s="15">
        <f>HYPERLINK("https://www.tradingview.com/chart/?symbol=NSE:SCHNEIDER","Chart 📈")</f>
        <v/>
      </c>
    </row>
    <row r="47" ht="16" customHeight="1">
      <c r="A47" s="16" t="inlineStr">
        <is>
          <t>NIFTY ENERGY</t>
        </is>
      </c>
      <c r="B47" s="13" t="inlineStr">
        <is>
          <t>SIEMENS</t>
        </is>
      </c>
      <c r="C47" s="14" t="n">
        <v>3720.6</v>
      </c>
      <c r="D47" s="14" t="n">
        <v>3654.12</v>
      </c>
      <c r="E47" s="14" t="n">
        <v>3524.45</v>
      </c>
      <c r="F47" s="14" t="n">
        <v>3300.09</v>
      </c>
      <c r="G47" s="15">
        <f>HYPERLINK("https://www.tradingview.com/chart/?symbol=NSE:SIEMENS","Chart 📈")</f>
        <v/>
      </c>
    </row>
    <row r="48" ht="16" customHeight="1">
      <c r="A48" s="16" t="inlineStr">
        <is>
          <t>NIFTY ENERGY</t>
        </is>
      </c>
      <c r="B48" s="13" t="inlineStr">
        <is>
          <t>THERMAX</t>
        </is>
      </c>
      <c r="C48" s="14" t="n">
        <v>4575</v>
      </c>
      <c r="D48" s="14" t="n">
        <v>4304.05</v>
      </c>
      <c r="E48" s="14" t="n">
        <v>3927.53</v>
      </c>
      <c r="F48" s="14" t="n">
        <v>3445.07</v>
      </c>
      <c r="G48" s="15">
        <f>HYPERLINK("https://www.tradingview.com/chart/?symbol=NSE:THERMAX","Chart 📈")</f>
        <v/>
      </c>
    </row>
    <row r="49" ht="16" customHeight="1">
      <c r="A49" s="16" t="inlineStr">
        <is>
          <t>NIFTY ENERGY</t>
        </is>
      </c>
      <c r="B49" s="13" t="inlineStr">
        <is>
          <t>TRITURBINE</t>
        </is>
      </c>
      <c r="C49" s="14" t="n">
        <v>705.6</v>
      </c>
      <c r="D49" s="14" t="n">
        <v>592.21</v>
      </c>
      <c r="E49" s="14" t="n">
        <v>548.38</v>
      </c>
      <c r="F49" s="14" t="n">
        <v>530.29</v>
      </c>
      <c r="G49" s="15">
        <f>HYPERLINK("https://www.tradingview.com/chart/?symbol=NSE:TRITURBINE","Chart 📈")</f>
        <v/>
      </c>
    </row>
    <row r="50" ht="16" customHeight="1">
      <c r="A50" s="8" t="inlineStr">
        <is>
          <t>NIFTY FMCG</t>
        </is>
      </c>
      <c r="B50" s="17" t="inlineStr">
        <is>
          <t>BALRAMCHIN</t>
        </is>
      </c>
      <c r="C50" s="18" t="n">
        <v>537.45</v>
      </c>
      <c r="D50" s="18" t="n">
        <v>528.83</v>
      </c>
      <c r="E50" s="18" t="n">
        <v>508.97</v>
      </c>
      <c r="F50" s="18" t="n">
        <v>494.16</v>
      </c>
      <c r="G50" s="19">
        <f>HYPERLINK("https://www.tradingview.com/chart/?symbol=NSE:BALRAMCHIN","Chart 📈")</f>
        <v/>
      </c>
    </row>
    <row r="51" ht="16" customHeight="1">
      <c r="A51" s="20" t="inlineStr">
        <is>
          <t>NIFTY FMCG</t>
        </is>
      </c>
      <c r="B51" s="17" t="inlineStr">
        <is>
          <t>MARICO</t>
        </is>
      </c>
      <c r="C51" s="18" t="n">
        <v>831.85</v>
      </c>
      <c r="D51" s="18" t="n">
        <v>815.54</v>
      </c>
      <c r="E51" s="18" t="n">
        <v>791.14</v>
      </c>
      <c r="F51" s="18" t="n">
        <v>753.71</v>
      </c>
      <c r="G51" s="19">
        <f>HYPERLINK("https://www.tradingview.com/chart/?symbol=NSE:MARICO","Chart 📈")</f>
        <v/>
      </c>
    </row>
    <row r="52" ht="16" customHeight="1">
      <c r="A52" s="20" t="inlineStr">
        <is>
          <t>NIFTY FMCG</t>
        </is>
      </c>
      <c r="B52" s="17" t="inlineStr">
        <is>
          <t>RADICO</t>
        </is>
      </c>
      <c r="C52" s="18" t="n">
        <v>3571.9</v>
      </c>
      <c r="D52" s="18" t="n">
        <v>3405.92</v>
      </c>
      <c r="E52" s="18" t="n">
        <v>3189.03</v>
      </c>
      <c r="F52" s="18" t="n">
        <v>2965.57</v>
      </c>
      <c r="G52" s="19">
        <f>HYPERLINK("https://www.tradingview.com/chart/?symbol=NSE:RADICO","Chart 📈")</f>
        <v/>
      </c>
    </row>
    <row r="53" ht="16" customHeight="1">
      <c r="A53" s="20" t="inlineStr">
        <is>
          <t>NIFTY FMCG</t>
        </is>
      </c>
      <c r="B53" s="17" t="inlineStr">
        <is>
          <t>TATACONSUM</t>
        </is>
      </c>
      <c r="C53" s="18" t="n">
        <v>1194.9</v>
      </c>
      <c r="D53" s="18" t="n">
        <v>1190.33</v>
      </c>
      <c r="E53" s="18" t="n">
        <v>1156.59</v>
      </c>
      <c r="F53" s="18" t="n">
        <v>1138.67</v>
      </c>
      <c r="G53" s="19">
        <f>HYPERLINK("https://www.tradingview.com/chart/?symbol=NSE:TATACONSUM","Chart 📈")</f>
        <v/>
      </c>
    </row>
    <row r="54" ht="16" customHeight="1">
      <c r="A54" s="20" t="inlineStr">
        <is>
          <t>NIFTY FMCG</t>
        </is>
      </c>
      <c r="B54" s="17" t="inlineStr">
        <is>
          <t>VBL</t>
        </is>
      </c>
      <c r="C54" s="18" t="n">
        <v>519.85</v>
      </c>
      <c r="D54" s="18" t="n">
        <v>500.11</v>
      </c>
      <c r="E54" s="18" t="n">
        <v>477.91</v>
      </c>
      <c r="F54" s="18" t="n">
        <v>467.71</v>
      </c>
      <c r="G54" s="19">
        <f>HYPERLINK("https://www.tradingview.com/chart/?symbol=NSE:VBL","Chart 📈")</f>
        <v/>
      </c>
    </row>
    <row r="55" ht="16" customHeight="1">
      <c r="A55" s="12" t="inlineStr">
        <is>
          <t>NIFTY OIL &amp; GAS</t>
        </is>
      </c>
      <c r="B55" s="13" t="inlineStr">
        <is>
          <t>AEGISLOG</t>
        </is>
      </c>
      <c r="C55" s="14" t="n">
        <v>727.85</v>
      </c>
      <c r="D55" s="14" t="n">
        <v>692.54</v>
      </c>
      <c r="E55" s="14" t="n">
        <v>681.8099999999999</v>
      </c>
      <c r="F55" s="14" t="n">
        <v>719.65</v>
      </c>
      <c r="G55" s="15">
        <f>HYPERLINK("https://www.tradingview.com/chart/?symbol=NSE:AEGISLOG","Chart 📈")</f>
        <v/>
      </c>
    </row>
    <row r="56" ht="16" customHeight="1">
      <c r="A56" s="16" t="inlineStr">
        <is>
          <t>NIFTY OIL &amp; GAS</t>
        </is>
      </c>
      <c r="B56" s="13" t="inlineStr">
        <is>
          <t>ATGL</t>
        </is>
      </c>
      <c r="C56" s="14" t="n">
        <v>638.1</v>
      </c>
      <c r="D56" s="14" t="n">
        <v>618.04</v>
      </c>
      <c r="E56" s="14" t="n">
        <v>595.2</v>
      </c>
      <c r="F56" s="14" t="n">
        <v>591.4400000000001</v>
      </c>
      <c r="G56" s="15">
        <f>HYPERLINK("https://www.tradingview.com/chart/?symbol=NSE:ATGL","Chart 📈")</f>
        <v/>
      </c>
    </row>
    <row r="57" ht="16" customHeight="1">
      <c r="A57" s="16" t="inlineStr">
        <is>
          <t>NIFTY OIL &amp; GAS</t>
        </is>
      </c>
      <c r="B57" s="13" t="inlineStr">
        <is>
          <t>OIL</t>
        </is>
      </c>
      <c r="C57" s="14" t="n">
        <v>503.5</v>
      </c>
      <c r="D57" s="14" t="n">
        <v>489.93</v>
      </c>
      <c r="E57" s="14" t="n">
        <v>479.3</v>
      </c>
      <c r="F57" s="14" t="n">
        <v>448.88</v>
      </c>
      <c r="G57" s="15">
        <f>HYPERLINK("https://www.tradingview.com/chart/?symbol=NSE:OIL","Chart 📈")</f>
        <v/>
      </c>
    </row>
    <row r="58" ht="16" customHeight="1">
      <c r="A58" s="16" t="inlineStr">
        <is>
          <t>NIFTY OIL &amp; GAS</t>
        </is>
      </c>
      <c r="B58" s="13" t="inlineStr">
        <is>
          <t>ONGC</t>
        </is>
      </c>
      <c r="C58" s="14" t="n">
        <v>295.85</v>
      </c>
      <c r="D58" s="14" t="n">
        <v>292.49</v>
      </c>
      <c r="E58" s="14" t="n">
        <v>284.49</v>
      </c>
      <c r="F58" s="14" t="n">
        <v>259.02</v>
      </c>
      <c r="G58" s="15">
        <f>HYPERLINK("https://www.tradingview.com/chart/?symbol=NSE:ONGC","Chart 📈")</f>
        <v/>
      </c>
    </row>
    <row r="59" ht="16" customHeight="1">
      <c r="A59" s="8" t="inlineStr">
        <is>
          <t>NIFTY MEDIA</t>
        </is>
      </c>
      <c r="B59" s="17" t="inlineStr">
        <is>
          <t>NAZARA</t>
        </is>
      </c>
      <c r="C59" s="18" t="n">
        <v>285.2</v>
      </c>
      <c r="D59" s="18" t="n">
        <v>276.22</v>
      </c>
      <c r="E59" s="18" t="n">
        <v>266.75</v>
      </c>
      <c r="F59" s="18" t="n">
        <v>273.46</v>
      </c>
      <c r="G59" s="19">
        <f>HYPERLINK("https://www.tradingview.com/chart/?symbol=NSE:NAZARA","Chart 📈")</f>
        <v/>
      </c>
    </row>
    <row r="60" ht="16" customHeight="1">
      <c r="A60" s="20" t="inlineStr">
        <is>
          <t>NIFTY MEDIA</t>
        </is>
      </c>
      <c r="B60" s="17" t="inlineStr">
        <is>
          <t>SAREGAMA</t>
        </is>
      </c>
      <c r="C60" s="18" t="n">
        <v>406.4</v>
      </c>
      <c r="D60" s="18" t="n">
        <v>369.48</v>
      </c>
      <c r="E60" s="18" t="n">
        <v>354.61</v>
      </c>
      <c r="F60" s="18" t="n">
        <v>389.07</v>
      </c>
      <c r="G60" s="19">
        <f>HYPERLINK("https://www.tradingview.com/chart/?symbol=NSE:SAREGAMA","Chart 📈")</f>
        <v/>
      </c>
    </row>
    <row r="61" ht="16" customHeight="1">
      <c r="A61" s="20" t="inlineStr">
        <is>
          <t>NIFTY MEDIA</t>
        </is>
      </c>
      <c r="B61" s="17" t="inlineStr">
        <is>
          <t>TIPSMUSIC</t>
        </is>
      </c>
      <c r="C61" s="18" t="n">
        <v>658.85</v>
      </c>
      <c r="D61" s="18" t="n">
        <v>637.6900000000001</v>
      </c>
      <c r="E61" s="18" t="n">
        <v>602.46</v>
      </c>
      <c r="F61" s="18" t="n">
        <v>572.89</v>
      </c>
      <c r="G61" s="19">
        <f>HYPERLINK("https://www.tradingview.com/chart/?symbol=NSE:TIPSMUSIC","Chart 📈")</f>
        <v/>
      </c>
    </row>
    <row r="62" ht="16" customHeight="1">
      <c r="A62" s="12" t="inlineStr">
        <is>
          <t>NIFTY AUTO</t>
        </is>
      </c>
      <c r="B62" s="13" t="inlineStr">
        <is>
          <t>BAJAJ-AUTO</t>
        </is>
      </c>
      <c r="C62" s="14" t="n">
        <v>10667</v>
      </c>
      <c r="D62" s="14" t="n">
        <v>10208.62</v>
      </c>
      <c r="E62" s="14" t="n">
        <v>9882.200000000001</v>
      </c>
      <c r="F62" s="14" t="n">
        <v>9332.639999999999</v>
      </c>
      <c r="G62" s="15">
        <f>HYPERLINK("https://www.tradingview.com/chart/?symbol=NSE:BAJAJ-AUTO","Chart 📈")</f>
        <v/>
      </c>
    </row>
    <row r="63" ht="16" customHeight="1">
      <c r="A63" s="16" t="inlineStr">
        <is>
          <t>NIFTY AUTO</t>
        </is>
      </c>
      <c r="B63" s="13" t="inlineStr">
        <is>
          <t>BHARATFORG</t>
        </is>
      </c>
      <c r="C63" s="14" t="n">
        <v>1898.8</v>
      </c>
      <c r="D63" s="14" t="n">
        <v>1894.66</v>
      </c>
      <c r="E63" s="14" t="n">
        <v>1831.34</v>
      </c>
      <c r="F63" s="14" t="n">
        <v>1574.95</v>
      </c>
      <c r="G63" s="15">
        <f>HYPERLINK("https://www.tradingview.com/chart/?symbol=NSE:BHARATFORG","Chart 📈")</f>
        <v/>
      </c>
    </row>
    <row r="64" ht="16" customHeight="1">
      <c r="A64" s="16" t="inlineStr">
        <is>
          <t>NIFTY AUTO</t>
        </is>
      </c>
      <c r="B64" s="13" t="inlineStr">
        <is>
          <t>MOTHERSON</t>
        </is>
      </c>
      <c r="C64" s="14" t="n">
        <v>137</v>
      </c>
      <c r="D64" s="14" t="n">
        <v>127.69</v>
      </c>
      <c r="E64" s="14" t="n">
        <v>123.89</v>
      </c>
      <c r="F64" s="14" t="n">
        <v>115.38</v>
      </c>
      <c r="G64" s="15">
        <f>HYPERLINK("https://www.tradingview.com/chart/?symbol=NSE:MOTHERSON","Chart 📈")</f>
        <v/>
      </c>
    </row>
    <row r="65" ht="16" customHeight="1">
      <c r="A65" s="8" t="inlineStr">
        <is>
          <t>NIFTY CONSUMER DURABLES</t>
        </is>
      </c>
      <c r="B65" s="17" t="inlineStr">
        <is>
          <t>CERA</t>
        </is>
      </c>
      <c r="C65" s="18" t="n">
        <v>5788</v>
      </c>
      <c r="D65" s="18" t="n">
        <v>5577.3</v>
      </c>
      <c r="E65" s="18" t="n">
        <v>5339.54</v>
      </c>
      <c r="F65" s="18" t="n">
        <v>5513.89</v>
      </c>
      <c r="G65" s="19">
        <f>HYPERLINK("https://www.tradingview.com/chart/?symbol=NSE:CERA","Chart 📈")</f>
        <v/>
      </c>
    </row>
    <row r="66" ht="16" customHeight="1">
      <c r="A66" s="20" t="inlineStr">
        <is>
          <t>NIFTY CONSUMER DURABLES</t>
        </is>
      </c>
      <c r="B66" s="17" t="inlineStr">
        <is>
          <t>CROMPTON</t>
        </is>
      </c>
      <c r="C66" s="18" t="n">
        <v>291.85</v>
      </c>
      <c r="D66" s="18" t="n">
        <v>282.06</v>
      </c>
      <c r="E66" s="18" t="n">
        <v>268.34</v>
      </c>
      <c r="F66" s="18" t="n">
        <v>276.4</v>
      </c>
      <c r="G66" s="19">
        <f>HYPERLINK("https://www.tradingview.com/chart/?symbol=NSE:CROMPTON","Chart 📈")</f>
        <v/>
      </c>
    </row>
    <row r="67" ht="16" customHeight="1">
      <c r="A67" s="12" t="inlineStr">
        <is>
          <t>NIFTY BANK</t>
        </is>
      </c>
      <c r="B67" s="13" t="inlineStr">
        <is>
          <t>INDUSINDBK</t>
        </is>
      </c>
      <c r="C67" s="14" t="n">
        <v>899.95</v>
      </c>
      <c r="D67" s="14" t="n">
        <v>896.12</v>
      </c>
      <c r="E67" s="14" t="n">
        <v>882.16</v>
      </c>
      <c r="F67" s="14" t="n">
        <v>851.72</v>
      </c>
      <c r="G67" s="15">
        <f>HYPERLINK("https://www.tradingview.com/chart/?symbol=NSE:INDUSINDBK","Chart 📈")</f>
        <v/>
      </c>
    </row>
    <row r="68" ht="16" customHeight="1">
      <c r="A68" s="8" t="inlineStr">
        <is>
          <t>NIFTY FINANCIAL SERVICES</t>
        </is>
      </c>
      <c r="B68" s="17" t="inlineStr">
        <is>
          <t>HDFCAMC</t>
        </is>
      </c>
      <c r="C68" s="18" t="n">
        <v>2727.9</v>
      </c>
      <c r="D68" s="18" t="n">
        <v>2698.34</v>
      </c>
      <c r="E68" s="18" t="n">
        <v>2655.2</v>
      </c>
      <c r="F68" s="18" t="n">
        <v>2625.26</v>
      </c>
      <c r="G68" s="19">
        <f>HYPERLINK("https://www.tradingview.com/chart/?symbol=NSE:HDFCAMC","Chart 📈")</f>
        <v/>
      </c>
    </row>
    <row r="69" ht="16" customHeight="1">
      <c r="A69" s="20" t="inlineStr">
        <is>
          <t>NIFTY FINANCIAL SERVICES</t>
        </is>
      </c>
      <c r="B69" s="17" t="inlineStr">
        <is>
          <t>MCX</t>
        </is>
      </c>
      <c r="C69" s="18" t="n">
        <v>3322.8</v>
      </c>
      <c r="D69" s="18" t="n">
        <v>3143.65</v>
      </c>
      <c r="E69" s="18" t="n">
        <v>2881.85</v>
      </c>
      <c r="F69" s="18" t="n">
        <v>2298.23</v>
      </c>
      <c r="G69" s="19">
        <f>HYPERLINK("https://www.tradingview.com/chart/?symbol=NSE:MCX","Chart 📈")</f>
        <v/>
      </c>
    </row>
    <row r="70" ht="16" customHeight="1">
      <c r="A70" s="12" t="inlineStr">
        <is>
          <t>NIFTY PSU BANK</t>
        </is>
      </c>
      <c r="B70" s="13" t="inlineStr">
        <is>
          <t>MAHABANK</t>
        </is>
      </c>
      <c r="C70" s="14" t="n">
        <v>79.76000000000001</v>
      </c>
      <c r="D70" s="14" t="n">
        <v>78.53</v>
      </c>
      <c r="E70" s="14" t="n">
        <v>74.65000000000001</v>
      </c>
      <c r="F70" s="14" t="n">
        <v>64.81999999999999</v>
      </c>
      <c r="G70" s="15">
        <f>HYPERLINK("https://www.tradingview.com/chart/?symbol=NSE:MAHABANK","Chart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2026-05-21T14:27:27Z</dcterms:created>
  <dcterms:modified xsi:type="dcterms:W3CDTF">2026-05-21T14:27:27Z</dcterms:modified>
</cp:coreProperties>
</file>