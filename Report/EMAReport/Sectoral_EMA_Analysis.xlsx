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15-Jun-2026  16:29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12</v>
      </c>
      <c r="D4" s="5" t="n">
        <v>10</v>
      </c>
      <c r="E4" s="5" t="n">
        <v>7</v>
      </c>
      <c r="F4" s="6" t="n">
        <v>1</v>
      </c>
      <c r="G4" s="6" t="n">
        <v>0.833</v>
      </c>
      <c r="H4" s="6" t="n">
        <v>0.583</v>
      </c>
      <c r="I4" s="7" t="n">
        <v>0.8053</v>
      </c>
    </row>
    <row r="5" ht="17" customHeight="1">
      <c r="A5" s="8" t="inlineStr">
        <is>
          <t>NIFTY AUTO</t>
        </is>
      </c>
      <c r="B5" s="9" t="n">
        <v>15</v>
      </c>
      <c r="C5" s="9" t="n">
        <v>14</v>
      </c>
      <c r="D5" s="9" t="n">
        <v>11</v>
      </c>
      <c r="E5" s="9" t="n">
        <v>8</v>
      </c>
      <c r="F5" s="10" t="n">
        <v>0.9329999999999999</v>
      </c>
      <c r="G5" s="10" t="n">
        <v>0.733</v>
      </c>
      <c r="H5" s="10" t="n">
        <v>0.5329999999999999</v>
      </c>
      <c r="I5" s="11" t="n">
        <v>0.733</v>
      </c>
    </row>
    <row r="6" ht="17" customHeight="1">
      <c r="A6" s="4" t="inlineStr">
        <is>
          <t>NIFTY REALTY</t>
        </is>
      </c>
      <c r="B6" s="5" t="n">
        <v>10</v>
      </c>
      <c r="C6" s="5" t="n">
        <v>10</v>
      </c>
      <c r="D6" s="5" t="n">
        <v>8</v>
      </c>
      <c r="E6" s="5" t="n">
        <v>3</v>
      </c>
      <c r="F6" s="6" t="n">
        <v>1</v>
      </c>
      <c r="G6" s="6" t="n">
        <v>0.8</v>
      </c>
      <c r="H6" s="6" t="n">
        <v>0.3</v>
      </c>
      <c r="I6" s="7" t="n">
        <v>0.7</v>
      </c>
    </row>
    <row r="7" ht="17" customHeight="1">
      <c r="A7" s="8" t="inlineStr">
        <is>
          <t>NIFTY PHARMA</t>
        </is>
      </c>
      <c r="B7" s="9" t="n">
        <v>20</v>
      </c>
      <c r="C7" s="9" t="n">
        <v>9</v>
      </c>
      <c r="D7" s="9" t="n">
        <v>13</v>
      </c>
      <c r="E7" s="9" t="n">
        <v>16</v>
      </c>
      <c r="F7" s="10" t="n">
        <v>0.45</v>
      </c>
      <c r="G7" s="10" t="n">
        <v>0.65</v>
      </c>
      <c r="H7" s="10" t="n">
        <v>0.8</v>
      </c>
      <c r="I7" s="11" t="n">
        <v>0.6333</v>
      </c>
    </row>
    <row r="8" ht="17" customHeight="1">
      <c r="A8" s="4" t="inlineStr">
        <is>
          <t>NIFTY OIL &amp; GAS</t>
        </is>
      </c>
      <c r="B8" s="5" t="n">
        <v>15</v>
      </c>
      <c r="C8" s="5" t="n">
        <v>11</v>
      </c>
      <c r="D8" s="5" t="n">
        <v>11</v>
      </c>
      <c r="E8" s="5" t="n">
        <v>5</v>
      </c>
      <c r="F8" s="6" t="n">
        <v>0.733</v>
      </c>
      <c r="G8" s="6" t="n">
        <v>0.733</v>
      </c>
      <c r="H8" s="6" t="n">
        <v>0.333</v>
      </c>
      <c r="I8" s="7" t="n">
        <v>0.5997</v>
      </c>
    </row>
    <row r="9" ht="17" customHeight="1">
      <c r="A9" s="8" t="inlineStr">
        <is>
          <t>NIFTY MEDIA</t>
        </is>
      </c>
      <c r="B9" s="9" t="n">
        <v>10</v>
      </c>
      <c r="C9" s="9" t="n">
        <v>6</v>
      </c>
      <c r="D9" s="9" t="n">
        <v>7</v>
      </c>
      <c r="E9" s="9" t="n">
        <v>4</v>
      </c>
      <c r="F9" s="10" t="n">
        <v>0.6</v>
      </c>
      <c r="G9" s="10" t="n">
        <v>0.7</v>
      </c>
      <c r="H9" s="10" t="n">
        <v>0.4</v>
      </c>
      <c r="I9" s="11" t="n">
        <v>0.5667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12</v>
      </c>
      <c r="D10" s="5" t="n">
        <v>9</v>
      </c>
      <c r="E10" s="5" t="n">
        <v>9</v>
      </c>
      <c r="F10" s="6" t="n">
        <v>0.6</v>
      </c>
      <c r="G10" s="6" t="n">
        <v>0.45</v>
      </c>
      <c r="H10" s="6" t="n">
        <v>0.45</v>
      </c>
      <c r="I10" s="7" t="n">
        <v>0.5</v>
      </c>
    </row>
    <row r="11" ht="17" customHeight="1">
      <c r="A11" s="8" t="inlineStr">
        <is>
          <t>NIFTY MIDSMALL IT &amp; TELECOM</t>
        </is>
      </c>
      <c r="B11" s="9" t="n">
        <v>20</v>
      </c>
      <c r="C11" s="9" t="n">
        <v>13</v>
      </c>
      <c r="D11" s="9" t="n">
        <v>11</v>
      </c>
      <c r="E11" s="9" t="n">
        <v>6</v>
      </c>
      <c r="F11" s="10" t="n">
        <v>0.65</v>
      </c>
      <c r="G11" s="10" t="n">
        <v>0.55</v>
      </c>
      <c r="H11" s="10" t="n">
        <v>0.3</v>
      </c>
      <c r="I11" s="11" t="n">
        <v>0.5</v>
      </c>
    </row>
    <row r="12" ht="17" customHeight="1">
      <c r="A12" s="4" t="inlineStr">
        <is>
          <t>NIFTY METAL</t>
        </is>
      </c>
      <c r="B12" s="5" t="n">
        <v>15</v>
      </c>
      <c r="C12" s="5" t="n">
        <v>6</v>
      </c>
      <c r="D12" s="5" t="n">
        <v>4</v>
      </c>
      <c r="E12" s="5" t="n">
        <v>12</v>
      </c>
      <c r="F12" s="6" t="n">
        <v>0.4</v>
      </c>
      <c r="G12" s="6" t="n">
        <v>0.267</v>
      </c>
      <c r="H12" s="6" t="n">
        <v>0.8</v>
      </c>
      <c r="I12" s="7" t="n">
        <v>0.489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8</v>
      </c>
      <c r="D13" s="9" t="n">
        <v>7</v>
      </c>
      <c r="E13" s="9" t="n">
        <v>4</v>
      </c>
      <c r="F13" s="10" t="n">
        <v>0.5329999999999999</v>
      </c>
      <c r="G13" s="10" t="n">
        <v>0.467</v>
      </c>
      <c r="H13" s="10" t="n">
        <v>0.267</v>
      </c>
      <c r="I13" s="11" t="n">
        <v>0.4223</v>
      </c>
    </row>
    <row r="14" ht="17" customHeight="1">
      <c r="A14" s="4" t="inlineStr">
        <is>
          <t>NIFTY FMCG</t>
        </is>
      </c>
      <c r="B14" s="5" t="n">
        <v>15</v>
      </c>
      <c r="C14" s="5" t="n">
        <v>8</v>
      </c>
      <c r="D14" s="5" t="n">
        <v>5</v>
      </c>
      <c r="E14" s="5" t="n">
        <v>5</v>
      </c>
      <c r="F14" s="6" t="n">
        <v>0.5329999999999999</v>
      </c>
      <c r="G14" s="6" t="n">
        <v>0.333</v>
      </c>
      <c r="H14" s="6" t="n">
        <v>0.333</v>
      </c>
      <c r="I14" s="7" t="n">
        <v>0.3997</v>
      </c>
    </row>
    <row r="15" ht="17" customHeight="1">
      <c r="A15" s="8" t="inlineStr">
        <is>
          <t>NIFTY ENERGY</t>
        </is>
      </c>
      <c r="B15" s="9" t="n">
        <v>40</v>
      </c>
      <c r="C15" s="9" t="n">
        <v>10</v>
      </c>
      <c r="D15" s="9" t="n">
        <v>14</v>
      </c>
      <c r="E15" s="9" t="n">
        <v>19</v>
      </c>
      <c r="F15" s="10" t="n">
        <v>0.25</v>
      </c>
      <c r="G15" s="10" t="n">
        <v>0.35</v>
      </c>
      <c r="H15" s="10" t="n">
        <v>0.475</v>
      </c>
      <c r="I15" s="11" t="n">
        <v>0.3583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276.05</v>
      </c>
      <c r="D3" s="14" t="n">
        <v>264.72</v>
      </c>
      <c r="E3" s="14" t="n">
        <v>264.43</v>
      </c>
      <c r="F3" s="14" t="n">
        <v>264.81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146.23</v>
      </c>
      <c r="D4" s="14" t="n">
        <v>141.44</v>
      </c>
      <c r="E4" s="14" t="n">
        <v>141.44</v>
      </c>
      <c r="F4" s="14" t="n">
        <v>138.04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132.2</v>
      </c>
      <c r="D5" s="14" t="n">
        <v>128.95</v>
      </c>
      <c r="E5" s="14" t="n">
        <v>130.29</v>
      </c>
      <c r="F5" s="14" t="n">
        <v>130.32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849.6</v>
      </c>
      <c r="D6" s="14" t="n">
        <v>829.13</v>
      </c>
      <c r="E6" s="14" t="n">
        <v>839.65</v>
      </c>
      <c r="F6" s="14" t="n">
        <v>810.3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MAHABANK</t>
        </is>
      </c>
      <c r="C7" s="14" t="n">
        <v>89.12</v>
      </c>
      <c r="D7" s="14" t="n">
        <v>81.23</v>
      </c>
      <c r="E7" s="14" t="n">
        <v>77.31999999999999</v>
      </c>
      <c r="F7" s="14" t="n">
        <v>66.73</v>
      </c>
      <c r="G7" s="15">
        <f>HYPERLINK("https://www.tradingview.com/chart/?symbol=NSE:MAHABANK","Chart 📈")</f>
        <v/>
      </c>
    </row>
    <row r="8" ht="16" customHeight="1">
      <c r="A8" s="16" t="inlineStr">
        <is>
          <t>NIFTY PSU BANK</t>
        </is>
      </c>
      <c r="B8" s="13" t="inlineStr">
        <is>
          <t>SBIN</t>
        </is>
      </c>
      <c r="C8" s="14" t="n">
        <v>1020.85</v>
      </c>
      <c r="D8" s="14" t="n">
        <v>989.9299999999999</v>
      </c>
      <c r="E8" s="14" t="n">
        <v>1004.9</v>
      </c>
      <c r="F8" s="14" t="n">
        <v>976.24</v>
      </c>
      <c r="G8" s="15">
        <f>HYPERLINK("https://www.tradingview.com/chart/?symbol=NSE:SBIN","Chart 📈")</f>
        <v/>
      </c>
    </row>
    <row r="9" ht="16" customHeight="1">
      <c r="A9" s="16" t="inlineStr">
        <is>
          <t>NIFTY PSU BANK</t>
        </is>
      </c>
      <c r="B9" s="13" t="inlineStr">
        <is>
          <t>UNIONBANK</t>
        </is>
      </c>
      <c r="C9" s="14" t="n">
        <v>171.3</v>
      </c>
      <c r="D9" s="14" t="n">
        <v>167.05</v>
      </c>
      <c r="E9" s="14" t="n">
        <v>169.37</v>
      </c>
      <c r="F9" s="14" t="n">
        <v>164.03</v>
      </c>
      <c r="G9" s="15">
        <f>HYPERLINK("https://www.tradingview.com/chart/?symbol=NSE:UNIONBANK","Chart 📈")</f>
        <v/>
      </c>
    </row>
    <row r="10" ht="16" customHeight="1">
      <c r="A10" s="8" t="inlineStr">
        <is>
          <t>NIFTY AUTO</t>
        </is>
      </c>
      <c r="B10" s="17" t="inlineStr">
        <is>
          <t>ASHOKLEY</t>
        </is>
      </c>
      <c r="C10" s="18" t="n">
        <v>157.7</v>
      </c>
      <c r="D10" s="18" t="n">
        <v>150.12</v>
      </c>
      <c r="E10" s="18" t="n">
        <v>157.19</v>
      </c>
      <c r="F10" s="18" t="n">
        <v>157.65</v>
      </c>
      <c r="G10" s="19">
        <f>HYPERLINK("https://www.tradingview.com/chart/?symbol=NSE:ASHOKLEY","Chart 📈")</f>
        <v/>
      </c>
    </row>
    <row r="11" ht="16" customHeight="1">
      <c r="A11" s="20" t="inlineStr">
        <is>
          <t>NIFTY AUTO</t>
        </is>
      </c>
      <c r="B11" s="17" t="inlineStr">
        <is>
          <t>BHARATFORG</t>
        </is>
      </c>
      <c r="C11" s="18" t="n">
        <v>2020.5</v>
      </c>
      <c r="D11" s="18" t="n">
        <v>1933.2</v>
      </c>
      <c r="E11" s="18" t="n">
        <v>1883.59</v>
      </c>
      <c r="F11" s="18" t="n">
        <v>1638.32</v>
      </c>
      <c r="G11" s="19">
        <f>HYPERLINK("https://www.tradingview.com/chart/?symbol=NSE:BHARATFORG","Chart 📈")</f>
        <v/>
      </c>
    </row>
    <row r="12" ht="16" customHeight="1">
      <c r="A12" s="20" t="inlineStr">
        <is>
          <t>NIFTY AUTO</t>
        </is>
      </c>
      <c r="B12" s="17" t="inlineStr">
        <is>
          <t>BOSCHLTD</t>
        </is>
      </c>
      <c r="C12" s="18" t="n">
        <v>39070</v>
      </c>
      <c r="D12" s="18" t="n">
        <v>37346.66</v>
      </c>
      <c r="E12" s="18" t="n">
        <v>36540.06</v>
      </c>
      <c r="F12" s="18" t="n">
        <v>35881.72</v>
      </c>
      <c r="G12" s="19">
        <f>HYPERLINK("https://www.tradingview.com/chart/?symbol=NSE:BOSCHLTD","Chart 📈")</f>
        <v/>
      </c>
    </row>
    <row r="13" ht="16" customHeight="1">
      <c r="A13" s="20" t="inlineStr">
        <is>
          <t>NIFTY AUTO</t>
        </is>
      </c>
      <c r="B13" s="17" t="inlineStr">
        <is>
          <t>EICHERMOT</t>
        </is>
      </c>
      <c r="C13" s="18" t="n">
        <v>7624.5</v>
      </c>
      <c r="D13" s="18" t="n">
        <v>7210.92</v>
      </c>
      <c r="E13" s="18" t="n">
        <v>7179.99</v>
      </c>
      <c r="F13" s="18" t="n">
        <v>6935.76</v>
      </c>
      <c r="G13" s="19">
        <f>HYPERLINK("https://www.tradingview.com/chart/?symbol=NSE:EICHERMOT","Chart 📈")</f>
        <v/>
      </c>
    </row>
    <row r="14" ht="16" customHeight="1">
      <c r="A14" s="20" t="inlineStr">
        <is>
          <t>NIFTY AUTO</t>
        </is>
      </c>
      <c r="B14" s="17" t="inlineStr">
        <is>
          <t>EXIDEIND</t>
        </is>
      </c>
      <c r="C14" s="18" t="n">
        <v>394.85</v>
      </c>
      <c r="D14" s="18" t="n">
        <v>381.84</v>
      </c>
      <c r="E14" s="18" t="n">
        <v>363.15</v>
      </c>
      <c r="F14" s="18" t="n">
        <v>358.05</v>
      </c>
      <c r="G14" s="19">
        <f>HYPERLINK("https://www.tradingview.com/chart/?symbol=NSE:EXIDEIND","Chart 📈")</f>
        <v/>
      </c>
    </row>
    <row r="15" ht="16" customHeight="1">
      <c r="A15" s="20" t="inlineStr">
        <is>
          <t>NIFTY AUTO</t>
        </is>
      </c>
      <c r="B15" s="17" t="inlineStr">
        <is>
          <t>MOTHERSON</t>
        </is>
      </c>
      <c r="C15" s="18" t="n">
        <v>148.12</v>
      </c>
      <c r="D15" s="18" t="n">
        <v>140.17</v>
      </c>
      <c r="E15" s="18" t="n">
        <v>133.07</v>
      </c>
      <c r="F15" s="18" t="n">
        <v>119.8</v>
      </c>
      <c r="G15" s="19">
        <f>HYPERLINK("https://www.tradingview.com/chart/?symbol=NSE:MOTHERSON","Chart 📈")</f>
        <v/>
      </c>
    </row>
    <row r="16" ht="16" customHeight="1">
      <c r="A16" s="12" t="inlineStr">
        <is>
          <t>NIFTY REALTY</t>
        </is>
      </c>
      <c r="B16" s="13" t="inlineStr">
        <is>
          <t>OBEROIRLTY</t>
        </is>
      </c>
      <c r="C16" s="14" t="n">
        <v>1669.4</v>
      </c>
      <c r="D16" s="14" t="n">
        <v>1640.05</v>
      </c>
      <c r="E16" s="14" t="n">
        <v>1631.63</v>
      </c>
      <c r="F16" s="14" t="n">
        <v>1646.58</v>
      </c>
      <c r="G16" s="15">
        <f>HYPERLINK("https://www.tradingview.com/chart/?symbol=NSE:OBEROIRLTY","Chart 📈")</f>
        <v/>
      </c>
    </row>
    <row r="17" ht="16" customHeight="1">
      <c r="A17" s="16" t="inlineStr">
        <is>
          <t>NIFTY REALTY</t>
        </is>
      </c>
      <c r="B17" s="13" t="inlineStr">
        <is>
          <t>PHOENIXLTD</t>
        </is>
      </c>
      <c r="C17" s="14" t="n">
        <v>1846.9</v>
      </c>
      <c r="D17" s="14" t="n">
        <v>1761.29</v>
      </c>
      <c r="E17" s="14" t="n">
        <v>1745.91</v>
      </c>
      <c r="F17" s="14" t="n">
        <v>1702.22</v>
      </c>
      <c r="G17" s="15">
        <f>HYPERLINK("https://www.tradingview.com/chart/?symbol=NSE:PHOENIXLTD","Chart 📈")</f>
        <v/>
      </c>
    </row>
    <row r="18" ht="16" customHeight="1">
      <c r="A18" s="16" t="inlineStr">
        <is>
          <t>NIFTY REALTY</t>
        </is>
      </c>
      <c r="B18" s="13" t="inlineStr">
        <is>
          <t>RAYMOND</t>
        </is>
      </c>
      <c r="C18" s="14" t="n">
        <v>591.9</v>
      </c>
      <c r="D18" s="14" t="n">
        <v>534.45</v>
      </c>
      <c r="E18" s="14" t="n">
        <v>494.01</v>
      </c>
      <c r="F18" s="14" t="n">
        <v>485.38</v>
      </c>
      <c r="G18" s="15">
        <f>HYPERLINK("https://www.tradingview.com/chart/?symbol=NSE:RAYMOND","Chart 📈")</f>
        <v/>
      </c>
    </row>
    <row r="19" ht="16" customHeight="1">
      <c r="A19" s="8" t="inlineStr">
        <is>
          <t>NIFTY PHARMA</t>
        </is>
      </c>
      <c r="B19" s="17" t="inlineStr">
        <is>
          <t>AJANTPHARM</t>
        </is>
      </c>
      <c r="C19" s="18" t="n">
        <v>3054.4</v>
      </c>
      <c r="D19" s="18" t="n">
        <v>3035.57</v>
      </c>
      <c r="E19" s="18" t="n">
        <v>2989.19</v>
      </c>
      <c r="F19" s="18" t="n">
        <v>2812.07</v>
      </c>
      <c r="G19" s="19">
        <f>HYPERLINK("https://www.tradingview.com/chart/?symbol=NSE:AJANTPHARM","Chart 📈")</f>
        <v/>
      </c>
    </row>
    <row r="20" ht="16" customHeight="1">
      <c r="A20" s="20" t="inlineStr">
        <is>
          <t>NIFTY PHARMA</t>
        </is>
      </c>
      <c r="B20" s="17" t="inlineStr">
        <is>
          <t>BIOCON</t>
        </is>
      </c>
      <c r="C20" s="18" t="n">
        <v>416.05</v>
      </c>
      <c r="D20" s="18" t="n">
        <v>415.15</v>
      </c>
      <c r="E20" s="18" t="n">
        <v>401.75</v>
      </c>
      <c r="F20" s="18" t="n">
        <v>382.72</v>
      </c>
      <c r="G20" s="19">
        <f>HYPERLINK("https://www.tradingview.com/chart/?symbol=NSE:BIOCON","Chart 📈")</f>
        <v/>
      </c>
    </row>
    <row r="21" ht="16" customHeight="1">
      <c r="A21" s="20" t="inlineStr">
        <is>
          <t>NIFTY PHARMA</t>
        </is>
      </c>
      <c r="B21" s="17" t="inlineStr">
        <is>
          <t>GLAND</t>
        </is>
      </c>
      <c r="C21" s="18" t="n">
        <v>2213.1</v>
      </c>
      <c r="D21" s="18" t="n">
        <v>2212.64</v>
      </c>
      <c r="E21" s="18" t="n">
        <v>2058.7</v>
      </c>
      <c r="F21" s="18" t="n">
        <v>1878.61</v>
      </c>
      <c r="G21" s="19">
        <f>HYPERLINK("https://www.tradingview.com/chart/?symbol=NSE:GLAND","Chart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2217.8</v>
      </c>
      <c r="D22" s="18" t="n">
        <v>2179.22</v>
      </c>
      <c r="E22" s="18" t="n">
        <v>2121.37</v>
      </c>
      <c r="F22" s="18" t="n">
        <v>1943.26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1389.1</v>
      </c>
      <c r="D23" s="18" t="n">
        <v>1367.9</v>
      </c>
      <c r="E23" s="18" t="n">
        <v>1272.36</v>
      </c>
      <c r="F23" s="18" t="n">
        <v>1066.61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MANKIND</t>
        </is>
      </c>
      <c r="C24" s="18" t="n">
        <v>2380.3</v>
      </c>
      <c r="D24" s="18" t="n">
        <v>2378.15</v>
      </c>
      <c r="E24" s="18" t="n">
        <v>2324.99</v>
      </c>
      <c r="F24" s="18" t="n">
        <v>2282.08</v>
      </c>
      <c r="G24" s="19">
        <f>HYPERLINK("https://www.tradingview.com/chart/?symbol=NSE:MANKIND","Chart 📈")</f>
        <v/>
      </c>
    </row>
    <row r="25" ht="16" customHeight="1">
      <c r="A25" s="20" t="inlineStr">
        <is>
          <t>NIFTY PHARMA</t>
        </is>
      </c>
      <c r="B25" s="17" t="inlineStr">
        <is>
          <t>TORNTPHARM</t>
        </is>
      </c>
      <c r="C25" s="18" t="n">
        <v>4504</v>
      </c>
      <c r="D25" s="18" t="n">
        <v>4441.73</v>
      </c>
      <c r="E25" s="18" t="n">
        <v>4352.96</v>
      </c>
      <c r="F25" s="18" t="n">
        <v>4013.27</v>
      </c>
      <c r="G25" s="19">
        <f>HYPERLINK("https://www.tradingview.com/chart/?symbol=NSE:TORNTPHARM","Chart 📈")</f>
        <v/>
      </c>
    </row>
    <row r="26" ht="16" customHeight="1">
      <c r="A26" s="20" t="inlineStr">
        <is>
          <t>NIFTY PHARMA</t>
        </is>
      </c>
      <c r="B26" s="17" t="inlineStr">
        <is>
          <t>ZYDUSLIFE</t>
        </is>
      </c>
      <c r="C26" s="18" t="n">
        <v>1088.1</v>
      </c>
      <c r="D26" s="18" t="n">
        <v>1067.81</v>
      </c>
      <c r="E26" s="18" t="n">
        <v>1011.33</v>
      </c>
      <c r="F26" s="18" t="n">
        <v>958.98</v>
      </c>
      <c r="G26" s="19">
        <f>HYPERLINK("https://www.tradingview.com/chart/?symbol=NSE:ZYDUSLIFE","Chart 📈")</f>
        <v/>
      </c>
    </row>
    <row r="27" ht="16" customHeight="1">
      <c r="A27" s="12" t="inlineStr">
        <is>
          <t>NIFTY OIL &amp; GAS</t>
        </is>
      </c>
      <c r="B27" s="13" t="inlineStr">
        <is>
          <t>AEGISLOG</t>
        </is>
      </c>
      <c r="C27" s="14" t="n">
        <v>984.3</v>
      </c>
      <c r="D27" s="14" t="n">
        <v>797.96</v>
      </c>
      <c r="E27" s="14" t="n">
        <v>740.46</v>
      </c>
      <c r="F27" s="14" t="n">
        <v>721.9299999999999</v>
      </c>
      <c r="G27" s="15">
        <f>HYPERLINK("https://www.tradingview.com/chart/?symbol=NSE:AEGISLOG","Chart 📈")</f>
        <v/>
      </c>
    </row>
    <row r="28" ht="16" customHeight="1">
      <c r="A28" s="16" t="inlineStr">
        <is>
          <t>NIFTY OIL &amp; GAS</t>
        </is>
      </c>
      <c r="B28" s="13" t="inlineStr">
        <is>
          <t>ATGL</t>
        </is>
      </c>
      <c r="C28" s="14" t="n">
        <v>720.05</v>
      </c>
      <c r="D28" s="14" t="n">
        <v>713.3</v>
      </c>
      <c r="E28" s="14" t="n">
        <v>664.08</v>
      </c>
      <c r="F28" s="14" t="n">
        <v>613.1</v>
      </c>
      <c r="G28" s="15">
        <f>HYPERLINK("https://www.tradingview.com/chart/?symbol=NSE:ATGL","Chart 📈")</f>
        <v/>
      </c>
    </row>
    <row r="29" ht="16" customHeight="1">
      <c r="A29" s="16" t="inlineStr">
        <is>
          <t>NIFTY OIL &amp; GAS</t>
        </is>
      </c>
      <c r="B29" s="13" t="inlineStr">
        <is>
          <t>GAIL</t>
        </is>
      </c>
      <c r="C29" s="14" t="n">
        <v>175.41</v>
      </c>
      <c r="D29" s="14" t="n">
        <v>166.67</v>
      </c>
      <c r="E29" s="14" t="n">
        <v>163.17</v>
      </c>
      <c r="F29" s="14" t="n">
        <v>165.11</v>
      </c>
      <c r="G29" s="15">
        <f>HYPERLINK("https://www.tradingview.com/chart/?symbol=NSE:GAIL","Chart 📈")</f>
        <v/>
      </c>
    </row>
    <row r="30" ht="16" customHeight="1">
      <c r="A30" s="16" t="inlineStr">
        <is>
          <t>NIFTY OIL &amp; GAS</t>
        </is>
      </c>
      <c r="B30" s="13" t="inlineStr">
        <is>
          <t>GUJGASLTD</t>
        </is>
      </c>
      <c r="C30" s="14" t="n">
        <v>399.7</v>
      </c>
      <c r="D30" s="14" t="n">
        <v>387.03</v>
      </c>
      <c r="E30" s="14" t="n">
        <v>380.81</v>
      </c>
      <c r="F30" s="14" t="n">
        <v>398.71</v>
      </c>
      <c r="G30" s="15">
        <f>HYPERLINK("https://www.tradingview.com/chart/?symbol=NSE:GUJGASLTD","Chart 📈")</f>
        <v/>
      </c>
    </row>
    <row r="31" ht="16" customHeight="1">
      <c r="A31" s="16" t="inlineStr">
        <is>
          <t>NIFTY OIL &amp; GAS</t>
        </is>
      </c>
      <c r="B31" s="13" t="inlineStr">
        <is>
          <t>PETRONET</t>
        </is>
      </c>
      <c r="C31" s="14" t="n">
        <v>285.9</v>
      </c>
      <c r="D31" s="14" t="n">
        <v>269.79</v>
      </c>
      <c r="E31" s="14" t="n">
        <v>270.77</v>
      </c>
      <c r="F31" s="14" t="n">
        <v>275.26</v>
      </c>
      <c r="G31" s="15">
        <f>HYPERLINK("https://www.tradingview.com/chart/?symbol=NSE:PETRONET","Chart 📈")</f>
        <v/>
      </c>
    </row>
    <row r="32" ht="16" customHeight="1">
      <c r="A32" s="8" t="inlineStr">
        <is>
          <t>NIFTY MEDIA</t>
        </is>
      </c>
      <c r="B32" s="17" t="inlineStr">
        <is>
          <t>NAZARA</t>
        </is>
      </c>
      <c r="C32" s="18" t="n">
        <v>290.95</v>
      </c>
      <c r="D32" s="18" t="n">
        <v>279.42</v>
      </c>
      <c r="E32" s="18" t="n">
        <v>273.34</v>
      </c>
      <c r="F32" s="18" t="n">
        <v>275.3</v>
      </c>
      <c r="G32" s="19">
        <f>HYPERLINK("https://www.tradingview.com/chart/?symbol=NSE:NAZARA","Chart 📈")</f>
        <v/>
      </c>
    </row>
    <row r="33" ht="16" customHeight="1">
      <c r="A33" s="20" t="inlineStr">
        <is>
          <t>NIFTY MEDIA</t>
        </is>
      </c>
      <c r="B33" s="17" t="inlineStr">
        <is>
          <t>SAREGAMA</t>
        </is>
      </c>
      <c r="C33" s="18" t="n">
        <v>462.6</v>
      </c>
      <c r="D33" s="18" t="n">
        <v>433.46</v>
      </c>
      <c r="E33" s="18" t="n">
        <v>398.43</v>
      </c>
      <c r="F33" s="18" t="n">
        <v>397.5</v>
      </c>
      <c r="G33" s="19">
        <f>HYPERLINK("https://www.tradingview.com/chart/?symbol=NSE:SAREGAMA","Chart 📈")</f>
        <v/>
      </c>
    </row>
    <row r="34" ht="16" customHeight="1">
      <c r="A34" s="20" t="inlineStr">
        <is>
          <t>NIFTY MEDIA</t>
        </is>
      </c>
      <c r="B34" s="17" t="inlineStr">
        <is>
          <t>ZEEL</t>
        </is>
      </c>
      <c r="C34" s="18" t="n">
        <v>108.49</v>
      </c>
      <c r="D34" s="18" t="n">
        <v>100.26</v>
      </c>
      <c r="E34" s="18" t="n">
        <v>93.29000000000001</v>
      </c>
      <c r="F34" s="18" t="n">
        <v>97.03</v>
      </c>
      <c r="G34" s="19">
        <f>HYPERLINK("https://www.tradingview.com/chart/?symbol=NSE:ZEEL","Chart 📈")</f>
        <v/>
      </c>
    </row>
    <row r="35" ht="16" customHeight="1">
      <c r="A35" s="12" t="inlineStr">
        <is>
          <t>NIFTY FINANCIAL SERVICES</t>
        </is>
      </c>
      <c r="B35" s="13" t="inlineStr">
        <is>
          <t>AXISBANK</t>
        </is>
      </c>
      <c r="C35" s="14" t="n">
        <v>1368.3</v>
      </c>
      <c r="D35" s="14" t="n">
        <v>1297.21</v>
      </c>
      <c r="E35" s="14" t="n">
        <v>1290.15</v>
      </c>
      <c r="F35" s="14" t="n">
        <v>1263.64</v>
      </c>
      <c r="G35" s="15">
        <f>HYPERLINK("https://www.tradingview.com/chart/?symbol=NSE:AXISBANK","Chart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BAJFINANCE</t>
        </is>
      </c>
      <c r="C36" s="14" t="n">
        <v>942.3</v>
      </c>
      <c r="D36" s="14" t="n">
        <v>903.87</v>
      </c>
      <c r="E36" s="14" t="n">
        <v>912.1799999999999</v>
      </c>
      <c r="F36" s="14" t="n">
        <v>940.39</v>
      </c>
      <c r="G36" s="15">
        <f>HYPERLINK("https://www.tradingview.com/chart/?symbol=NSE:BAJFINANCE","Chart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CHOLAFIN</t>
        </is>
      </c>
      <c r="C37" s="14" t="n">
        <v>1653.6</v>
      </c>
      <c r="D37" s="14" t="n">
        <v>1530.75</v>
      </c>
      <c r="E37" s="14" t="n">
        <v>1547.78</v>
      </c>
      <c r="F37" s="14" t="n">
        <v>1590.66</v>
      </c>
      <c r="G37" s="15">
        <f>HYPERLINK("https://www.tradingview.com/chart/?symbol=NSE:CHOLAFIN","Chart 📈")</f>
        <v/>
      </c>
    </row>
    <row r="38" ht="16" customHeight="1">
      <c r="A38" s="16" t="inlineStr">
        <is>
          <t>NIFTY FINANCIAL SERVICES</t>
        </is>
      </c>
      <c r="B38" s="13" t="inlineStr">
        <is>
          <t>HDFCAMC</t>
        </is>
      </c>
      <c r="C38" s="14" t="n">
        <v>2622.9</v>
      </c>
      <c r="D38" s="14" t="n">
        <v>2542.3</v>
      </c>
      <c r="E38" s="14" t="n">
        <v>2568.1</v>
      </c>
      <c r="F38" s="14" t="n">
        <v>2574.69</v>
      </c>
      <c r="G38" s="15">
        <f>HYPERLINK("https://www.tradingview.com/chart/?symbol=NSE:HDFCAMC","Chart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KOTAKBANK</t>
        </is>
      </c>
      <c r="C39" s="14" t="n">
        <v>405.75</v>
      </c>
      <c r="D39" s="14" t="n">
        <v>387.13</v>
      </c>
      <c r="E39" s="14" t="n">
        <v>385.3</v>
      </c>
      <c r="F39" s="14" t="n">
        <v>401.06</v>
      </c>
      <c r="G39" s="15">
        <f>HYPERLINK("https://www.tradingview.com/chart/?symbol=NSE:KOTAKBANK","Chart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LICHSGFIN</t>
        </is>
      </c>
      <c r="C40" s="14" t="n">
        <v>553.85</v>
      </c>
      <c r="D40" s="14" t="n">
        <v>547.51</v>
      </c>
      <c r="E40" s="14" t="n">
        <v>544.04</v>
      </c>
      <c r="F40" s="14" t="n">
        <v>546.6</v>
      </c>
      <c r="G40" s="15">
        <f>HYPERLINK("https://www.tradingview.com/chart/?symbol=NSE:LICHSGFIN","Chart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SHRIRAMFIN</t>
        </is>
      </c>
      <c r="C41" s="14" t="n">
        <v>1000.65</v>
      </c>
      <c r="D41" s="14" t="n">
        <v>935.25</v>
      </c>
      <c r="E41" s="14" t="n">
        <v>951.1900000000001</v>
      </c>
      <c r="F41" s="14" t="n">
        <v>894.8099999999999</v>
      </c>
      <c r="G41" s="15">
        <f>HYPERLINK("https://www.tradingview.com/chart/?symbol=NSE:SHRIRAMFIN","Chart 📈")</f>
        <v/>
      </c>
    </row>
    <row r="42" ht="16" customHeight="1">
      <c r="A42" s="8" t="inlineStr">
        <is>
          <t>NIFTY MIDSMALL IT &amp; TELECOM</t>
        </is>
      </c>
      <c r="B42" s="17" t="inlineStr">
        <is>
          <t>HFCL</t>
        </is>
      </c>
      <c r="C42" s="18" t="n">
        <v>180.45</v>
      </c>
      <c r="D42" s="18" t="n">
        <v>168.93</v>
      </c>
      <c r="E42" s="18" t="n">
        <v>142.66</v>
      </c>
      <c r="F42" s="18" t="n">
        <v>99.47</v>
      </c>
      <c r="G42" s="19">
        <f>HYPERLINK("https://www.tradingview.com/chart/?symbol=NSE:HFCL","Chart 📈")</f>
        <v/>
      </c>
    </row>
    <row r="43" ht="16" customHeight="1">
      <c r="A43" s="20" t="inlineStr">
        <is>
          <t>NIFTY MIDSMALL IT &amp; TELECOM</t>
        </is>
      </c>
      <c r="B43" s="17" t="inlineStr">
        <is>
          <t>IDEA</t>
        </is>
      </c>
      <c r="C43" s="18" t="n">
        <v>14.95</v>
      </c>
      <c r="D43" s="18" t="n">
        <v>13.97</v>
      </c>
      <c r="E43" s="18" t="n">
        <v>12.61</v>
      </c>
      <c r="F43" s="18" t="n">
        <v>10.48</v>
      </c>
      <c r="G43" s="19">
        <f>HYPERLINK("https://www.tradingview.com/chart/?symbol=NSE:IDEA","Chart 📈")</f>
        <v/>
      </c>
    </row>
    <row r="44" ht="16" customHeight="1">
      <c r="A44" s="20" t="inlineStr">
        <is>
          <t>NIFTY MIDSMALL IT &amp; TELECOM</t>
        </is>
      </c>
      <c r="B44" s="17" t="inlineStr">
        <is>
          <t>TATACOMM</t>
        </is>
      </c>
      <c r="C44" s="18" t="n">
        <v>1933.9</v>
      </c>
      <c r="D44" s="18" t="n">
        <v>1897.76</v>
      </c>
      <c r="E44" s="18" t="n">
        <v>1768.3</v>
      </c>
      <c r="F44" s="18" t="n">
        <v>1690.27</v>
      </c>
      <c r="G44" s="19">
        <f>HYPERLINK("https://www.tradingview.com/chart/?symbol=NSE:TATACOMM","Chart 📈")</f>
        <v/>
      </c>
    </row>
    <row r="45" ht="16" customHeight="1">
      <c r="A45" s="20" t="inlineStr">
        <is>
          <t>NIFTY MIDSMALL IT &amp; TELECOM</t>
        </is>
      </c>
      <c r="B45" s="17" t="inlineStr">
        <is>
          <t>TATATECH</t>
        </is>
      </c>
      <c r="C45" s="18" t="n">
        <v>771.9</v>
      </c>
      <c r="D45" s="18" t="n">
        <v>721.65</v>
      </c>
      <c r="E45" s="18" t="n">
        <v>668.6</v>
      </c>
      <c r="F45" s="18" t="n">
        <v>652.2</v>
      </c>
      <c r="G45" s="19">
        <f>HYPERLINK("https://www.tradingview.com/chart/?symbol=NSE:TATATECH","Chart 📈")</f>
        <v/>
      </c>
    </row>
    <row r="46" ht="16" customHeight="1">
      <c r="A46" s="20" t="inlineStr">
        <is>
          <t>NIFTY MIDSMALL IT &amp; TELECOM</t>
        </is>
      </c>
      <c r="B46" s="17" t="inlineStr">
        <is>
          <t>TEJASNET</t>
        </is>
      </c>
      <c r="C46" s="18" t="n">
        <v>582.35</v>
      </c>
      <c r="D46" s="18" t="n">
        <v>535.29</v>
      </c>
      <c r="E46" s="18" t="n">
        <v>490.02</v>
      </c>
      <c r="F46" s="18" t="n">
        <v>489.57</v>
      </c>
      <c r="G46" s="19">
        <f>HYPERLINK("https://www.tradingview.com/chart/?symbol=NSE:TEJASNET","Chart 📈")</f>
        <v/>
      </c>
    </row>
    <row r="47" ht="16" customHeight="1">
      <c r="A47" s="12" t="inlineStr">
        <is>
          <t>NIFTY METAL</t>
        </is>
      </c>
      <c r="B47" s="13" t="inlineStr">
        <is>
          <t>ADANIENT</t>
        </is>
      </c>
      <c r="C47" s="14" t="n">
        <v>2942.5</v>
      </c>
      <c r="D47" s="14" t="n">
        <v>2865.63</v>
      </c>
      <c r="E47" s="14" t="n">
        <v>2634.84</v>
      </c>
      <c r="F47" s="14" t="n">
        <v>2398.07</v>
      </c>
      <c r="G47" s="15">
        <f>HYPERLINK("https://www.tradingview.com/chart/?symbol=NSE:ADANIENT","Chart 📈")</f>
        <v/>
      </c>
    </row>
    <row r="48" ht="16" customHeight="1">
      <c r="A48" s="16" t="inlineStr">
        <is>
          <t>NIFTY METAL</t>
        </is>
      </c>
      <c r="B48" s="13" t="inlineStr">
        <is>
          <t>JSWSTEEL</t>
        </is>
      </c>
      <c r="C48" s="14" t="n">
        <v>1296.5</v>
      </c>
      <c r="D48" s="14" t="n">
        <v>1284.92</v>
      </c>
      <c r="E48" s="14" t="n">
        <v>1265.33</v>
      </c>
      <c r="F48" s="14" t="n">
        <v>1188.94</v>
      </c>
      <c r="G48" s="15">
        <f>HYPERLINK("https://www.tradingview.com/chart/?symbol=NSE:JSWSTEEL","Chart 📈")</f>
        <v/>
      </c>
    </row>
    <row r="49" ht="16" customHeight="1">
      <c r="A49" s="16" t="inlineStr">
        <is>
          <t>NIFTY METAL</t>
        </is>
      </c>
      <c r="B49" s="13" t="inlineStr">
        <is>
          <t>RATNAMANI</t>
        </is>
      </c>
      <c r="C49" s="14" t="n">
        <v>2588.6</v>
      </c>
      <c r="D49" s="14" t="n">
        <v>2579.46</v>
      </c>
      <c r="E49" s="14" t="n">
        <v>2545.59</v>
      </c>
      <c r="F49" s="14" t="n">
        <v>2475.39</v>
      </c>
      <c r="G49" s="15">
        <f>HYPERLINK("https://www.tradingview.com/chart/?symbol=NSE:RATNAMANI","Chart 📈")</f>
        <v/>
      </c>
    </row>
    <row r="50" ht="16" customHeight="1">
      <c r="A50" s="16" t="inlineStr">
        <is>
          <t>NIFTY METAL</t>
        </is>
      </c>
      <c r="B50" s="13" t="inlineStr">
        <is>
          <t>WELCORP</t>
        </is>
      </c>
      <c r="C50" s="14" t="n">
        <v>1379.7</v>
      </c>
      <c r="D50" s="14" t="n">
        <v>1357.8</v>
      </c>
      <c r="E50" s="14" t="n">
        <v>1244.14</v>
      </c>
      <c r="F50" s="14" t="n">
        <v>1006.93</v>
      </c>
      <c r="G50" s="15">
        <f>HYPERLINK("https://www.tradingview.com/chart/?symbol=NSE:WELCORP","Chart 📈")</f>
        <v/>
      </c>
    </row>
    <row r="51" ht="16" customHeight="1">
      <c r="A51" s="8" t="inlineStr">
        <is>
          <t>NIFTY CONSUMER DURABLES</t>
        </is>
      </c>
      <c r="B51" s="17" t="inlineStr">
        <is>
          <t>AMBER</t>
        </is>
      </c>
      <c r="C51" s="18" t="n">
        <v>7620</v>
      </c>
      <c r="D51" s="18" t="n">
        <v>7615.45</v>
      </c>
      <c r="E51" s="18" t="n">
        <v>7590.12</v>
      </c>
      <c r="F51" s="18" t="n">
        <v>7292.12</v>
      </c>
      <c r="G51" s="19">
        <f>HYPERLINK("https://www.tradingview.com/chart/?symbol=NSE:AMBER","Chart 📈")</f>
        <v/>
      </c>
    </row>
    <row r="52" ht="16" customHeight="1">
      <c r="A52" s="20" t="inlineStr">
        <is>
          <t>NIFTY CONSUMER DURABLES</t>
        </is>
      </c>
      <c r="B52" s="17" t="inlineStr">
        <is>
          <t>CERA</t>
        </is>
      </c>
      <c r="C52" s="18" t="n">
        <v>6259</v>
      </c>
      <c r="D52" s="18" t="n">
        <v>5760.75</v>
      </c>
      <c r="E52" s="18" t="n">
        <v>5547.87</v>
      </c>
      <c r="F52" s="18" t="n">
        <v>5598.94</v>
      </c>
      <c r="G52" s="19">
        <f>HYPERLINK("https://www.tradingview.com/chart/?symbol=NSE:CERA","Chart 📈")</f>
        <v/>
      </c>
    </row>
    <row r="53" ht="16" customHeight="1">
      <c r="A53" s="20" t="inlineStr">
        <is>
          <t>NIFTY CONSUMER DURABLES</t>
        </is>
      </c>
      <c r="B53" s="17" t="inlineStr">
        <is>
          <t>KAJARIACER</t>
        </is>
      </c>
      <c r="C53" s="18" t="n">
        <v>1106.2</v>
      </c>
      <c r="D53" s="18" t="n">
        <v>1086.15</v>
      </c>
      <c r="E53" s="18" t="n">
        <v>1077.61</v>
      </c>
      <c r="F53" s="18" t="n">
        <v>1063.17</v>
      </c>
      <c r="G53" s="19">
        <f>HYPERLINK("https://www.tradingview.com/chart/?symbol=NSE:KAJARIACER","Chart 📈")</f>
        <v/>
      </c>
    </row>
    <row r="54" ht="16" customHeight="1">
      <c r="A54" s="20" t="inlineStr">
        <is>
          <t>NIFTY CONSUMER DURABLES</t>
        </is>
      </c>
      <c r="B54" s="17" t="inlineStr">
        <is>
          <t>TITAN</t>
        </is>
      </c>
      <c r="C54" s="18" t="n">
        <v>4283.5</v>
      </c>
      <c r="D54" s="18" t="n">
        <v>4156.57</v>
      </c>
      <c r="E54" s="18" t="n">
        <v>4189.85</v>
      </c>
      <c r="F54" s="18" t="n">
        <v>4016.38</v>
      </c>
      <c r="G54" s="19">
        <f>HYPERLINK("https://www.tradingview.com/chart/?symbol=NSE:TITAN","Chart 📈")</f>
        <v/>
      </c>
    </row>
    <row r="55" ht="16" customHeight="1">
      <c r="A55" s="12" t="inlineStr">
        <is>
          <t>NIFTY FMCG</t>
        </is>
      </c>
      <c r="B55" s="13" t="inlineStr">
        <is>
          <t>BALRAMCHIN</t>
        </is>
      </c>
      <c r="C55" s="14" t="n">
        <v>551.6</v>
      </c>
      <c r="D55" s="14" t="n">
        <v>536.5</v>
      </c>
      <c r="E55" s="14" t="n">
        <v>522.54</v>
      </c>
      <c r="F55" s="14" t="n">
        <v>504.72</v>
      </c>
      <c r="G55" s="15">
        <f>HYPERLINK("https://www.tradingview.com/chart/?symbol=NSE:BALRAMCHIN","Chart 📈")</f>
        <v/>
      </c>
    </row>
    <row r="56" ht="16" customHeight="1">
      <c r="A56" s="16" t="inlineStr">
        <is>
          <t>NIFTY FMCG</t>
        </is>
      </c>
      <c r="B56" s="13" t="inlineStr">
        <is>
          <t>RADICO</t>
        </is>
      </c>
      <c r="C56" s="14" t="n">
        <v>3592</v>
      </c>
      <c r="D56" s="14" t="n">
        <v>3487.79</v>
      </c>
      <c r="E56" s="14" t="n">
        <v>3344.61</v>
      </c>
      <c r="F56" s="14" t="n">
        <v>3062.89</v>
      </c>
      <c r="G56" s="15">
        <f>HYPERLINK("https://www.tradingview.com/chart/?symbol=NSE:RADICO","Chart 📈")</f>
        <v/>
      </c>
    </row>
    <row r="57" ht="16" customHeight="1">
      <c r="A57" s="16" t="inlineStr">
        <is>
          <t>NIFTY FMCG</t>
        </is>
      </c>
      <c r="B57" s="13" t="inlineStr">
        <is>
          <t>VBL</t>
        </is>
      </c>
      <c r="C57" s="14" t="n">
        <v>541</v>
      </c>
      <c r="D57" s="14" t="n">
        <v>523.64</v>
      </c>
      <c r="E57" s="14" t="n">
        <v>503.31</v>
      </c>
      <c r="F57" s="14" t="n">
        <v>476.93</v>
      </c>
      <c r="G57" s="15">
        <f>HYPERLINK("https://www.tradingview.com/chart/?symbol=NSE:VBL","Chart 📈")</f>
        <v/>
      </c>
    </row>
    <row r="58" ht="16" customHeight="1">
      <c r="A58" s="8" t="inlineStr">
        <is>
          <t>NIFTY ENERGY</t>
        </is>
      </c>
      <c r="B58" s="17" t="inlineStr">
        <is>
          <t>ABB</t>
        </is>
      </c>
      <c r="C58" s="18" t="n">
        <v>6922.5</v>
      </c>
      <c r="D58" s="18" t="n">
        <v>6909.5</v>
      </c>
      <c r="E58" s="18" t="n">
        <v>6768.73</v>
      </c>
      <c r="F58" s="18" t="n">
        <v>6092.4</v>
      </c>
      <c r="G58" s="19">
        <f>HYPERLINK("https://www.tradingview.com/chart/?symbol=NSE:ABB","Chart 📈")</f>
        <v/>
      </c>
    </row>
    <row r="59" ht="16" customHeight="1">
      <c r="A59" s="20" t="inlineStr">
        <is>
          <t>NIFTY ENERGY</t>
        </is>
      </c>
      <c r="B59" s="17" t="inlineStr">
        <is>
          <t>ADANIENSOL</t>
        </is>
      </c>
      <c r="C59" s="18" t="n">
        <v>1491.9</v>
      </c>
      <c r="D59" s="18" t="n">
        <v>1477.69</v>
      </c>
      <c r="E59" s="18" t="n">
        <v>1366.15</v>
      </c>
      <c r="F59" s="18" t="n">
        <v>1114.1</v>
      </c>
      <c r="G59" s="19">
        <f>HYPERLINK("https://www.tradingview.com/chart/?symbol=NSE:ADANIENSOL","Chart 📈")</f>
        <v/>
      </c>
    </row>
    <row r="60" ht="16" customHeight="1">
      <c r="A60" s="20" t="inlineStr">
        <is>
          <t>NIFTY ENERGY</t>
        </is>
      </c>
      <c r="B60" s="17" t="inlineStr">
        <is>
          <t>ADANIGREEN</t>
        </is>
      </c>
      <c r="C60" s="18" t="n">
        <v>1482.6</v>
      </c>
      <c r="D60" s="18" t="n">
        <v>1442.72</v>
      </c>
      <c r="E60" s="18" t="n">
        <v>1320</v>
      </c>
      <c r="F60" s="18" t="n">
        <v>1109.04</v>
      </c>
      <c r="G60" s="19">
        <f>HYPERLINK("https://www.tradingview.com/chart/?symbol=NSE:ADANIGREEN","Chart 📈")</f>
        <v/>
      </c>
    </row>
    <row r="61" ht="16" customHeight="1">
      <c r="A61" s="20" t="inlineStr">
        <is>
          <t>NIFTY ENERGY</t>
        </is>
      </c>
      <c r="B61" s="17" t="inlineStr">
        <is>
          <t>CGPOWER</t>
        </is>
      </c>
      <c r="C61" s="18" t="n">
        <v>935.5</v>
      </c>
      <c r="D61" s="18" t="n">
        <v>897.62</v>
      </c>
      <c r="E61" s="18" t="n">
        <v>845.37</v>
      </c>
      <c r="F61" s="18" t="n">
        <v>747.36</v>
      </c>
      <c r="G61" s="19">
        <f>HYPERLINK("https://www.tradingview.com/chart/?symbol=NSE:CGPOWER","Chart 📈")</f>
        <v/>
      </c>
    </row>
    <row r="62" ht="16" customHeight="1">
      <c r="A62" s="20" t="inlineStr">
        <is>
          <t>NIFTY ENERGY</t>
        </is>
      </c>
      <c r="B62" s="17" t="inlineStr">
        <is>
          <t>JSWENERGY</t>
        </is>
      </c>
      <c r="C62" s="18" t="n">
        <v>566.25</v>
      </c>
      <c r="D62" s="18" t="n">
        <v>565.46</v>
      </c>
      <c r="E62" s="18" t="n">
        <v>549.15</v>
      </c>
      <c r="F62" s="18" t="n">
        <v>519.33</v>
      </c>
      <c r="G62" s="19">
        <f>HYPERLINK("https://www.tradingview.com/chart/?symbol=NSE:JSWENERGY","Chart 📈")</f>
        <v/>
      </c>
    </row>
    <row r="63" ht="16" customHeight="1">
      <c r="A63" s="20" t="inlineStr">
        <is>
          <t>NIFTY ENERGY</t>
        </is>
      </c>
      <c r="B63" s="17" t="inlineStr">
        <is>
          <t>SCHNEIDER</t>
        </is>
      </c>
      <c r="C63" s="18" t="n">
        <v>1216.2</v>
      </c>
      <c r="D63" s="18" t="n">
        <v>1188.64</v>
      </c>
      <c r="E63" s="18" t="n">
        <v>1154.95</v>
      </c>
      <c r="F63" s="18" t="n">
        <v>954.6900000000001</v>
      </c>
      <c r="G63" s="19">
        <f>HYPERLINK("https://www.tradingview.com/chart/?symbol=NSE:SCHNEIDER","Chart 📈")</f>
        <v/>
      </c>
    </row>
    <row r="64" ht="16" customHeight="1">
      <c r="A64" s="20" t="inlineStr">
        <is>
          <t>NIFTY ENERGY</t>
        </is>
      </c>
      <c r="B64" s="17" t="inlineStr">
        <is>
          <t>SUZLON</t>
        </is>
      </c>
      <c r="C64" s="18" t="n">
        <v>55.57</v>
      </c>
      <c r="D64" s="18" t="n">
        <v>54.58</v>
      </c>
      <c r="E64" s="18" t="n">
        <v>52.73</v>
      </c>
      <c r="F64" s="18" t="n">
        <v>52.84</v>
      </c>
      <c r="G64" s="19">
        <f>HYPERLINK("https://www.tradingview.com/chart/?symbol=NSE:SUZLON","Chart 📈")</f>
        <v/>
      </c>
    </row>
    <row r="65" ht="16" customHeight="1">
      <c r="A65" s="20" t="inlineStr">
        <is>
          <t>NIFTY ENERGY</t>
        </is>
      </c>
      <c r="B65" s="17" t="inlineStr">
        <is>
          <t>THERMAX</t>
        </is>
      </c>
      <c r="C65" s="18" t="n">
        <v>4741</v>
      </c>
      <c r="D65" s="18" t="n">
        <v>4652.14</v>
      </c>
      <c r="E65" s="18" t="n">
        <v>4319.83</v>
      </c>
      <c r="F65" s="18" t="n">
        <v>3643.25</v>
      </c>
      <c r="G65" s="19">
        <f>HYPERLINK("https://www.tradingview.com/chart/?symbol=NSE:THERMAX","Chart 📈")</f>
        <v/>
      </c>
    </row>
    <row r="66" ht="16" customHeight="1">
      <c r="A66" s="20" t="inlineStr">
        <is>
          <t>NIFTY ENERGY</t>
        </is>
      </c>
      <c r="B66" s="17" t="inlineStr">
        <is>
          <t>TRITURBINE</t>
        </is>
      </c>
      <c r="C66" s="18" t="n">
        <v>663.15</v>
      </c>
      <c r="D66" s="18" t="n">
        <v>661.71</v>
      </c>
      <c r="E66" s="18" t="n">
        <v>614.59</v>
      </c>
      <c r="F66" s="18" t="n">
        <v>556.42</v>
      </c>
      <c r="G66" s="19">
        <f>HYPERLINK("https://www.tradingview.com/chart/?symbol=NSE:TRITURBINE","Chart 📈")</f>
        <v/>
      </c>
    </row>
    <row r="67" ht="16" customHeight="1">
      <c r="A67" s="12" t="inlineStr">
        <is>
          <t>NIFTY BANK</t>
        </is>
      </c>
      <c r="B67" s="13" t="inlineStr">
        <is>
          <t>AUBANK</t>
        </is>
      </c>
      <c r="C67" s="14" t="n">
        <v>1033.6</v>
      </c>
      <c r="D67" s="14" t="n">
        <v>986.96</v>
      </c>
      <c r="E67" s="14" t="n">
        <v>983.8099999999999</v>
      </c>
      <c r="F67" s="14" t="n">
        <v>930.87</v>
      </c>
      <c r="G67" s="15">
        <f>HYPERLINK("https://www.tradingview.com/chart/?symbol=NSE:AUBANK","Chart 📈")</f>
        <v/>
      </c>
    </row>
    <row r="68" ht="16" customHeight="1">
      <c r="A68" s="16" t="inlineStr">
        <is>
          <t>NIFTY BANK</t>
        </is>
      </c>
      <c r="B68" s="13" t="inlineStr">
        <is>
          <t>FEDERALBNK</t>
        </is>
      </c>
      <c r="C68" s="14" t="n">
        <v>317.1</v>
      </c>
      <c r="D68" s="14" t="n">
        <v>301.26</v>
      </c>
      <c r="E68" s="14" t="n">
        <v>292.7</v>
      </c>
      <c r="F68" s="14" t="n">
        <v>265.03</v>
      </c>
      <c r="G68" s="15">
        <f>HYPERLINK("https://www.tradingview.com/chart/?symbol=NSE:FEDERALBNK","Chart 📈")</f>
        <v/>
      </c>
    </row>
    <row r="69" ht="16" customHeight="1">
      <c r="A69" s="16" t="inlineStr">
        <is>
          <t>NIFTY BANK</t>
        </is>
      </c>
      <c r="B69" s="13" t="inlineStr">
        <is>
          <t>IDFCFIRSTB</t>
        </is>
      </c>
      <c r="C69" s="14" t="n">
        <v>78.33</v>
      </c>
      <c r="D69" s="14" t="n">
        <v>72.3</v>
      </c>
      <c r="E69" s="14" t="n">
        <v>70.77</v>
      </c>
      <c r="F69" s="14" t="n">
        <v>72.88</v>
      </c>
      <c r="G69" s="15">
        <f>HYPERLINK("https://www.tradingview.com/chart/?symbol=NSE:IDFCFIRSTB","Chart 📈")</f>
        <v/>
      </c>
    </row>
    <row r="70" ht="16" customHeight="1">
      <c r="A70" s="16" t="inlineStr">
        <is>
          <t>NIFTY BANK</t>
        </is>
      </c>
      <c r="B70" s="13" t="inlineStr">
        <is>
          <t>INDUSINDBK</t>
        </is>
      </c>
      <c r="C70" s="14" t="n">
        <v>933.2</v>
      </c>
      <c r="D70" s="14" t="n">
        <v>907.77</v>
      </c>
      <c r="E70" s="14" t="n">
        <v>896.5700000000001</v>
      </c>
      <c r="F70" s="14" t="n">
        <v>864.8099999999999</v>
      </c>
      <c r="G70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2026-06-15T16:29:28Z</dcterms:created>
  <dcterms:modified xsi:type="dcterms:W3CDTF">2026-06-15T16:29:28Z</dcterms:modified>
</cp:coreProperties>
</file>