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26-Oct-2026  17:19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11</v>
      </c>
      <c r="D4" s="5" t="n">
        <v>11</v>
      </c>
      <c r="E4" s="5" t="n">
        <v>9</v>
      </c>
      <c r="F4" s="6" t="n">
        <v>0.55</v>
      </c>
      <c r="G4" s="6" t="n">
        <v>0.55</v>
      </c>
      <c r="H4" s="6" t="n">
        <v>0.45</v>
      </c>
      <c r="I4" s="7" t="n">
        <v>0.5167</v>
      </c>
    </row>
    <row r="5" ht="17" customHeight="1">
      <c r="A5" s="8" t="inlineStr">
        <is>
          <t>NIFTY IT</t>
        </is>
      </c>
      <c r="B5" s="9" t="n">
        <v>10</v>
      </c>
      <c r="C5" s="9" t="n">
        <v>5</v>
      </c>
      <c r="D5" s="9" t="n">
        <v>5</v>
      </c>
      <c r="E5" s="9" t="n">
        <v>3</v>
      </c>
      <c r="F5" s="10" t="n">
        <v>0.5</v>
      </c>
      <c r="G5" s="10" t="n">
        <v>0.5</v>
      </c>
      <c r="H5" s="10" t="n">
        <v>0.3</v>
      </c>
      <c r="I5" s="11" t="n">
        <v>0.4333</v>
      </c>
    </row>
    <row r="6" ht="17" customHeight="1">
      <c r="A6" s="4" t="inlineStr">
        <is>
          <t>NIFTY MEDIA</t>
        </is>
      </c>
      <c r="B6" s="5" t="n">
        <v>10</v>
      </c>
      <c r="C6" s="5" t="n">
        <v>3</v>
      </c>
      <c r="D6" s="5" t="n">
        <v>4</v>
      </c>
      <c r="E6" s="5" t="n">
        <v>5</v>
      </c>
      <c r="F6" s="6" t="n">
        <v>0.3</v>
      </c>
      <c r="G6" s="6" t="n">
        <v>0.4</v>
      </c>
      <c r="H6" s="6" t="n">
        <v>0.5</v>
      </c>
      <c r="I6" s="7" t="n">
        <v>0.4</v>
      </c>
    </row>
    <row r="7" ht="17" customHeight="1">
      <c r="A7" s="8" t="inlineStr">
        <is>
          <t>NIFTY PHARMA</t>
        </is>
      </c>
      <c r="B7" s="9" t="n">
        <v>20</v>
      </c>
      <c r="C7" s="9" t="n">
        <v>5</v>
      </c>
      <c r="D7" s="9" t="n">
        <v>5</v>
      </c>
      <c r="E7" s="9" t="n">
        <v>11</v>
      </c>
      <c r="F7" s="10" t="n">
        <v>0.25</v>
      </c>
      <c r="G7" s="10" t="n">
        <v>0.25</v>
      </c>
      <c r="H7" s="10" t="n">
        <v>0.55</v>
      </c>
      <c r="I7" s="11" t="n">
        <v>0.35</v>
      </c>
    </row>
    <row r="8" ht="17" customHeight="1">
      <c r="A8" s="4" t="inlineStr">
        <is>
          <t>NIFTY OIL &amp; GAS</t>
        </is>
      </c>
      <c r="B8" s="5" t="n">
        <v>15</v>
      </c>
      <c r="C8" s="5" t="n">
        <v>5</v>
      </c>
      <c r="D8" s="5" t="n">
        <v>1</v>
      </c>
      <c r="E8" s="5" t="n">
        <v>4</v>
      </c>
      <c r="F8" s="6" t="n">
        <v>0.333</v>
      </c>
      <c r="G8" s="6" t="n">
        <v>0.067</v>
      </c>
      <c r="H8" s="6" t="n">
        <v>0.267</v>
      </c>
      <c r="I8" s="7" t="n">
        <v>0.2223</v>
      </c>
    </row>
    <row r="9" ht="17" customHeight="1">
      <c r="A9" s="8" t="inlineStr">
        <is>
          <t>NIFTY REALTY</t>
        </is>
      </c>
      <c r="B9" s="9" t="n">
        <v>10</v>
      </c>
      <c r="C9" s="9" t="n">
        <v>1</v>
      </c>
      <c r="D9" s="9" t="n">
        <v>2</v>
      </c>
      <c r="E9" s="9" t="n">
        <v>3</v>
      </c>
      <c r="F9" s="10" t="n">
        <v>0.1</v>
      </c>
      <c r="G9" s="10" t="n">
        <v>0.2</v>
      </c>
      <c r="H9" s="10" t="n">
        <v>0.3</v>
      </c>
      <c r="I9" s="11" t="n">
        <v>0.2</v>
      </c>
    </row>
    <row r="10" ht="17" customHeight="1">
      <c r="A10" s="4" t="inlineStr">
        <is>
          <t>NIFTY PSU BANK</t>
        </is>
      </c>
      <c r="B10" s="5" t="n">
        <v>12</v>
      </c>
      <c r="C10" s="5" t="n">
        <v>2</v>
      </c>
      <c r="D10" s="5" t="n">
        <v>2</v>
      </c>
      <c r="E10" s="5" t="n">
        <v>2</v>
      </c>
      <c r="F10" s="6" t="n">
        <v>0.167</v>
      </c>
      <c r="G10" s="6" t="n">
        <v>0.167</v>
      </c>
      <c r="H10" s="6" t="n">
        <v>0.167</v>
      </c>
      <c r="I10" s="7" t="n">
        <v>0.167</v>
      </c>
    </row>
    <row r="11" ht="17" customHeight="1">
      <c r="A11" s="8" t="inlineStr">
        <is>
          <t>NIFTY METAL</t>
        </is>
      </c>
      <c r="B11" s="9" t="n">
        <v>15</v>
      </c>
      <c r="C11" s="9" t="n">
        <v>1</v>
      </c>
      <c r="D11" s="9" t="n">
        <v>1</v>
      </c>
      <c r="E11" s="9" t="n">
        <v>4</v>
      </c>
      <c r="F11" s="10" t="n">
        <v>0.067</v>
      </c>
      <c r="G11" s="10" t="n">
        <v>0.067</v>
      </c>
      <c r="H11" s="10" t="n">
        <v>0.267</v>
      </c>
      <c r="I11" s="11" t="n">
        <v>0.1337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2</v>
      </c>
      <c r="D12" s="5" t="n">
        <v>2</v>
      </c>
      <c r="E12" s="5" t="n">
        <v>3</v>
      </c>
      <c r="F12" s="6" t="n">
        <v>0.1</v>
      </c>
      <c r="G12" s="6" t="n">
        <v>0.1</v>
      </c>
      <c r="H12" s="6" t="n">
        <v>0.15</v>
      </c>
      <c r="I12" s="7" t="n">
        <v>0.1167</v>
      </c>
    </row>
    <row r="13" ht="17" customHeight="1">
      <c r="A13" s="8" t="inlineStr">
        <is>
          <t>NIFTY AUTO</t>
        </is>
      </c>
      <c r="B13" s="9" t="n">
        <v>15</v>
      </c>
      <c r="C13" s="9" t="n">
        <v>2</v>
      </c>
      <c r="D13" s="9" t="n">
        <v>0</v>
      </c>
      <c r="E13" s="9" t="n">
        <v>3</v>
      </c>
      <c r="F13" s="10" t="n">
        <v>0.133</v>
      </c>
      <c r="G13" s="10" t="n">
        <v>0</v>
      </c>
      <c r="H13" s="10" t="n">
        <v>0.2</v>
      </c>
      <c r="I13" s="11" t="n">
        <v>0.111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1</v>
      </c>
      <c r="E14" s="5" t="n">
        <v>1</v>
      </c>
      <c r="F14" s="6" t="n">
        <v>0.083</v>
      </c>
      <c r="G14" s="6" t="n">
        <v>0.083</v>
      </c>
      <c r="H14" s="6" t="n">
        <v>0.083</v>
      </c>
      <c r="I14" s="7" t="n">
        <v>0.083</v>
      </c>
    </row>
    <row r="15" ht="17" customHeight="1">
      <c r="A15" s="8" t="inlineStr">
        <is>
          <t>NIFTY FMCG</t>
        </is>
      </c>
      <c r="B15" s="9" t="n">
        <v>15</v>
      </c>
      <c r="C15" s="9" t="n">
        <v>0</v>
      </c>
      <c r="D15" s="9" t="n">
        <v>0</v>
      </c>
      <c r="E15" s="9" t="n">
        <v>2</v>
      </c>
      <c r="F15" s="10" t="n">
        <v>0</v>
      </c>
      <c r="G15" s="10" t="n">
        <v>0</v>
      </c>
      <c r="H15" s="10" t="n">
        <v>0.133</v>
      </c>
      <c r="I15" s="11" t="n">
        <v>0.0443</v>
      </c>
    </row>
    <row r="16" ht="17" customHeight="1">
      <c r="A16" s="4" t="inlineStr">
        <is>
          <t>NIFTY CONSUMER DURABLES</t>
        </is>
      </c>
      <c r="B16" s="5" t="n">
        <v>15</v>
      </c>
      <c r="C16" s="5" t="n">
        <v>0</v>
      </c>
      <c r="D16" s="5" t="n">
        <v>0</v>
      </c>
      <c r="E16" s="5" t="n">
        <v>1</v>
      </c>
      <c r="F16" s="6" t="n">
        <v>0</v>
      </c>
      <c r="G16" s="6" t="n">
        <v>0</v>
      </c>
      <c r="H16" s="6" t="n">
        <v>0.067</v>
      </c>
      <c r="I16" s="7" t="n">
        <v>0.0223</v>
      </c>
    </row>
    <row r="17" ht="17" customHeight="1">
      <c r="A17" s="8" t="inlineStr">
        <is>
          <t>NIFTY ENERGY</t>
        </is>
      </c>
      <c r="B17" s="9" t="n">
        <v>40</v>
      </c>
      <c r="C17" s="9" t="n">
        <v>0</v>
      </c>
      <c r="D17" s="9" t="n">
        <v>0</v>
      </c>
      <c r="E17" s="9" t="n">
        <v>2</v>
      </c>
      <c r="F17" s="10" t="n">
        <v>0</v>
      </c>
      <c r="G17" s="10" t="n">
        <v>0</v>
      </c>
      <c r="H17" s="10" t="n">
        <v>0.05</v>
      </c>
      <c r="I17" s="11" t="n">
        <v>0.0167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1993</v>
      </c>
      <c r="D3" s="14" t="n">
        <v>1891.42</v>
      </c>
      <c r="E3" s="14" t="n">
        <v>1831.54</v>
      </c>
      <c r="F3" s="14" t="n">
        <v>1660.71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1242.9</v>
      </c>
      <c r="D4" s="14" t="n">
        <v>1154.14</v>
      </c>
      <c r="E4" s="14" t="n">
        <v>1082.77</v>
      </c>
      <c r="F4" s="14" t="n">
        <v>1012.05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INDUSTOWER</t>
        </is>
      </c>
      <c r="C5" s="14" t="n">
        <v>389</v>
      </c>
      <c r="D5" s="14" t="n">
        <v>380.21</v>
      </c>
      <c r="E5" s="14" t="n">
        <v>379.8</v>
      </c>
      <c r="F5" s="14" t="n">
        <v>387.28</v>
      </c>
      <c r="G5" s="15">
        <f>HYPERLINK("https://www.tradingview.com/chart/?symbol=NSE:INDUSTOWER","Chart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4035.6</v>
      </c>
      <c r="D6" s="14" t="n">
        <v>3598.92</v>
      </c>
      <c r="E6" s="14" t="n">
        <v>3486.17</v>
      </c>
      <c r="F6" s="14" t="n">
        <v>3560.54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2557.6</v>
      </c>
      <c r="D7" s="14" t="n">
        <v>2421.31</v>
      </c>
      <c r="E7" s="14" t="n">
        <v>2378.77</v>
      </c>
      <c r="F7" s="14" t="n">
        <v>2398.33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5850</v>
      </c>
      <c r="D8" s="14" t="n">
        <v>5678.72</v>
      </c>
      <c r="E8" s="14" t="n">
        <v>5551.35</v>
      </c>
      <c r="F8" s="14" t="n">
        <v>5431.25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567.8</v>
      </c>
      <c r="D9" s="14" t="n">
        <v>536.08</v>
      </c>
      <c r="E9" s="14" t="n">
        <v>531.4</v>
      </c>
      <c r="F9" s="14" t="n">
        <v>532.59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IT</t>
        </is>
      </c>
      <c r="B10" s="17" t="inlineStr">
        <is>
          <t>HCLTECH</t>
        </is>
      </c>
      <c r="C10" s="18" t="n">
        <v>1417</v>
      </c>
      <c r="D10" s="18" t="n">
        <v>1321.86</v>
      </c>
      <c r="E10" s="18" t="n">
        <v>1283.99</v>
      </c>
      <c r="F10" s="18" t="n">
        <v>1300.79</v>
      </c>
      <c r="G10" s="19">
        <f>HYPERLINK("https://www.tradingview.com/chart/?symbol=NSE:HCLTECH","Chart 📈")</f>
        <v/>
      </c>
    </row>
    <row r="11" ht="16" customHeight="1">
      <c r="A11" s="20" t="inlineStr">
        <is>
          <t>NIFTY IT</t>
        </is>
      </c>
      <c r="B11" s="17" t="inlineStr">
        <is>
          <t>TCS</t>
        </is>
      </c>
      <c r="C11" s="18" t="n">
        <v>2535</v>
      </c>
      <c r="D11" s="18" t="n">
        <v>2321.67</v>
      </c>
      <c r="E11" s="18" t="n">
        <v>2261.11</v>
      </c>
      <c r="F11" s="18" t="n">
        <v>2400.61</v>
      </c>
      <c r="G11" s="19">
        <f>HYPERLINK("https://www.tradingview.com/chart/?symbol=NSE:TCS","Chart 📈")</f>
        <v/>
      </c>
    </row>
    <row r="12" ht="16" customHeight="1">
      <c r="A12" s="20" t="inlineStr">
        <is>
          <t>NIFTY IT</t>
        </is>
      </c>
      <c r="B12" s="17" t="inlineStr">
        <is>
          <t>TECHM</t>
        </is>
      </c>
      <c r="C12" s="18" t="n">
        <v>1795</v>
      </c>
      <c r="D12" s="18" t="n">
        <v>1650.65</v>
      </c>
      <c r="E12" s="18" t="n">
        <v>1591.14</v>
      </c>
      <c r="F12" s="18" t="n">
        <v>1506.65</v>
      </c>
      <c r="G12" s="19">
        <f>HYPERLINK("https://www.tradingview.com/chart/?symbol=NSE:TECHM","Chart 📈")</f>
        <v/>
      </c>
    </row>
    <row r="13" ht="16" customHeight="1">
      <c r="A13" s="12" t="inlineStr">
        <is>
          <t>NIFTY MEDIA</t>
        </is>
      </c>
      <c r="B13" s="13" t="inlineStr">
        <is>
          <t>NAZARA</t>
        </is>
      </c>
      <c r="C13" s="14" t="n">
        <v>400.25</v>
      </c>
      <c r="D13" s="14" t="n">
        <v>392.26</v>
      </c>
      <c r="E13" s="14" t="n">
        <v>373.88</v>
      </c>
      <c r="F13" s="14" t="n">
        <v>319.29</v>
      </c>
      <c r="G13" s="15">
        <f>HYPERLINK("https://www.tradingview.com/chart/?symbol=NSE:NAZARA","Chart 📈")</f>
        <v/>
      </c>
    </row>
    <row r="14" ht="16" customHeight="1">
      <c r="A14" s="16" t="inlineStr">
        <is>
          <t>NIFTY MEDIA</t>
        </is>
      </c>
      <c r="B14" s="13" t="inlineStr">
        <is>
          <t>PVRINOX</t>
        </is>
      </c>
      <c r="C14" s="14" t="n">
        <v>1404.7</v>
      </c>
      <c r="D14" s="14" t="n">
        <v>1351.49</v>
      </c>
      <c r="E14" s="14" t="n">
        <v>1275.37</v>
      </c>
      <c r="F14" s="14" t="n">
        <v>1139.17</v>
      </c>
      <c r="G14" s="15">
        <f>HYPERLINK("https://www.tradingview.com/chart/?symbol=NSE:PVRINOX","Chart 📈")</f>
        <v/>
      </c>
    </row>
    <row r="15" ht="16" customHeight="1">
      <c r="A15" s="16" t="inlineStr">
        <is>
          <t>NIFTY MEDIA</t>
        </is>
      </c>
      <c r="B15" s="13" t="inlineStr">
        <is>
          <t>TIPSMUSIC</t>
        </is>
      </c>
      <c r="C15" s="14" t="n">
        <v>716.9</v>
      </c>
      <c r="D15" s="14" t="n">
        <v>691.83</v>
      </c>
      <c r="E15" s="14" t="n">
        <v>671.14</v>
      </c>
      <c r="F15" s="14" t="n">
        <v>624</v>
      </c>
      <c r="G15" s="15">
        <f>HYPERLINK("https://www.tradingview.com/chart/?symbol=NSE:TIPSMUSIC","Chart 📈")</f>
        <v/>
      </c>
    </row>
    <row r="16" ht="16" customHeight="1">
      <c r="A16" s="8" t="inlineStr">
        <is>
          <t>NIFTY PHARMA</t>
        </is>
      </c>
      <c r="B16" s="17" t="inlineStr">
        <is>
          <t>DRREDDY</t>
        </is>
      </c>
      <c r="C16" s="18" t="n">
        <v>1310.9</v>
      </c>
      <c r="D16" s="18" t="n">
        <v>1227.16</v>
      </c>
      <c r="E16" s="18" t="n">
        <v>1211.33</v>
      </c>
      <c r="F16" s="18" t="n">
        <v>1232.11</v>
      </c>
      <c r="G16" s="19">
        <f>HYPERLINK("https://www.tradingview.com/chart/?symbol=NSE:DRREDDY","Chart 📈")</f>
        <v/>
      </c>
    </row>
    <row r="17" ht="16" customHeight="1">
      <c r="A17" s="20" t="inlineStr">
        <is>
          <t>NIFTY PHARMA</t>
        </is>
      </c>
      <c r="B17" s="17" t="inlineStr">
        <is>
          <t>IPCALAB</t>
        </is>
      </c>
      <c r="C17" s="18" t="n">
        <v>1938.6</v>
      </c>
      <c r="D17" s="18" t="n">
        <v>1918.97</v>
      </c>
      <c r="E17" s="18" t="n">
        <v>1900.13</v>
      </c>
      <c r="F17" s="18" t="n">
        <v>1701.94</v>
      </c>
      <c r="G17" s="19">
        <f>HYPERLINK("https://www.tradingview.com/chart/?symbol=NSE:IPCALAB","Chart 📈")</f>
        <v/>
      </c>
    </row>
    <row r="18" ht="16" customHeight="1">
      <c r="A18" s="20" t="inlineStr">
        <is>
          <t>NIFTY PHARMA</t>
        </is>
      </c>
      <c r="B18" s="17" t="inlineStr">
        <is>
          <t>LAURUSLABS</t>
        </is>
      </c>
      <c r="C18" s="18" t="n">
        <v>2058.9</v>
      </c>
      <c r="D18" s="18" t="n">
        <v>2014.14</v>
      </c>
      <c r="E18" s="18" t="n">
        <v>1932.94</v>
      </c>
      <c r="F18" s="18" t="n">
        <v>1541.98</v>
      </c>
      <c r="G18" s="19">
        <f>HYPERLINK("https://www.tradingview.com/chart/?symbol=NSE:LAURUSLABS","Chart 📈")</f>
        <v/>
      </c>
    </row>
    <row r="19" ht="16" customHeight="1">
      <c r="A19" s="20" t="inlineStr">
        <is>
          <t>NIFTY PHARMA</t>
        </is>
      </c>
      <c r="B19" s="17" t="inlineStr">
        <is>
          <t>ZYDUSLIFE</t>
        </is>
      </c>
      <c r="C19" s="18" t="n">
        <v>1160.4</v>
      </c>
      <c r="D19" s="18" t="n">
        <v>1138.84</v>
      </c>
      <c r="E19" s="18" t="n">
        <v>1137.34</v>
      </c>
      <c r="F19" s="18" t="n">
        <v>1067.37</v>
      </c>
      <c r="G19" s="19">
        <f>HYPERLINK("https://www.tradingview.com/chart/?symbol=NSE:ZYDUSLIFE","Chart 📈")</f>
        <v/>
      </c>
    </row>
    <row r="20" ht="16" customHeight="1">
      <c r="A20" s="12" t="inlineStr">
        <is>
          <t>NIFTY OIL &amp; GAS</t>
        </is>
      </c>
      <c r="B20" s="13" t="inlineStr">
        <is>
          <t>PETRONET</t>
        </is>
      </c>
      <c r="C20" s="14" t="n">
        <v>291.75</v>
      </c>
      <c r="D20" s="14" t="n">
        <v>290.65</v>
      </c>
      <c r="E20" s="14" t="n">
        <v>288.14</v>
      </c>
      <c r="F20" s="14" t="n">
        <v>280.91</v>
      </c>
      <c r="G20" s="15">
        <f>HYPERLINK("https://www.tradingview.com/chart/?symbol=NSE:PETRONET","Chart 📈")</f>
        <v/>
      </c>
    </row>
    <row r="21" ht="16" customHeight="1">
      <c r="A21" s="8" t="inlineStr">
        <is>
          <t>NIFTY PSU BANK</t>
        </is>
      </c>
      <c r="B21" s="17" t="inlineStr">
        <is>
          <t>PNB</t>
        </is>
      </c>
      <c r="C21" s="18" t="n">
        <v>120.89</v>
      </c>
      <c r="D21" s="18" t="n">
        <v>117.83</v>
      </c>
      <c r="E21" s="18" t="n">
        <v>115.86</v>
      </c>
      <c r="F21" s="18" t="n">
        <v>113.29</v>
      </c>
      <c r="G21" s="19">
        <f>HYPERLINK("https://www.tradingview.com/chart/?symbol=NSE:PNB","Chart 📈")</f>
        <v/>
      </c>
    </row>
    <row r="22" ht="16" customHeight="1">
      <c r="A22" s="20" t="inlineStr">
        <is>
          <t>NIFTY PSU BANK</t>
        </is>
      </c>
      <c r="B22" s="17" t="inlineStr">
        <is>
          <t>UNIONBANK</t>
        </is>
      </c>
      <c r="C22" s="18" t="n">
        <v>181.2</v>
      </c>
      <c r="D22" s="18" t="n">
        <v>176.59</v>
      </c>
      <c r="E22" s="18" t="n">
        <v>176.62</v>
      </c>
      <c r="F22" s="18" t="n">
        <v>169.95</v>
      </c>
      <c r="G22" s="19">
        <f>HYPERLINK("https://www.tradingview.com/chart/?symbol=NSE:UNIONBANK","Chart 📈")</f>
        <v/>
      </c>
    </row>
    <row r="23" ht="16" customHeight="1">
      <c r="A23" s="12" t="inlineStr">
        <is>
          <t>NIFTY METAL</t>
        </is>
      </c>
      <c r="B23" s="13" t="inlineStr">
        <is>
          <t>JSWSTEEL</t>
        </is>
      </c>
      <c r="C23" s="14" t="n">
        <v>1260</v>
      </c>
      <c r="D23" s="14" t="n">
        <v>1225.65</v>
      </c>
      <c r="E23" s="14" t="n">
        <v>1246.89</v>
      </c>
      <c r="F23" s="14" t="n">
        <v>1235.34</v>
      </c>
      <c r="G23" s="15">
        <f>HYPERLINK("https://www.tradingview.com/chart/?symbol=NSE:JSWSTEEL","Chart 📈")</f>
        <v/>
      </c>
    </row>
    <row r="24" ht="16" customHeight="1">
      <c r="A24" s="8" t="inlineStr">
        <is>
          <t>NIFTY FINANCIAL SERVICES</t>
        </is>
      </c>
      <c r="B24" s="17" t="inlineStr">
        <is>
          <t>ICICIBANK</t>
        </is>
      </c>
      <c r="C24" s="18" t="n">
        <v>1403</v>
      </c>
      <c r="D24" s="18" t="n">
        <v>1370.99</v>
      </c>
      <c r="E24" s="18" t="n">
        <v>1372.81</v>
      </c>
      <c r="F24" s="18" t="n">
        <v>1359.23</v>
      </c>
      <c r="G24" s="19">
        <f>HYPERLINK("https://www.tradingview.com/chart/?symbol=NSE:ICICIBANK","Chart 📈")</f>
        <v/>
      </c>
    </row>
    <row r="25" ht="16" customHeight="1">
      <c r="A25" s="20" t="inlineStr">
        <is>
          <t>NIFTY FINANCIAL SERVICES</t>
        </is>
      </c>
      <c r="B25" s="17" t="inlineStr">
        <is>
          <t>KOTAKBANK</t>
        </is>
      </c>
      <c r="C25" s="18" t="n">
        <v>440.75</v>
      </c>
      <c r="D25" s="18" t="n">
        <v>432.63</v>
      </c>
      <c r="E25" s="18" t="n">
        <v>420.7</v>
      </c>
      <c r="F25" s="18" t="n">
        <v>407.22</v>
      </c>
      <c r="G25" s="19">
        <f>HYPERLINK("https://www.tradingview.com/chart/?symbol=NSE:KOTAKBANK","Chart 📈")</f>
        <v/>
      </c>
    </row>
    <row r="26" ht="16" customHeight="1">
      <c r="A26" s="12" t="inlineStr">
        <is>
          <t>NIFTY BANK</t>
        </is>
      </c>
      <c r="B26" s="13" t="inlineStr">
        <is>
          <t>FEDERALBNK</t>
        </is>
      </c>
      <c r="C26" s="14" t="n">
        <v>344.4</v>
      </c>
      <c r="D26" s="14" t="n">
        <v>336.17</v>
      </c>
      <c r="E26" s="14" t="n">
        <v>336.17</v>
      </c>
      <c r="F26" s="14" t="n">
        <v>311.45</v>
      </c>
      <c r="G26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2026-10-26T17:19:11Z</dcterms:created>
  <dcterms:modified xmlns:dcterms="http://purl.org/dc/terms/" xmlns:xsi="http://www.w3.org/2001/XMLSchema-instance" xsi:type="dcterms:W3CDTF">2026-10-26T17:19:11Z</dcterms:modified>
</cp:coreProperties>
</file>