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30-Jun-2026  13:19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18</v>
      </c>
      <c r="D4" s="5" t="n">
        <v>16</v>
      </c>
      <c r="E4" s="5" t="n">
        <v>18</v>
      </c>
      <c r="F4" s="6" t="n">
        <v>0.9</v>
      </c>
      <c r="G4" s="6" t="n">
        <v>0.8</v>
      </c>
      <c r="H4" s="6" t="n">
        <v>0.9</v>
      </c>
      <c r="I4" s="7" t="n">
        <v>0.8667</v>
      </c>
    </row>
    <row r="5" ht="17" customHeight="1">
      <c r="A5" s="8" t="inlineStr">
        <is>
          <t>NIFTY REALTY</t>
        </is>
      </c>
      <c r="B5" s="9" t="n">
        <v>10</v>
      </c>
      <c r="C5" s="9" t="n">
        <v>8</v>
      </c>
      <c r="D5" s="9" t="n">
        <v>8</v>
      </c>
      <c r="E5" s="9" t="n">
        <v>5</v>
      </c>
      <c r="F5" s="10" t="n">
        <v>0.8</v>
      </c>
      <c r="G5" s="10" t="n">
        <v>0.8</v>
      </c>
      <c r="H5" s="10" t="n">
        <v>0.5</v>
      </c>
      <c r="I5" s="11" t="n">
        <v>0.7</v>
      </c>
    </row>
    <row r="6" ht="17" customHeight="1">
      <c r="A6" s="4" t="inlineStr">
        <is>
          <t>NIFTY FINANCIAL SERVICES</t>
        </is>
      </c>
      <c r="B6" s="5" t="n">
        <v>20</v>
      </c>
      <c r="C6" s="5" t="n">
        <v>10</v>
      </c>
      <c r="D6" s="5" t="n">
        <v>11</v>
      </c>
      <c r="E6" s="5" t="n">
        <v>10</v>
      </c>
      <c r="F6" s="6" t="n">
        <v>0.5</v>
      </c>
      <c r="G6" s="6" t="n">
        <v>0.55</v>
      </c>
      <c r="H6" s="6" t="n">
        <v>0.5</v>
      </c>
      <c r="I6" s="7" t="n">
        <v>0.5167</v>
      </c>
    </row>
    <row r="7" ht="17" customHeight="1">
      <c r="A7" s="8" t="inlineStr">
        <is>
          <t>NIFTY AUTO</t>
        </is>
      </c>
      <c r="B7" s="9" t="n">
        <v>15</v>
      </c>
      <c r="C7" s="9" t="n">
        <v>9</v>
      </c>
      <c r="D7" s="9" t="n">
        <v>7</v>
      </c>
      <c r="E7" s="9" t="n">
        <v>7</v>
      </c>
      <c r="F7" s="10" t="n">
        <v>0.6</v>
      </c>
      <c r="G7" s="10" t="n">
        <v>0.467</v>
      </c>
      <c r="H7" s="10" t="n">
        <v>0.467</v>
      </c>
      <c r="I7" s="11" t="n">
        <v>0.5113</v>
      </c>
    </row>
    <row r="8" ht="17" customHeight="1">
      <c r="A8" s="4" t="inlineStr">
        <is>
          <t>NIFTY PSU BANK</t>
        </is>
      </c>
      <c r="B8" s="5" t="n">
        <v>12</v>
      </c>
      <c r="C8" s="5" t="n">
        <v>6</v>
      </c>
      <c r="D8" s="5" t="n">
        <v>6</v>
      </c>
      <c r="E8" s="5" t="n">
        <v>6</v>
      </c>
      <c r="F8" s="6" t="n">
        <v>0.5</v>
      </c>
      <c r="G8" s="6" t="n">
        <v>0.5</v>
      </c>
      <c r="H8" s="6" t="n">
        <v>0.5</v>
      </c>
      <c r="I8" s="7" t="n">
        <v>0.5</v>
      </c>
    </row>
    <row r="9" ht="17" customHeight="1">
      <c r="A9" s="8" t="inlineStr">
        <is>
          <t>NIFTY OIL &amp; GAS</t>
        </is>
      </c>
      <c r="B9" s="9" t="n">
        <v>15</v>
      </c>
      <c r="C9" s="9" t="n">
        <v>5</v>
      </c>
      <c r="D9" s="9" t="n">
        <v>8</v>
      </c>
      <c r="E9" s="9" t="n">
        <v>5</v>
      </c>
      <c r="F9" s="10" t="n">
        <v>0.333</v>
      </c>
      <c r="G9" s="10" t="n">
        <v>0.5329999999999999</v>
      </c>
      <c r="H9" s="10" t="n">
        <v>0.333</v>
      </c>
      <c r="I9" s="11" t="n">
        <v>0.3997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7</v>
      </c>
      <c r="D10" s="5" t="n">
        <v>6</v>
      </c>
      <c r="E10" s="5" t="n">
        <v>4</v>
      </c>
      <c r="F10" s="6" t="n">
        <v>0.467</v>
      </c>
      <c r="G10" s="6" t="n">
        <v>0.4</v>
      </c>
      <c r="H10" s="6" t="n">
        <v>0.267</v>
      </c>
      <c r="I10" s="7" t="n">
        <v>0.3779999999999999</v>
      </c>
    </row>
    <row r="11" ht="17" customHeight="1">
      <c r="A11" s="8" t="inlineStr">
        <is>
          <t>NIFTY MEDIA</t>
        </is>
      </c>
      <c r="B11" s="9" t="n">
        <v>10</v>
      </c>
      <c r="C11" s="9" t="n">
        <v>2</v>
      </c>
      <c r="D11" s="9" t="n">
        <v>5</v>
      </c>
      <c r="E11" s="9" t="n">
        <v>4</v>
      </c>
      <c r="F11" s="10" t="n">
        <v>0.2</v>
      </c>
      <c r="G11" s="10" t="n">
        <v>0.5</v>
      </c>
      <c r="H11" s="10" t="n">
        <v>0.4</v>
      </c>
      <c r="I11" s="11" t="n">
        <v>0.3667</v>
      </c>
    </row>
    <row r="12" ht="17" customHeight="1">
      <c r="A12" s="4" t="inlineStr">
        <is>
          <t>NIFTY ENERGY</t>
        </is>
      </c>
      <c r="B12" s="5" t="n">
        <v>40</v>
      </c>
      <c r="C12" s="5" t="n">
        <v>11</v>
      </c>
      <c r="D12" s="5" t="n">
        <v>15</v>
      </c>
      <c r="E12" s="5" t="n">
        <v>18</v>
      </c>
      <c r="F12" s="6" t="n">
        <v>0.275</v>
      </c>
      <c r="G12" s="6" t="n">
        <v>0.375</v>
      </c>
      <c r="H12" s="6" t="n">
        <v>0.45</v>
      </c>
      <c r="I12" s="7" t="n">
        <v>0.3667</v>
      </c>
    </row>
    <row r="13" ht="17" customHeight="1">
      <c r="A13" s="8" t="inlineStr">
        <is>
          <t>NIFTY FMCG</t>
        </is>
      </c>
      <c r="B13" s="9" t="n">
        <v>15</v>
      </c>
      <c r="C13" s="9" t="n">
        <v>5</v>
      </c>
      <c r="D13" s="9" t="n">
        <v>5</v>
      </c>
      <c r="E13" s="9" t="n">
        <v>6</v>
      </c>
      <c r="F13" s="10" t="n">
        <v>0.333</v>
      </c>
      <c r="G13" s="10" t="n">
        <v>0.333</v>
      </c>
      <c r="H13" s="10" t="n">
        <v>0.4</v>
      </c>
      <c r="I13" s="11" t="n">
        <v>0.3553</v>
      </c>
    </row>
    <row r="14" ht="17" customHeight="1">
      <c r="A14" s="4" t="inlineStr">
        <is>
          <t>NIFTY MIDSMALL IT &amp; TELECOM</t>
        </is>
      </c>
      <c r="B14" s="5" t="n">
        <v>20</v>
      </c>
      <c r="C14" s="5" t="n">
        <v>7</v>
      </c>
      <c r="D14" s="5" t="n">
        <v>7</v>
      </c>
      <c r="E14" s="5" t="n">
        <v>7</v>
      </c>
      <c r="F14" s="6" t="n">
        <v>0.35</v>
      </c>
      <c r="G14" s="6" t="n">
        <v>0.35</v>
      </c>
      <c r="H14" s="6" t="n">
        <v>0.35</v>
      </c>
      <c r="I14" s="7" t="n">
        <v>0.35</v>
      </c>
    </row>
    <row r="15" ht="17" customHeight="1">
      <c r="A15" s="8" t="inlineStr">
        <is>
          <t>NIFTY BANK</t>
        </is>
      </c>
      <c r="B15" s="9" t="n">
        <v>12</v>
      </c>
      <c r="C15" s="9" t="n">
        <v>4</v>
      </c>
      <c r="D15" s="9" t="n">
        <v>4</v>
      </c>
      <c r="E15" s="9" t="n">
        <v>4</v>
      </c>
      <c r="F15" s="10" t="n">
        <v>0.333</v>
      </c>
      <c r="G15" s="10" t="n">
        <v>0.333</v>
      </c>
      <c r="H15" s="10" t="n">
        <v>0.333</v>
      </c>
      <c r="I15" s="11" t="n">
        <v>0.333</v>
      </c>
    </row>
    <row r="16" ht="17" customHeight="1">
      <c r="A16" s="4" t="inlineStr">
        <is>
          <t>NIFTY METAL</t>
        </is>
      </c>
      <c r="B16" s="5" t="n">
        <v>15</v>
      </c>
      <c r="C16" s="5" t="n">
        <v>2</v>
      </c>
      <c r="D16" s="5" t="n">
        <v>2</v>
      </c>
      <c r="E16" s="5" t="n">
        <v>9</v>
      </c>
      <c r="F16" s="6" t="n">
        <v>0.133</v>
      </c>
      <c r="G16" s="6" t="n">
        <v>0.133</v>
      </c>
      <c r="H16" s="6" t="n">
        <v>0.6</v>
      </c>
      <c r="I16" s="7" t="n">
        <v>0.2887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3422.7</v>
      </c>
      <c r="D3" s="14" t="n">
        <v>3161.12</v>
      </c>
      <c r="E3" s="14" t="n">
        <v>3065.6</v>
      </c>
      <c r="F3" s="14" t="n">
        <v>2850.13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5570</v>
      </c>
      <c r="D4" s="14" t="n">
        <v>5401.56</v>
      </c>
      <c r="E4" s="14" t="n">
        <v>5408.23</v>
      </c>
      <c r="F4" s="14" t="n">
        <v>5398.39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1578.7</v>
      </c>
      <c r="D5" s="14" t="n">
        <v>1498.04</v>
      </c>
      <c r="E5" s="14" t="n">
        <v>1452.41</v>
      </c>
      <c r="F5" s="14" t="n">
        <v>1303.07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418.3</v>
      </c>
      <c r="D6" s="14" t="n">
        <v>416.61</v>
      </c>
      <c r="E6" s="14" t="n">
        <v>407.26</v>
      </c>
      <c r="F6" s="14" t="n">
        <v>386.23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CIPLA</t>
        </is>
      </c>
      <c r="C7" s="14" t="n">
        <v>1465.4</v>
      </c>
      <c r="D7" s="14" t="n">
        <v>1407.35</v>
      </c>
      <c r="E7" s="14" t="n">
        <v>1372.86</v>
      </c>
      <c r="F7" s="14" t="n">
        <v>1388.98</v>
      </c>
      <c r="G7" s="15">
        <f>HYPERLINK("https://www.tradingview.com/chart/?symbol=NSE:CIPLA","Chart 📈")</f>
        <v/>
      </c>
    </row>
    <row r="8" ht="16" customHeight="1">
      <c r="A8" s="16" t="inlineStr">
        <is>
          <t>NIFTY PHARMA</t>
        </is>
      </c>
      <c r="B8" s="13" t="inlineStr">
        <is>
          <t>DRREDDY</t>
        </is>
      </c>
      <c r="C8" s="14" t="n">
        <v>1357.1</v>
      </c>
      <c r="D8" s="14" t="n">
        <v>1311.51</v>
      </c>
      <c r="E8" s="14" t="n">
        <v>1296.93</v>
      </c>
      <c r="F8" s="14" t="n">
        <v>1275.27</v>
      </c>
      <c r="G8" s="15">
        <f>HYPERLINK("https://www.tradingview.com/chart/?symbol=NSE:DRREDDY","Chart 📈")</f>
        <v/>
      </c>
    </row>
    <row r="9" ht="16" customHeight="1">
      <c r="A9" s="16" t="inlineStr">
        <is>
          <t>NIFTY PHARMA</t>
        </is>
      </c>
      <c r="B9" s="13" t="inlineStr">
        <is>
          <t>GLAND</t>
        </is>
      </c>
      <c r="C9" s="14" t="n">
        <v>2495</v>
      </c>
      <c r="D9" s="14" t="n">
        <v>2276.49</v>
      </c>
      <c r="E9" s="14" t="n">
        <v>2141.61</v>
      </c>
      <c r="F9" s="14" t="n">
        <v>1926.04</v>
      </c>
      <c r="G9" s="15">
        <f>HYPERLINK("https://www.tradingview.com/chart/?symbol=NSE:GLAND","Chart 📈")</f>
        <v/>
      </c>
    </row>
    <row r="10" ht="16" customHeight="1">
      <c r="A10" s="16" t="inlineStr">
        <is>
          <t>NIFTY PHARMA</t>
        </is>
      </c>
      <c r="B10" s="13" t="inlineStr">
        <is>
          <t>GRANULES</t>
        </is>
      </c>
      <c r="C10" s="14" t="n">
        <v>813.25</v>
      </c>
      <c r="D10" s="14" t="n">
        <v>773.71</v>
      </c>
      <c r="E10" s="14" t="n">
        <v>742.14</v>
      </c>
      <c r="F10" s="14" t="n">
        <v>637.63</v>
      </c>
      <c r="G10" s="15">
        <f>HYPERLINK("https://www.tradingview.com/chart/?symbol=NSE:GRANULES","Chart 📈")</f>
        <v/>
      </c>
    </row>
    <row r="11" ht="16" customHeight="1">
      <c r="A11" s="16" t="inlineStr">
        <is>
          <t>NIFTY PHARMA</t>
        </is>
      </c>
      <c r="B11" s="13" t="inlineStr">
        <is>
          <t>IPCALAB</t>
        </is>
      </c>
      <c r="C11" s="14" t="n">
        <v>1701</v>
      </c>
      <c r="D11" s="14" t="n">
        <v>1605.69</v>
      </c>
      <c r="E11" s="14" t="n">
        <v>1576.56</v>
      </c>
      <c r="F11" s="14" t="n">
        <v>1495.07</v>
      </c>
      <c r="G11" s="15">
        <f>HYPERLINK("https://www.tradingview.com/chart/?symbol=NSE:IPCALAB","Chart 📈")</f>
        <v/>
      </c>
    </row>
    <row r="12" ht="16" customHeight="1">
      <c r="A12" s="16" t="inlineStr">
        <is>
          <t>NIFTY PHARMA</t>
        </is>
      </c>
      <c r="B12" s="13" t="inlineStr">
        <is>
          <t>JBCHEPHARM</t>
        </is>
      </c>
      <c r="C12" s="14" t="n">
        <v>2295.9</v>
      </c>
      <c r="D12" s="14" t="n">
        <v>2217.98</v>
      </c>
      <c r="E12" s="14" t="n">
        <v>2158.54</v>
      </c>
      <c r="F12" s="14" t="n">
        <v>1965.9</v>
      </c>
      <c r="G12" s="15">
        <f>HYPERLINK("https://www.tradingview.com/chart/?symbol=NSE:JBCHEPHARM","Chart 📈")</f>
        <v/>
      </c>
    </row>
    <row r="13" ht="16" customHeight="1">
      <c r="A13" s="16" t="inlineStr">
        <is>
          <t>NIFTY PHARMA</t>
        </is>
      </c>
      <c r="B13" s="13" t="inlineStr">
        <is>
          <t>LAURUSLABS</t>
        </is>
      </c>
      <c r="C13" s="14" t="n">
        <v>1517.4</v>
      </c>
      <c r="D13" s="14" t="n">
        <v>1423.86</v>
      </c>
      <c r="E13" s="14" t="n">
        <v>1333.3</v>
      </c>
      <c r="F13" s="14" t="n">
        <v>1109.17</v>
      </c>
      <c r="G13" s="15">
        <f>HYPERLINK("https://www.tradingview.com/chart/?symbol=NSE:LAURUSLABS","Chart 📈")</f>
        <v/>
      </c>
    </row>
    <row r="14" ht="16" customHeight="1">
      <c r="A14" s="16" t="inlineStr">
        <is>
          <t>NIFTY PHARMA</t>
        </is>
      </c>
      <c r="B14" s="13" t="inlineStr">
        <is>
          <t>LUPIN</t>
        </is>
      </c>
      <c r="C14" s="14" t="n">
        <v>2419</v>
      </c>
      <c r="D14" s="14" t="n">
        <v>2329.77</v>
      </c>
      <c r="E14" s="14" t="n">
        <v>2305.59</v>
      </c>
      <c r="F14" s="14" t="n">
        <v>2195.51</v>
      </c>
      <c r="G14" s="15">
        <f>HYPERLINK("https://www.tradingview.com/chart/?symbol=NSE:LUPIN","Chart 📈")</f>
        <v/>
      </c>
    </row>
    <row r="15" ht="16" customHeight="1">
      <c r="A15" s="16" t="inlineStr">
        <is>
          <t>NIFTY PHARMA</t>
        </is>
      </c>
      <c r="B15" s="13" t="inlineStr">
        <is>
          <t>MANKIND</t>
        </is>
      </c>
      <c r="C15" s="14" t="n">
        <v>2545.6</v>
      </c>
      <c r="D15" s="14" t="n">
        <v>2441.21</v>
      </c>
      <c r="E15" s="14" t="n">
        <v>2374.69</v>
      </c>
      <c r="F15" s="14" t="n">
        <v>2296.84</v>
      </c>
      <c r="G15" s="15">
        <f>HYPERLINK("https://www.tradingview.com/chart/?symbol=NSE:MANKIND","Chart 📈")</f>
        <v/>
      </c>
    </row>
    <row r="16" ht="16" customHeight="1">
      <c r="A16" s="16" t="inlineStr">
        <is>
          <t>NIFTY PHARMA</t>
        </is>
      </c>
      <c r="B16" s="13" t="inlineStr">
        <is>
          <t>SUNPHARMA</t>
        </is>
      </c>
      <c r="C16" s="14" t="n">
        <v>1862.5</v>
      </c>
      <c r="D16" s="14" t="n">
        <v>1839.37</v>
      </c>
      <c r="E16" s="14" t="n">
        <v>1814.88</v>
      </c>
      <c r="F16" s="14" t="n">
        <v>1748.69</v>
      </c>
      <c r="G16" s="15">
        <f>HYPERLINK("https://www.tradingview.com/chart/?symbol=NSE:SUNPHARMA","Chart 📈")</f>
        <v/>
      </c>
    </row>
    <row r="17" ht="16" customHeight="1">
      <c r="A17" s="16" t="inlineStr">
        <is>
          <t>NIFTY PHARMA</t>
        </is>
      </c>
      <c r="B17" s="13" t="inlineStr">
        <is>
          <t>TORNTPHARM</t>
        </is>
      </c>
      <c r="C17" s="14" t="n">
        <v>4620.1</v>
      </c>
      <c r="D17" s="14" t="n">
        <v>4497.87</v>
      </c>
      <c r="E17" s="14" t="n">
        <v>4410.31</v>
      </c>
      <c r="F17" s="14" t="n">
        <v>4076.49</v>
      </c>
      <c r="G17" s="15">
        <f>HYPERLINK("https://www.tradingview.com/chart/?symbol=NSE:TORNTPHARM","Chart 📈")</f>
        <v/>
      </c>
    </row>
    <row r="18" ht="16" customHeight="1">
      <c r="A18" s="16" t="inlineStr">
        <is>
          <t>NIFTY PHARMA</t>
        </is>
      </c>
      <c r="B18" s="13" t="inlineStr">
        <is>
          <t>ZYDUSLIFE</t>
        </is>
      </c>
      <c r="C18" s="14" t="n">
        <v>1112.6</v>
      </c>
      <c r="D18" s="14" t="n">
        <v>1087.73</v>
      </c>
      <c r="E18" s="14" t="n">
        <v>1041.01</v>
      </c>
      <c r="F18" s="14" t="n">
        <v>974.28</v>
      </c>
      <c r="G18" s="15">
        <f>HYPERLINK("https://www.tradingview.com/chart/?symbol=NSE:ZYDUSLIFE","Chart 📈")</f>
        <v/>
      </c>
    </row>
    <row r="19" ht="16" customHeight="1">
      <c r="A19" s="8" t="inlineStr">
        <is>
          <t>NIFTY REALTY</t>
        </is>
      </c>
      <c r="B19" s="17" t="inlineStr">
        <is>
          <t>MAHLIFE</t>
        </is>
      </c>
      <c r="C19" s="18" t="n">
        <v>366.45</v>
      </c>
      <c r="D19" s="18" t="n">
        <v>349.14</v>
      </c>
      <c r="E19" s="18" t="n">
        <v>342.81</v>
      </c>
      <c r="F19" s="18" t="n">
        <v>354</v>
      </c>
      <c r="G19" s="19">
        <f>HYPERLINK("https://www.tradingview.com/chart/?symbol=NSE:MAHLIFE","Chart 📈")</f>
        <v/>
      </c>
    </row>
    <row r="20" ht="16" customHeight="1">
      <c r="A20" s="20" t="inlineStr">
        <is>
          <t>NIFTY REALTY</t>
        </is>
      </c>
      <c r="B20" s="17" t="inlineStr">
        <is>
          <t>OBEROIRLTY</t>
        </is>
      </c>
      <c r="C20" s="18" t="n">
        <v>1769.2</v>
      </c>
      <c r="D20" s="18" t="n">
        <v>1700.74</v>
      </c>
      <c r="E20" s="18" t="n">
        <v>1665.18</v>
      </c>
      <c r="F20" s="18" t="n">
        <v>1652.61</v>
      </c>
      <c r="G20" s="19">
        <f>HYPERLINK("https://www.tradingview.com/chart/?symbol=NSE:OBEROIRLTY","Chart 📈")</f>
        <v/>
      </c>
    </row>
    <row r="21" ht="16" customHeight="1">
      <c r="A21" s="20" t="inlineStr">
        <is>
          <t>NIFTY REALTY</t>
        </is>
      </c>
      <c r="B21" s="17" t="inlineStr">
        <is>
          <t>PHOENIXLTD</t>
        </is>
      </c>
      <c r="C21" s="18" t="n">
        <v>1948.6</v>
      </c>
      <c r="D21" s="18" t="n">
        <v>1851.51</v>
      </c>
      <c r="E21" s="18" t="n">
        <v>1797.85</v>
      </c>
      <c r="F21" s="18" t="n">
        <v>1717.23</v>
      </c>
      <c r="G21" s="19">
        <f>HYPERLINK("https://www.tradingview.com/chart/?symbol=NSE:PHOENIXLTD","Chart 📈")</f>
        <v/>
      </c>
    </row>
    <row r="22" ht="16" customHeight="1">
      <c r="A22" s="20" t="inlineStr">
        <is>
          <t>NIFTY REALTY</t>
        </is>
      </c>
      <c r="B22" s="17" t="inlineStr">
        <is>
          <t>PRESTIGE</t>
        </is>
      </c>
      <c r="C22" s="18" t="n">
        <v>1564.6</v>
      </c>
      <c r="D22" s="18" t="n">
        <v>1476.19</v>
      </c>
      <c r="E22" s="18" t="n">
        <v>1428.74</v>
      </c>
      <c r="F22" s="18" t="n">
        <v>1479.12</v>
      </c>
      <c r="G22" s="19">
        <f>HYPERLINK("https://www.tradingview.com/chart/?symbol=NSE:PRESTIGE","Chart 📈")</f>
        <v/>
      </c>
    </row>
    <row r="23" ht="16" customHeight="1">
      <c r="A23" s="20" t="inlineStr">
        <is>
          <t>NIFTY REALTY</t>
        </is>
      </c>
      <c r="B23" s="17" t="inlineStr">
        <is>
          <t>RAYMOND</t>
        </is>
      </c>
      <c r="C23" s="18" t="n">
        <v>581.8</v>
      </c>
      <c r="D23" s="18" t="n">
        <v>572.14</v>
      </c>
      <c r="E23" s="18" t="n">
        <v>528.66</v>
      </c>
      <c r="F23" s="18" t="n">
        <v>505.95</v>
      </c>
      <c r="G23" s="19">
        <f>HYPERLINK("https://www.tradingview.com/chart/?symbol=NSE:RAYMOND","Chart 📈")</f>
        <v/>
      </c>
    </row>
    <row r="24" ht="16" customHeight="1">
      <c r="A24" s="12" t="inlineStr">
        <is>
          <t>NIFTY FINANCIAL SERVICES</t>
        </is>
      </c>
      <c r="B24" s="13" t="inlineStr">
        <is>
          <t>AXISBANK</t>
        </is>
      </c>
      <c r="C24" s="14" t="n">
        <v>1345.7</v>
      </c>
      <c r="D24" s="14" t="n">
        <v>1341.48</v>
      </c>
      <c r="E24" s="14" t="n">
        <v>1316.28</v>
      </c>
      <c r="F24" s="14" t="n">
        <v>1272.68</v>
      </c>
      <c r="G24" s="15">
        <f>HYPERLINK("https://www.tradingview.com/chart/?symbol=NSE:AXISBANK","Chart 📈")</f>
        <v/>
      </c>
    </row>
    <row r="25" ht="16" customHeight="1">
      <c r="A25" s="16" t="inlineStr">
        <is>
          <t>NIFTY FINANCIAL SERVICES</t>
        </is>
      </c>
      <c r="B25" s="13" t="inlineStr">
        <is>
          <t>BAJFINANCE</t>
        </is>
      </c>
      <c r="C25" s="14" t="n">
        <v>1004.75</v>
      </c>
      <c r="D25" s="14" t="n">
        <v>947.79</v>
      </c>
      <c r="E25" s="14" t="n">
        <v>929.11</v>
      </c>
      <c r="F25" s="14" t="n">
        <v>938.15</v>
      </c>
      <c r="G25" s="15">
        <f>HYPERLINK("https://www.tradingview.com/chart/?symbol=NSE:BAJFINANCE","Chart 📈")</f>
        <v/>
      </c>
    </row>
    <row r="26" ht="16" customHeight="1">
      <c r="A26" s="16" t="inlineStr">
        <is>
          <t>NIFTY FINANCIAL SERVICES</t>
        </is>
      </c>
      <c r="B26" s="13" t="inlineStr">
        <is>
          <t>CHOLAFIN</t>
        </is>
      </c>
      <c r="C26" s="14" t="n">
        <v>1789.8</v>
      </c>
      <c r="D26" s="14" t="n">
        <v>1667.22</v>
      </c>
      <c r="E26" s="14" t="n">
        <v>1610.91</v>
      </c>
      <c r="F26" s="14" t="n">
        <v>1609.35</v>
      </c>
      <c r="G26" s="15">
        <f>HYPERLINK("https://www.tradingview.com/chart/?symbol=NSE:CHOLAFIN","Chart 📈")</f>
        <v/>
      </c>
    </row>
    <row r="27" ht="16" customHeight="1">
      <c r="A27" s="16" t="inlineStr">
        <is>
          <t>NIFTY FINANCIAL SERVICES</t>
        </is>
      </c>
      <c r="B27" s="13" t="inlineStr">
        <is>
          <t>HDFCAMC</t>
        </is>
      </c>
      <c r="C27" s="14" t="n">
        <v>2653.2</v>
      </c>
      <c r="D27" s="14" t="n">
        <v>2619.66</v>
      </c>
      <c r="E27" s="14" t="n">
        <v>2601.43</v>
      </c>
      <c r="F27" s="14" t="n">
        <v>2592.74</v>
      </c>
      <c r="G27" s="15">
        <f>HYPERLINK("https://www.tradingview.com/chart/?symbol=NSE:HDFCAMC","Chart 📈")</f>
        <v/>
      </c>
    </row>
    <row r="28" ht="16" customHeight="1">
      <c r="A28" s="16" t="inlineStr">
        <is>
          <t>NIFTY FINANCIAL SERVICES</t>
        </is>
      </c>
      <c r="B28" s="13" t="inlineStr">
        <is>
          <t>ICICIBANK</t>
        </is>
      </c>
      <c r="C28" s="14" t="n">
        <v>1375.2</v>
      </c>
      <c r="D28" s="14" t="n">
        <v>1337.29</v>
      </c>
      <c r="E28" s="14" t="n">
        <v>1311.43</v>
      </c>
      <c r="F28" s="14" t="n">
        <v>1340.05</v>
      </c>
      <c r="G28" s="15">
        <f>HYPERLINK("https://www.tradingview.com/chart/?symbol=NSE:ICICIBANK","Chart 📈")</f>
        <v/>
      </c>
    </row>
    <row r="29" ht="16" customHeight="1">
      <c r="A29" s="16" t="inlineStr">
        <is>
          <t>NIFTY FINANCIAL SERVICES</t>
        </is>
      </c>
      <c r="B29" s="13" t="inlineStr">
        <is>
          <t>LICHSGFIN</t>
        </is>
      </c>
      <c r="C29" s="14" t="n">
        <v>564</v>
      </c>
      <c r="D29" s="14" t="n">
        <v>550.88</v>
      </c>
      <c r="E29" s="14" t="n">
        <v>546.74</v>
      </c>
      <c r="F29" s="14" t="n">
        <v>548.22</v>
      </c>
      <c r="G29" s="15">
        <f>HYPERLINK("https://www.tradingview.com/chart/?symbol=NSE:LICHSGFIN","Chart 📈")</f>
        <v/>
      </c>
    </row>
    <row r="30" ht="16" customHeight="1">
      <c r="A30" s="16" t="inlineStr">
        <is>
          <t>NIFTY FINANCIAL SERVICES</t>
        </is>
      </c>
      <c r="B30" s="13" t="inlineStr">
        <is>
          <t>RECLTD</t>
        </is>
      </c>
      <c r="C30" s="14" t="n">
        <v>363.8</v>
      </c>
      <c r="D30" s="14" t="n">
        <v>356.19</v>
      </c>
      <c r="E30" s="14" t="n">
        <v>351.13</v>
      </c>
      <c r="F30" s="14" t="n">
        <v>353.79</v>
      </c>
      <c r="G30" s="15">
        <f>HYPERLINK("https://www.tradingview.com/chart/?symbol=NSE:RECLTD","Chart 📈")</f>
        <v/>
      </c>
    </row>
    <row r="31" ht="16" customHeight="1">
      <c r="A31" s="16" t="inlineStr">
        <is>
          <t>NIFTY FINANCIAL SERVICES</t>
        </is>
      </c>
      <c r="B31" s="13" t="inlineStr">
        <is>
          <t>SHRIRAMFIN</t>
        </is>
      </c>
      <c r="C31" s="14" t="n">
        <v>1042.15</v>
      </c>
      <c r="D31" s="14" t="n">
        <v>986.78</v>
      </c>
      <c r="E31" s="14" t="n">
        <v>972.04</v>
      </c>
      <c r="F31" s="14" t="n">
        <v>908.62</v>
      </c>
      <c r="G31" s="15">
        <f>HYPERLINK("https://www.tradingview.com/chart/?symbol=NSE:SHRIRAMFIN","Chart 📈")</f>
        <v/>
      </c>
    </row>
    <row r="32" ht="16" customHeight="1">
      <c r="A32" s="8" t="inlineStr">
        <is>
          <t>NIFTY AUTO</t>
        </is>
      </c>
      <c r="B32" s="17" t="inlineStr">
        <is>
          <t>BHARATFORG</t>
        </is>
      </c>
      <c r="C32" s="18" t="n">
        <v>2144.1</v>
      </c>
      <c r="D32" s="18" t="n">
        <v>2054.44</v>
      </c>
      <c r="E32" s="18" t="n">
        <v>1962.69</v>
      </c>
      <c r="F32" s="18" t="n">
        <v>1685.62</v>
      </c>
      <c r="G32" s="19">
        <f>HYPERLINK("https://www.tradingview.com/chart/?symbol=NSE:BHARATFORG","Chart 📈")</f>
        <v/>
      </c>
    </row>
    <row r="33" ht="16" customHeight="1">
      <c r="A33" s="20" t="inlineStr">
        <is>
          <t>NIFTY AUTO</t>
        </is>
      </c>
      <c r="B33" s="17" t="inlineStr">
        <is>
          <t>BOSCHLTD</t>
        </is>
      </c>
      <c r="C33" s="18" t="n">
        <v>39900</v>
      </c>
      <c r="D33" s="18" t="n">
        <v>39036.73</v>
      </c>
      <c r="E33" s="18" t="n">
        <v>37676.23</v>
      </c>
      <c r="F33" s="18" t="n">
        <v>36304.97</v>
      </c>
      <c r="G33" s="19">
        <f>HYPERLINK("https://www.tradingview.com/chart/?symbol=NSE:BOSCHLTD","Chart 📈")</f>
        <v/>
      </c>
    </row>
    <row r="34" ht="16" customHeight="1">
      <c r="A34" s="20" t="inlineStr">
        <is>
          <t>NIFTY AUTO</t>
        </is>
      </c>
      <c r="B34" s="17" t="inlineStr">
        <is>
          <t>EXIDEIND</t>
        </is>
      </c>
      <c r="C34" s="18" t="n">
        <v>387.6</v>
      </c>
      <c r="D34" s="18" t="n">
        <v>385.48</v>
      </c>
      <c r="E34" s="18" t="n">
        <v>371.66</v>
      </c>
      <c r="F34" s="18" t="n">
        <v>361.36</v>
      </c>
      <c r="G34" s="19">
        <f>HYPERLINK("https://www.tradingview.com/chart/?symbol=NSE:EXIDEIND","Chart 📈")</f>
        <v/>
      </c>
    </row>
    <row r="35" ht="16" customHeight="1">
      <c r="A35" s="20" t="inlineStr">
        <is>
          <t>NIFTY AUTO</t>
        </is>
      </c>
      <c r="B35" s="17" t="inlineStr">
        <is>
          <t>MARUTI</t>
        </is>
      </c>
      <c r="C35" s="18" t="n">
        <v>14115</v>
      </c>
      <c r="D35" s="18" t="n">
        <v>13470.94</v>
      </c>
      <c r="E35" s="18" t="n">
        <v>13416.88</v>
      </c>
      <c r="F35" s="18" t="n">
        <v>13959.89</v>
      </c>
      <c r="G35" s="19">
        <f>HYPERLINK("https://www.tradingview.com/chart/?symbol=NSE:MARUTI","Chart 📈")</f>
        <v/>
      </c>
    </row>
    <row r="36" ht="16" customHeight="1">
      <c r="A36" s="20" t="inlineStr">
        <is>
          <t>NIFTY AUTO</t>
        </is>
      </c>
      <c r="B36" s="17" t="inlineStr">
        <is>
          <t>MOTHERSON</t>
        </is>
      </c>
      <c r="C36" s="18" t="n">
        <v>148.11</v>
      </c>
      <c r="D36" s="18" t="n">
        <v>145.21</v>
      </c>
      <c r="E36" s="18" t="n">
        <v>138.17</v>
      </c>
      <c r="F36" s="18" t="n">
        <v>122.78</v>
      </c>
      <c r="G36" s="19">
        <f>HYPERLINK("https://www.tradingview.com/chart/?symbol=NSE:MOTHERSON","Chart 📈")</f>
        <v/>
      </c>
    </row>
    <row r="37" ht="16" customHeight="1">
      <c r="A37" s="12" t="inlineStr">
        <is>
          <t>NIFTY PSU BANK</t>
        </is>
      </c>
      <c r="B37" s="13" t="inlineStr">
        <is>
          <t>MAHABANK</t>
        </is>
      </c>
      <c r="C37" s="14" t="n">
        <v>91.44</v>
      </c>
      <c r="D37" s="14" t="n">
        <v>87.05</v>
      </c>
      <c r="E37" s="14" t="n">
        <v>81.76000000000001</v>
      </c>
      <c r="F37" s="14" t="n">
        <v>69.33</v>
      </c>
      <c r="G37" s="15">
        <f>HYPERLINK("https://www.tradingview.com/chart/?symbol=NSE:MAHABANK","Chart 📈")</f>
        <v/>
      </c>
    </row>
    <row r="38" ht="16" customHeight="1">
      <c r="A38" s="16" t="inlineStr">
        <is>
          <t>NIFTY PSU BANK</t>
        </is>
      </c>
      <c r="B38" s="13" t="inlineStr">
        <is>
          <t>SBIN</t>
        </is>
      </c>
      <c r="C38" s="14" t="n">
        <v>1026.9</v>
      </c>
      <c r="D38" s="14" t="n">
        <v>1019.85</v>
      </c>
      <c r="E38" s="14" t="n">
        <v>1015.37</v>
      </c>
      <c r="F38" s="14" t="n">
        <v>984.48</v>
      </c>
      <c r="G38" s="15">
        <f>HYPERLINK("https://www.tradingview.com/chart/?symbol=NSE:SBIN","Chart 📈")</f>
        <v/>
      </c>
    </row>
    <row r="39" ht="16" customHeight="1">
      <c r="A39" s="16" t="inlineStr">
        <is>
          <t>NIFTY PSU BANK</t>
        </is>
      </c>
      <c r="B39" s="13" t="inlineStr">
        <is>
          <t>UNIONBANK</t>
        </is>
      </c>
      <c r="C39" s="14" t="n">
        <v>172.43</v>
      </c>
      <c r="D39" s="14" t="n">
        <v>171.99</v>
      </c>
      <c r="E39" s="14" t="n">
        <v>171.19</v>
      </c>
      <c r="F39" s="14" t="n">
        <v>165.66</v>
      </c>
      <c r="G39" s="15">
        <f>HYPERLINK("https://www.tradingview.com/chart/?symbol=NSE:UNIONBANK","Chart 📈")</f>
        <v/>
      </c>
    </row>
    <row r="40" ht="16" customHeight="1">
      <c r="A40" s="8" t="inlineStr">
        <is>
          <t>NIFTY OIL &amp; GAS</t>
        </is>
      </c>
      <c r="B40" s="17" t="inlineStr">
        <is>
          <t>AEGISLOG</t>
        </is>
      </c>
      <c r="C40" s="18" t="n">
        <v>1173.95</v>
      </c>
      <c r="D40" s="18" t="n">
        <v>996.5700000000001</v>
      </c>
      <c r="E40" s="18" t="n">
        <v>862.5</v>
      </c>
      <c r="F40" s="18" t="n">
        <v>759.01</v>
      </c>
      <c r="G40" s="19">
        <f>HYPERLINK("https://www.tradingview.com/chart/?symbol=NSE:AEGISLOG","Chart 📈")</f>
        <v/>
      </c>
    </row>
    <row r="41" ht="16" customHeight="1">
      <c r="A41" s="20" t="inlineStr">
        <is>
          <t>NIFTY OIL &amp; GAS</t>
        </is>
      </c>
      <c r="B41" s="17" t="inlineStr">
        <is>
          <t>ATGL</t>
        </is>
      </c>
      <c r="C41" s="18" t="n">
        <v>731.55</v>
      </c>
      <c r="D41" s="18" t="n">
        <v>719.71</v>
      </c>
      <c r="E41" s="18" t="n">
        <v>683.37</v>
      </c>
      <c r="F41" s="18" t="n">
        <v>625.01</v>
      </c>
      <c r="G41" s="19">
        <f>HYPERLINK("https://www.tradingview.com/chart/?symbol=NSE:ATGL","Chart 📈")</f>
        <v/>
      </c>
    </row>
    <row r="42" ht="16" customHeight="1">
      <c r="A42" s="20" t="inlineStr">
        <is>
          <t>NIFTY OIL &amp; GAS</t>
        </is>
      </c>
      <c r="B42" s="17" t="inlineStr">
        <is>
          <t>GAIL</t>
        </is>
      </c>
      <c r="C42" s="18" t="n">
        <v>173.46</v>
      </c>
      <c r="D42" s="18" t="n">
        <v>171.62</v>
      </c>
      <c r="E42" s="18" t="n">
        <v>167.13</v>
      </c>
      <c r="F42" s="18" t="n">
        <v>166.06</v>
      </c>
      <c r="G42" s="19">
        <f>HYPERLINK("https://www.tradingview.com/chart/?symbol=NSE:GAIL","Chart 📈")</f>
        <v/>
      </c>
    </row>
    <row r="43" ht="16" customHeight="1">
      <c r="A43" s="20" t="inlineStr">
        <is>
          <t>NIFTY OIL &amp; GAS</t>
        </is>
      </c>
      <c r="B43" s="17" t="inlineStr">
        <is>
          <t>MGL</t>
        </is>
      </c>
      <c r="C43" s="18" t="n">
        <v>1174.1</v>
      </c>
      <c r="D43" s="18" t="n">
        <v>1153.57</v>
      </c>
      <c r="E43" s="18" t="n">
        <v>1121.56</v>
      </c>
      <c r="F43" s="18" t="n">
        <v>1156.8</v>
      </c>
      <c r="G43" s="19">
        <f>HYPERLINK("https://www.tradingview.com/chart/?symbol=NSE:MGL","Chart 📈")</f>
        <v/>
      </c>
    </row>
    <row r="44" ht="16" customHeight="1">
      <c r="A44" s="20" t="inlineStr">
        <is>
          <t>NIFTY OIL &amp; GAS</t>
        </is>
      </c>
      <c r="B44" s="17" t="inlineStr">
        <is>
          <t>PETRONET</t>
        </is>
      </c>
      <c r="C44" s="18" t="n">
        <v>280.8</v>
      </c>
      <c r="D44" s="18" t="n">
        <v>279.62</v>
      </c>
      <c r="E44" s="18" t="n">
        <v>275.76</v>
      </c>
      <c r="F44" s="18" t="n">
        <v>276.43</v>
      </c>
      <c r="G44" s="19">
        <f>HYPERLINK("https://www.tradingview.com/chart/?symbol=NSE:PETRONET","Chart 📈")</f>
        <v/>
      </c>
    </row>
    <row r="45" ht="16" customHeight="1">
      <c r="A45" s="12" t="inlineStr">
        <is>
          <t>NIFTY CONSUMER DURABLES</t>
        </is>
      </c>
      <c r="B45" s="13" t="inlineStr">
        <is>
          <t>CERA</t>
        </is>
      </c>
      <c r="C45" s="14" t="n">
        <v>6451.5</v>
      </c>
      <c r="D45" s="14" t="n">
        <v>6156.1</v>
      </c>
      <c r="E45" s="14" t="n">
        <v>5820.22</v>
      </c>
      <c r="F45" s="14" t="n">
        <v>5660.36</v>
      </c>
      <c r="G45" s="15">
        <f>HYPERLINK("https://www.tradingview.com/chart/?symbol=NSE:CERA","Chart 📈")</f>
        <v/>
      </c>
    </row>
    <row r="46" ht="16" customHeight="1">
      <c r="A46" s="16" t="inlineStr">
        <is>
          <t>NIFTY CONSUMER DURABLES</t>
        </is>
      </c>
      <c r="B46" s="13" t="inlineStr">
        <is>
          <t>KAJARIACER</t>
        </is>
      </c>
      <c r="C46" s="14" t="n">
        <v>1210.4</v>
      </c>
      <c r="D46" s="14" t="n">
        <v>1150.03</v>
      </c>
      <c r="E46" s="14" t="n">
        <v>1112.51</v>
      </c>
      <c r="F46" s="14" t="n">
        <v>1078.09</v>
      </c>
      <c r="G46" s="15">
        <f>HYPERLINK("https://www.tradingview.com/chart/?symbol=NSE:KAJARIACER","Chart 📈")</f>
        <v/>
      </c>
    </row>
    <row r="47" ht="16" customHeight="1">
      <c r="A47" s="16" t="inlineStr">
        <is>
          <t>NIFTY CONSUMER DURABLES</t>
        </is>
      </c>
      <c r="B47" s="13" t="inlineStr">
        <is>
          <t>TITAN</t>
        </is>
      </c>
      <c r="C47" s="14" t="n">
        <v>4404</v>
      </c>
      <c r="D47" s="14" t="n">
        <v>4278.43</v>
      </c>
      <c r="E47" s="14" t="n">
        <v>4244.13</v>
      </c>
      <c r="F47" s="14" t="n">
        <v>4070.35</v>
      </c>
      <c r="G47" s="15">
        <f>HYPERLINK("https://www.tradingview.com/chart/?symbol=NSE:TITAN","Chart 📈")</f>
        <v/>
      </c>
    </row>
    <row r="48" ht="16" customHeight="1">
      <c r="A48" s="8" t="inlineStr">
        <is>
          <t>NIFTY MEDIA</t>
        </is>
      </c>
      <c r="B48" s="17" t="inlineStr">
        <is>
          <t>NAZARA</t>
        </is>
      </c>
      <c r="C48" s="18" t="n">
        <v>303.1</v>
      </c>
      <c r="D48" s="18" t="n">
        <v>292.93</v>
      </c>
      <c r="E48" s="18" t="n">
        <v>282.63</v>
      </c>
      <c r="F48" s="18" t="n">
        <v>277.16</v>
      </c>
      <c r="G48" s="19">
        <f>HYPERLINK("https://www.tradingview.com/chart/?symbol=NSE:NAZARA","Chart 📈")</f>
        <v/>
      </c>
    </row>
    <row r="49" ht="16" customHeight="1">
      <c r="A49" s="20" t="inlineStr">
        <is>
          <t>NIFTY MEDIA</t>
        </is>
      </c>
      <c r="B49" s="17" t="inlineStr">
        <is>
          <t>SAREGAMA</t>
        </is>
      </c>
      <c r="C49" s="18" t="n">
        <v>492.8</v>
      </c>
      <c r="D49" s="18" t="n">
        <v>460.99</v>
      </c>
      <c r="E49" s="18" t="n">
        <v>423.62</v>
      </c>
      <c r="F49" s="18" t="n">
        <v>401.3</v>
      </c>
      <c r="G49" s="19">
        <f>HYPERLINK("https://www.tradingview.com/chart/?symbol=NSE:SAREGAMA","Chart 📈")</f>
        <v/>
      </c>
    </row>
    <row r="50" ht="16" customHeight="1">
      <c r="A50" s="12" t="inlineStr">
        <is>
          <t>NIFTY ENERGY</t>
        </is>
      </c>
      <c r="B50" s="13" t="inlineStr">
        <is>
          <t>ADANIGREEN</t>
        </is>
      </c>
      <c r="C50" s="14" t="n">
        <v>1492.2</v>
      </c>
      <c r="D50" s="14" t="n">
        <v>1487.64</v>
      </c>
      <c r="E50" s="14" t="n">
        <v>1387.34</v>
      </c>
      <c r="F50" s="14" t="n">
        <v>1153.53</v>
      </c>
      <c r="G50" s="15">
        <f>HYPERLINK("https://www.tradingview.com/chart/?symbol=NSE:ADANIGREEN","Chart 📈")</f>
        <v/>
      </c>
    </row>
    <row r="51" ht="16" customHeight="1">
      <c r="A51" s="16" t="inlineStr">
        <is>
          <t>NIFTY ENERGY</t>
        </is>
      </c>
      <c r="B51" s="13" t="inlineStr">
        <is>
          <t>BHEL</t>
        </is>
      </c>
      <c r="C51" s="14" t="n">
        <v>414.1</v>
      </c>
      <c r="D51" s="14" t="n">
        <v>400.61</v>
      </c>
      <c r="E51" s="14" t="n">
        <v>380.46</v>
      </c>
      <c r="F51" s="14" t="n">
        <v>314.63</v>
      </c>
      <c r="G51" s="15">
        <f>HYPERLINK("https://www.tradingview.com/chart/?symbol=NSE:BHEL","Chart 📈")</f>
        <v/>
      </c>
    </row>
    <row r="52" ht="16" customHeight="1">
      <c r="A52" s="16" t="inlineStr">
        <is>
          <t>NIFTY ENERGY</t>
        </is>
      </c>
      <c r="B52" s="13" t="inlineStr">
        <is>
          <t>CGPOWER</t>
        </is>
      </c>
      <c r="C52" s="14" t="n">
        <v>952.15</v>
      </c>
      <c r="D52" s="14" t="n">
        <v>930.63</v>
      </c>
      <c r="E52" s="14" t="n">
        <v>879.95</v>
      </c>
      <c r="F52" s="14" t="n">
        <v>766.7</v>
      </c>
      <c r="G52" s="15">
        <f>HYPERLINK("https://www.tradingview.com/chart/?symbol=NSE:CGPOWER","Chart 📈")</f>
        <v/>
      </c>
    </row>
    <row r="53" ht="16" customHeight="1">
      <c r="A53" s="16" t="inlineStr">
        <is>
          <t>NIFTY ENERGY</t>
        </is>
      </c>
      <c r="B53" s="13" t="inlineStr">
        <is>
          <t>JSWENERGY</t>
        </is>
      </c>
      <c r="C53" s="14" t="n">
        <v>583.15</v>
      </c>
      <c r="D53" s="14" t="n">
        <v>572.55</v>
      </c>
      <c r="E53" s="14" t="n">
        <v>558.4400000000001</v>
      </c>
      <c r="F53" s="14" t="n">
        <v>525.92</v>
      </c>
      <c r="G53" s="15">
        <f>HYPERLINK("https://www.tradingview.com/chart/?symbol=NSE:JSWENERGY","Chart 📈")</f>
        <v/>
      </c>
    </row>
    <row r="54" ht="16" customHeight="1">
      <c r="A54" s="16" t="inlineStr">
        <is>
          <t>NIFTY ENERGY</t>
        </is>
      </c>
      <c r="B54" s="13" t="inlineStr">
        <is>
          <t>NHPC</t>
        </is>
      </c>
      <c r="C54" s="14" t="n">
        <v>81.33</v>
      </c>
      <c r="D54" s="14" t="n">
        <v>77.77</v>
      </c>
      <c r="E54" s="14" t="n">
        <v>77.72</v>
      </c>
      <c r="F54" s="14" t="n">
        <v>78.77</v>
      </c>
      <c r="G54" s="15">
        <f>HYPERLINK("https://www.tradingview.com/chart/?symbol=NSE:NHPC","Chart 📈")</f>
        <v/>
      </c>
    </row>
    <row r="55" ht="16" customHeight="1">
      <c r="A55" s="16" t="inlineStr">
        <is>
          <t>NIFTY ENERGY</t>
        </is>
      </c>
      <c r="B55" s="13" t="inlineStr">
        <is>
          <t>SCHNEIDER</t>
        </is>
      </c>
      <c r="C55" s="14" t="n">
        <v>1360.2</v>
      </c>
      <c r="D55" s="14" t="n">
        <v>1301.18</v>
      </c>
      <c r="E55" s="14" t="n">
        <v>1224.16</v>
      </c>
      <c r="F55" s="14" t="n">
        <v>1001.92</v>
      </c>
      <c r="G55" s="15">
        <f>HYPERLINK("https://www.tradingview.com/chart/?symbol=NSE:SCHNEIDER","Chart 📈")</f>
        <v/>
      </c>
    </row>
    <row r="56" ht="16" customHeight="1">
      <c r="A56" s="16" t="inlineStr">
        <is>
          <t>NIFTY ENERGY</t>
        </is>
      </c>
      <c r="B56" s="13" t="inlineStr">
        <is>
          <t>SUZLON</t>
        </is>
      </c>
      <c r="C56" s="14" t="n">
        <v>58.9</v>
      </c>
      <c r="D56" s="14" t="n">
        <v>56.95</v>
      </c>
      <c r="E56" s="14" t="n">
        <v>54.68</v>
      </c>
      <c r="F56" s="14" t="n">
        <v>53.6</v>
      </c>
      <c r="G56" s="15">
        <f>HYPERLINK("https://www.tradingview.com/chart/?symbol=NSE:SUZLON","Chart 📈")</f>
        <v/>
      </c>
    </row>
    <row r="57" ht="16" customHeight="1">
      <c r="A57" s="16" t="inlineStr">
        <is>
          <t>NIFTY ENERGY</t>
        </is>
      </c>
      <c r="B57" s="13" t="inlineStr">
        <is>
          <t>THERMAX</t>
        </is>
      </c>
      <c r="C57" s="14" t="n">
        <v>5159.5</v>
      </c>
      <c r="D57" s="14" t="n">
        <v>4796.42</v>
      </c>
      <c r="E57" s="14" t="n">
        <v>4496.95</v>
      </c>
      <c r="F57" s="14" t="n">
        <v>3748.86</v>
      </c>
      <c r="G57" s="15">
        <f>HYPERLINK("https://www.tradingview.com/chart/?symbol=NSE:THERMAX","Chart 📈")</f>
        <v/>
      </c>
    </row>
    <row r="58" ht="16" customHeight="1">
      <c r="A58" s="16" t="inlineStr">
        <is>
          <t>NIFTY ENERGY</t>
        </is>
      </c>
      <c r="B58" s="13" t="inlineStr">
        <is>
          <t>TRITURBINE</t>
        </is>
      </c>
      <c r="C58" s="14" t="n">
        <v>689.75</v>
      </c>
      <c r="D58" s="14" t="n">
        <v>677.45</v>
      </c>
      <c r="E58" s="14" t="n">
        <v>639.6799999999999</v>
      </c>
      <c r="F58" s="14" t="n">
        <v>570.7</v>
      </c>
      <c r="G58" s="15">
        <f>HYPERLINK("https://www.tradingview.com/chart/?symbol=NSE:TRITURBINE","Chart 📈")</f>
        <v/>
      </c>
    </row>
    <row r="59" ht="16" customHeight="1">
      <c r="A59" s="8" t="inlineStr">
        <is>
          <t>NIFTY FMCG</t>
        </is>
      </c>
      <c r="B59" s="17" t="inlineStr">
        <is>
          <t>BALRAMCHIN</t>
        </is>
      </c>
      <c r="C59" s="18" t="n">
        <v>554.95</v>
      </c>
      <c r="D59" s="18" t="n">
        <v>538.96</v>
      </c>
      <c r="E59" s="18" t="n">
        <v>528.61</v>
      </c>
      <c r="F59" s="18" t="n">
        <v>507.06</v>
      </c>
      <c r="G59" s="19">
        <f>HYPERLINK("https://www.tradingview.com/chart/?symbol=NSE:BALRAMCHIN","Chart 📈")</f>
        <v/>
      </c>
    </row>
    <row r="60" ht="16" customHeight="1">
      <c r="A60" s="20" t="inlineStr">
        <is>
          <t>NIFTY FMCG</t>
        </is>
      </c>
      <c r="B60" s="17" t="inlineStr">
        <is>
          <t>MARICO</t>
        </is>
      </c>
      <c r="C60" s="18" t="n">
        <v>836.25</v>
      </c>
      <c r="D60" s="18" t="n">
        <v>821.22</v>
      </c>
      <c r="E60" s="18" t="n">
        <v>810.4</v>
      </c>
      <c r="F60" s="18" t="n">
        <v>770.87</v>
      </c>
      <c r="G60" s="19">
        <f>HYPERLINK("https://www.tradingview.com/chart/?symbol=NSE:MARICO","Chart 📈")</f>
        <v/>
      </c>
    </row>
    <row r="61" ht="16" customHeight="1">
      <c r="A61" s="20" t="inlineStr">
        <is>
          <t>NIFTY FMCG</t>
        </is>
      </c>
      <c r="B61" s="17" t="inlineStr">
        <is>
          <t>NESTLEIND</t>
        </is>
      </c>
      <c r="C61" s="18" t="n">
        <v>1405.2</v>
      </c>
      <c r="D61" s="18" t="n">
        <v>1401.11</v>
      </c>
      <c r="E61" s="18" t="n">
        <v>1389.76</v>
      </c>
      <c r="F61" s="18" t="n">
        <v>1311.48</v>
      </c>
      <c r="G61" s="19">
        <f>HYPERLINK("https://www.tradingview.com/chart/?symbol=NSE:NESTLEIND","Chart 📈")</f>
        <v/>
      </c>
    </row>
    <row r="62" ht="16" customHeight="1">
      <c r="A62" s="20" t="inlineStr">
        <is>
          <t>NIFTY FMCG</t>
        </is>
      </c>
      <c r="B62" s="17" t="inlineStr">
        <is>
          <t>RADICO</t>
        </is>
      </c>
      <c r="C62" s="18" t="n">
        <v>3945.5</v>
      </c>
      <c r="D62" s="18" t="n">
        <v>3689.86</v>
      </c>
      <c r="E62" s="18" t="n">
        <v>3496.68</v>
      </c>
      <c r="F62" s="18" t="n">
        <v>3135.55</v>
      </c>
      <c r="G62" s="19">
        <f>HYPERLINK("https://www.tradingview.com/chart/?symbol=NSE:RADICO","Chart 📈")</f>
        <v/>
      </c>
    </row>
    <row r="63" ht="16" customHeight="1">
      <c r="A63" s="20" t="inlineStr">
        <is>
          <t>NIFTY FMCG</t>
        </is>
      </c>
      <c r="B63" s="17" t="inlineStr">
        <is>
          <t>UNITDSPR</t>
        </is>
      </c>
      <c r="C63" s="18" t="n">
        <v>1350.4</v>
      </c>
      <c r="D63" s="18" t="n">
        <v>1317.1</v>
      </c>
      <c r="E63" s="18" t="n">
        <v>1306.61</v>
      </c>
      <c r="F63" s="18" t="n">
        <v>1336.7</v>
      </c>
      <c r="G63" s="19">
        <f>HYPERLINK("https://www.tradingview.com/chart/?symbol=NSE:UNITDSPR","Chart 📈")</f>
        <v/>
      </c>
    </row>
    <row r="64" ht="16" customHeight="1">
      <c r="A64" s="12" t="inlineStr">
        <is>
          <t>NIFTY MIDSMALL IT &amp; TELECOM</t>
        </is>
      </c>
      <c r="B64" s="13" t="inlineStr">
        <is>
          <t>HFCL</t>
        </is>
      </c>
      <c r="C64" s="14" t="n">
        <v>212.85</v>
      </c>
      <c r="D64" s="14" t="n">
        <v>194.66</v>
      </c>
      <c r="E64" s="14" t="n">
        <v>165.3</v>
      </c>
      <c r="F64" s="14" t="n">
        <v>110.67</v>
      </c>
      <c r="G64" s="15">
        <f>HYPERLINK("https://www.tradingview.com/chart/?symbol=NSE:HFCL","Chart 📈")</f>
        <v/>
      </c>
    </row>
    <row r="65" ht="16" customHeight="1">
      <c r="A65" s="16" t="inlineStr">
        <is>
          <t>NIFTY MIDSMALL IT &amp; TELECOM</t>
        </is>
      </c>
      <c r="B65" s="13" t="inlineStr">
        <is>
          <t>IDEA</t>
        </is>
      </c>
      <c r="C65" s="14" t="n">
        <v>14.46</v>
      </c>
      <c r="D65" s="14" t="n">
        <v>14.31</v>
      </c>
      <c r="E65" s="14" t="n">
        <v>13.29</v>
      </c>
      <c r="F65" s="14" t="n">
        <v>10.96</v>
      </c>
      <c r="G65" s="15">
        <f>HYPERLINK("https://www.tradingview.com/chart/?symbol=NSE:IDEA","Chart 📈")</f>
        <v/>
      </c>
    </row>
    <row r="66" ht="16" customHeight="1">
      <c r="A66" s="16" t="inlineStr">
        <is>
          <t>NIFTY MIDSMALL IT &amp; TELECOM</t>
        </is>
      </c>
      <c r="B66" s="13" t="inlineStr">
        <is>
          <t>OFSS</t>
        </is>
      </c>
      <c r="C66" s="14" t="n">
        <v>10775.5</v>
      </c>
      <c r="D66" s="14" t="n">
        <v>10087.61</v>
      </c>
      <c r="E66" s="14" t="n">
        <v>9461.870000000001</v>
      </c>
      <c r="F66" s="14" t="n">
        <v>8408.870000000001</v>
      </c>
      <c r="G66" s="15">
        <f>HYPERLINK("https://www.tradingview.com/chart/?symbol=NSE:OFSS","Chart 📈")</f>
        <v/>
      </c>
    </row>
    <row r="67" ht="16" customHeight="1">
      <c r="A67" s="16" t="inlineStr">
        <is>
          <t>NIFTY MIDSMALL IT &amp; TELECOM</t>
        </is>
      </c>
      <c r="B67" s="13" t="inlineStr">
        <is>
          <t>TANLA</t>
        </is>
      </c>
      <c r="C67" s="14" t="n">
        <v>530.1</v>
      </c>
      <c r="D67" s="14" t="n">
        <v>522.05</v>
      </c>
      <c r="E67" s="14" t="n">
        <v>512.96</v>
      </c>
      <c r="F67" s="14" t="n">
        <v>528.08</v>
      </c>
      <c r="G67" s="15">
        <f>HYPERLINK("https://www.tradingview.com/chart/?symbol=NSE:TANLA","Chart 📈")</f>
        <v/>
      </c>
    </row>
    <row r="68" ht="16" customHeight="1">
      <c r="A68" s="16" t="inlineStr">
        <is>
          <t>NIFTY MIDSMALL IT &amp; TELECOM</t>
        </is>
      </c>
      <c r="B68" s="13" t="inlineStr">
        <is>
          <t>TATACOMM</t>
        </is>
      </c>
      <c r="C68" s="14" t="n">
        <v>1970.6</v>
      </c>
      <c r="D68" s="14" t="n">
        <v>1950.2</v>
      </c>
      <c r="E68" s="14" t="n">
        <v>1833.73</v>
      </c>
      <c r="F68" s="14" t="n">
        <v>1707.22</v>
      </c>
      <c r="G68" s="15">
        <f>HYPERLINK("https://www.tradingview.com/chart/?symbol=NSE:TATACOMM","Chart 📈")</f>
        <v/>
      </c>
    </row>
    <row r="69" ht="16" customHeight="1">
      <c r="A69" s="16" t="inlineStr">
        <is>
          <t>NIFTY MIDSMALL IT &amp; TELECOM</t>
        </is>
      </c>
      <c r="B69" s="13" t="inlineStr">
        <is>
          <t>TEJASNET</t>
        </is>
      </c>
      <c r="C69" s="14" t="n">
        <v>612.5</v>
      </c>
      <c r="D69" s="14" t="n">
        <v>588.45</v>
      </c>
      <c r="E69" s="14" t="n">
        <v>534.24</v>
      </c>
      <c r="F69" s="14" t="n">
        <v>504.47</v>
      </c>
      <c r="G69" s="15">
        <f>HYPERLINK("https://www.tradingview.com/chart/?symbol=NSE:TEJASNET","Chart 📈")</f>
        <v/>
      </c>
    </row>
    <row r="70" ht="16" customHeight="1">
      <c r="A70" s="8" t="inlineStr">
        <is>
          <t>NIFTY BANK</t>
        </is>
      </c>
      <c r="B70" s="17" t="inlineStr">
        <is>
          <t>AUBANK</t>
        </is>
      </c>
      <c r="C70" s="18" t="n">
        <v>1037.05</v>
      </c>
      <c r="D70" s="18" t="n">
        <v>1019.27</v>
      </c>
      <c r="E70" s="18" t="n">
        <v>1001.94</v>
      </c>
      <c r="F70" s="18" t="n">
        <v>944.48</v>
      </c>
      <c r="G70" s="19">
        <f>HYPERLINK("https://www.tradingview.com/chart/?symbol=NSE:AUBANK","Chart 📈")</f>
        <v/>
      </c>
    </row>
    <row r="71" ht="16" customHeight="1">
      <c r="A71" s="20" t="inlineStr">
        <is>
          <t>NIFTY BANK</t>
        </is>
      </c>
      <c r="B71" s="17" t="inlineStr">
        <is>
          <t>FEDERALBNK</t>
        </is>
      </c>
      <c r="C71" s="18" t="n">
        <v>330.05</v>
      </c>
      <c r="D71" s="18" t="n">
        <v>315.66</v>
      </c>
      <c r="E71" s="18" t="n">
        <v>302.91</v>
      </c>
      <c r="F71" s="18" t="n">
        <v>271.2</v>
      </c>
      <c r="G71" s="19">
        <f>HYPERLINK("https://www.tradingview.com/chart/?symbol=NSE:FEDERALBNK","Chart 📈")</f>
        <v/>
      </c>
    </row>
    <row r="72" ht="16" customHeight="1">
      <c r="A72" s="20" t="inlineStr">
        <is>
          <t>NIFTY BANK</t>
        </is>
      </c>
      <c r="B72" s="17" t="inlineStr">
        <is>
          <t>IDFCFIRSTB</t>
        </is>
      </c>
      <c r="C72" s="18" t="n">
        <v>79.48999999999999</v>
      </c>
      <c r="D72" s="18" t="n">
        <v>76.7</v>
      </c>
      <c r="E72" s="18" t="n">
        <v>73.64</v>
      </c>
      <c r="F72" s="18" t="n">
        <v>73.65000000000001</v>
      </c>
      <c r="G72" s="19">
        <f>HYPERLINK("https://www.tradingview.com/chart/?symbol=NSE:IDFCFIRSTB","Chart 📈")</f>
        <v/>
      </c>
    </row>
    <row r="73" ht="16" customHeight="1">
      <c r="A73" s="20" t="inlineStr">
        <is>
          <t>NIFTY BANK</t>
        </is>
      </c>
      <c r="B73" s="17" t="inlineStr">
        <is>
          <t>INDUSINDBK</t>
        </is>
      </c>
      <c r="C73" s="18" t="n">
        <v>924.2</v>
      </c>
      <c r="D73" s="18" t="n">
        <v>917.24</v>
      </c>
      <c r="E73" s="18" t="n">
        <v>904.79</v>
      </c>
      <c r="F73" s="18" t="n">
        <v>873.36</v>
      </c>
      <c r="G73" s="19">
        <f>HYPERLINK("https://www.tradingview.com/chart/?symbol=NSE:INDUSINDBK","Chart 📈")</f>
        <v/>
      </c>
    </row>
    <row r="74" ht="16" customHeight="1">
      <c r="A74" s="12" t="inlineStr">
        <is>
          <t>NIFTY METAL</t>
        </is>
      </c>
      <c r="B74" s="13" t="inlineStr">
        <is>
          <t>ADANIENT</t>
        </is>
      </c>
      <c r="C74" s="14" t="n">
        <v>3036</v>
      </c>
      <c r="D74" s="14" t="n">
        <v>2965.12</v>
      </c>
      <c r="E74" s="14" t="n">
        <v>2769.24</v>
      </c>
      <c r="F74" s="14" t="n">
        <v>2468.35</v>
      </c>
      <c r="G74" s="15">
        <f>HYPERLINK("https://www.tradingview.com/chart/?symbol=NSE:ADANIENT","Chart 📈")</f>
        <v/>
      </c>
    </row>
    <row r="75" ht="16" customHeight="1">
      <c r="A75" s="16" t="inlineStr">
        <is>
          <t>NIFTY METAL</t>
        </is>
      </c>
      <c r="B75" s="13" t="inlineStr">
        <is>
          <t>WELCORP</t>
        </is>
      </c>
      <c r="C75" s="14" t="n">
        <v>1521.9</v>
      </c>
      <c r="D75" s="14" t="n">
        <v>1412.51</v>
      </c>
      <c r="E75" s="14" t="n">
        <v>1308.98</v>
      </c>
      <c r="F75" s="14" t="n">
        <v>1048.76</v>
      </c>
      <c r="G75" s="15">
        <f>HYPERLINK("https://www.tradingview.com/chart/?symbol=NSE:WELCORP","Chart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2026-06-30T13:19:11Z</dcterms:created>
  <dcterms:modified xsi:type="dcterms:W3CDTF">2026-06-30T13:19:11Z</dcterms:modified>
</cp:coreProperties>
</file>