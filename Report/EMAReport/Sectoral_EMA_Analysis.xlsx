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04-May-2026  17:29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11</v>
      </c>
      <c r="D4" s="5" t="n">
        <v>13</v>
      </c>
      <c r="E4" s="5" t="n">
        <v>13</v>
      </c>
      <c r="F4" s="6" t="n">
        <v>0.733</v>
      </c>
      <c r="G4" s="6" t="n">
        <v>0.867</v>
      </c>
      <c r="H4" s="6" t="n">
        <v>0.867</v>
      </c>
      <c r="I4" s="7" t="n">
        <v>0.8223</v>
      </c>
    </row>
    <row r="5" ht="17" customHeight="1">
      <c r="A5" s="8" t="inlineStr">
        <is>
          <t>NIFTY PHARMA</t>
        </is>
      </c>
      <c r="B5" s="9" t="n">
        <v>20</v>
      </c>
      <c r="C5" s="9" t="n">
        <v>17</v>
      </c>
      <c r="D5" s="9" t="n">
        <v>16</v>
      </c>
      <c r="E5" s="9" t="n">
        <v>15</v>
      </c>
      <c r="F5" s="10" t="n">
        <v>0.85</v>
      </c>
      <c r="G5" s="10" t="n">
        <v>0.8</v>
      </c>
      <c r="H5" s="10" t="n">
        <v>0.75</v>
      </c>
      <c r="I5" s="11" t="n">
        <v>0.8</v>
      </c>
    </row>
    <row r="6" ht="17" customHeight="1">
      <c r="A6" s="4" t="inlineStr">
        <is>
          <t>NIFTY REALTY</t>
        </is>
      </c>
      <c r="B6" s="5" t="n">
        <v>10</v>
      </c>
      <c r="C6" s="5" t="n">
        <v>10</v>
      </c>
      <c r="D6" s="5" t="n">
        <v>9</v>
      </c>
      <c r="E6" s="5" t="n">
        <v>3</v>
      </c>
      <c r="F6" s="6" t="n">
        <v>1</v>
      </c>
      <c r="G6" s="6" t="n">
        <v>0.9</v>
      </c>
      <c r="H6" s="6" t="n">
        <v>0.3</v>
      </c>
      <c r="I6" s="7" t="n">
        <v>0.7333</v>
      </c>
    </row>
    <row r="7" ht="17" customHeight="1">
      <c r="A7" s="8" t="inlineStr">
        <is>
          <t>NIFTY FMCG</t>
        </is>
      </c>
      <c r="B7" s="9" t="n">
        <v>15</v>
      </c>
      <c r="C7" s="9" t="n">
        <v>12</v>
      </c>
      <c r="D7" s="9" t="n">
        <v>10</v>
      </c>
      <c r="E7" s="9" t="n">
        <v>8</v>
      </c>
      <c r="F7" s="10" t="n">
        <v>0.8</v>
      </c>
      <c r="G7" s="10" t="n">
        <v>0.667</v>
      </c>
      <c r="H7" s="10" t="n">
        <v>0.5329999999999999</v>
      </c>
      <c r="I7" s="11" t="n">
        <v>0.6667000000000001</v>
      </c>
    </row>
    <row r="8" ht="17" customHeight="1">
      <c r="A8" s="4" t="inlineStr">
        <is>
          <t>NIFTY OIL &amp; GAS</t>
        </is>
      </c>
      <c r="B8" s="5" t="n">
        <v>15</v>
      </c>
      <c r="C8" s="5" t="n">
        <v>12</v>
      </c>
      <c r="D8" s="5" t="n">
        <v>12</v>
      </c>
      <c r="E8" s="5" t="n">
        <v>5</v>
      </c>
      <c r="F8" s="6" t="n">
        <v>0.8</v>
      </c>
      <c r="G8" s="6" t="n">
        <v>0.8</v>
      </c>
      <c r="H8" s="6" t="n">
        <v>0.333</v>
      </c>
      <c r="I8" s="7" t="n">
        <v>0.6443000000000001</v>
      </c>
    </row>
    <row r="9" ht="17" customHeight="1">
      <c r="A9" s="8" t="inlineStr">
        <is>
          <t>NIFTY ENERGY</t>
        </is>
      </c>
      <c r="B9" s="9" t="n">
        <v>40</v>
      </c>
      <c r="C9" s="9" t="n">
        <v>25</v>
      </c>
      <c r="D9" s="9" t="n">
        <v>25</v>
      </c>
      <c r="E9" s="9" t="n">
        <v>24</v>
      </c>
      <c r="F9" s="10" t="n">
        <v>0.625</v>
      </c>
      <c r="G9" s="10" t="n">
        <v>0.625</v>
      </c>
      <c r="H9" s="10" t="n">
        <v>0.6</v>
      </c>
      <c r="I9" s="11" t="n">
        <v>0.6167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9</v>
      </c>
      <c r="D10" s="5" t="n">
        <v>11</v>
      </c>
      <c r="E10" s="5" t="n">
        <v>7</v>
      </c>
      <c r="F10" s="6" t="n">
        <v>0.6</v>
      </c>
      <c r="G10" s="6" t="n">
        <v>0.733</v>
      </c>
      <c r="H10" s="6" t="n">
        <v>0.467</v>
      </c>
      <c r="I10" s="7" t="n">
        <v>0.6</v>
      </c>
    </row>
    <row r="11" ht="17" customHeight="1">
      <c r="A11" s="8" t="inlineStr">
        <is>
          <t>NIFTY MEDIA</t>
        </is>
      </c>
      <c r="B11" s="9" t="n">
        <v>10</v>
      </c>
      <c r="C11" s="9" t="n">
        <v>7</v>
      </c>
      <c r="D11" s="9" t="n">
        <v>7</v>
      </c>
      <c r="E11" s="9" t="n">
        <v>3</v>
      </c>
      <c r="F11" s="10" t="n">
        <v>0.7</v>
      </c>
      <c r="G11" s="10" t="n">
        <v>0.7</v>
      </c>
      <c r="H11" s="10" t="n">
        <v>0.3</v>
      </c>
      <c r="I11" s="11" t="n">
        <v>0.5667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11</v>
      </c>
      <c r="D12" s="5" t="n">
        <v>9</v>
      </c>
      <c r="E12" s="5" t="n">
        <v>4</v>
      </c>
      <c r="F12" s="6" t="n">
        <v>0.55</v>
      </c>
      <c r="G12" s="6" t="n">
        <v>0.45</v>
      </c>
      <c r="H12" s="6" t="n">
        <v>0.2</v>
      </c>
      <c r="I12" s="7" t="n">
        <v>0.4</v>
      </c>
    </row>
    <row r="13" ht="17" customHeight="1">
      <c r="A13" s="8" t="inlineStr">
        <is>
          <t>NIFTY AUTO</t>
        </is>
      </c>
      <c r="B13" s="9" t="n">
        <v>15</v>
      </c>
      <c r="C13" s="9" t="n">
        <v>5</v>
      </c>
      <c r="D13" s="9" t="n">
        <v>6</v>
      </c>
      <c r="E13" s="9" t="n">
        <v>7</v>
      </c>
      <c r="F13" s="10" t="n">
        <v>0.333</v>
      </c>
      <c r="G13" s="10" t="n">
        <v>0.4</v>
      </c>
      <c r="H13" s="10" t="n">
        <v>0.467</v>
      </c>
      <c r="I13" s="11" t="n">
        <v>0.4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6</v>
      </c>
      <c r="D14" s="5" t="n">
        <v>8</v>
      </c>
      <c r="E14" s="5" t="n">
        <v>9</v>
      </c>
      <c r="F14" s="6" t="n">
        <v>0.3</v>
      </c>
      <c r="G14" s="6" t="n">
        <v>0.4</v>
      </c>
      <c r="H14" s="6" t="n">
        <v>0.45</v>
      </c>
      <c r="I14" s="7" t="n">
        <v>0.3833</v>
      </c>
    </row>
    <row r="15" ht="17" customHeight="1">
      <c r="A15" s="8" t="inlineStr">
        <is>
          <t>NIFTY PSU BANK</t>
        </is>
      </c>
      <c r="B15" s="9" t="n">
        <v>12</v>
      </c>
      <c r="C15" s="9" t="n">
        <v>4</v>
      </c>
      <c r="D15" s="9" t="n">
        <v>3</v>
      </c>
      <c r="E15" s="9" t="n">
        <v>5</v>
      </c>
      <c r="F15" s="10" t="n">
        <v>0.333</v>
      </c>
      <c r="G15" s="10" t="n">
        <v>0.25</v>
      </c>
      <c r="H15" s="10" t="n">
        <v>0.417</v>
      </c>
      <c r="I15" s="11" t="n">
        <v>0.3333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2485.7</v>
      </c>
      <c r="D3" s="14" t="n">
        <v>2238.8</v>
      </c>
      <c r="E3" s="14" t="n">
        <v>2150.33</v>
      </c>
      <c r="F3" s="14" t="n">
        <v>2248.23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1042.7</v>
      </c>
      <c r="D4" s="14" t="n">
        <v>1014.92</v>
      </c>
      <c r="E4" s="14" t="n">
        <v>971.75</v>
      </c>
      <c r="F4" s="14" t="n">
        <v>859.6900000000001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HINDZINC</t>
        </is>
      </c>
      <c r="C5" s="14" t="n">
        <v>605.55</v>
      </c>
      <c r="D5" s="14" t="n">
        <v>577.86</v>
      </c>
      <c r="E5" s="14" t="n">
        <v>569.1</v>
      </c>
      <c r="F5" s="14" t="n">
        <v>529.33</v>
      </c>
      <c r="G5" s="15">
        <f>HYPERLINK("https://www.tradingview.com/chart/?symbol=NSE:HINDZINC","Chart 📈")</f>
        <v/>
      </c>
    </row>
    <row r="6" ht="16" customHeight="1">
      <c r="A6" s="16" t="inlineStr">
        <is>
          <t>NIFTY METAL</t>
        </is>
      </c>
      <c r="B6" s="13" t="inlineStr">
        <is>
          <t>JINDALSTEL</t>
        </is>
      </c>
      <c r="C6" s="14" t="n">
        <v>1261.4</v>
      </c>
      <c r="D6" s="14" t="n">
        <v>1233.15</v>
      </c>
      <c r="E6" s="14" t="n">
        <v>1197.37</v>
      </c>
      <c r="F6" s="14" t="n">
        <v>1092.9</v>
      </c>
      <c r="G6" s="15">
        <f>HYPERLINK("https://www.tradingview.com/chart/?symbol=NSE:JINDALSTEL","Chart 📈")</f>
        <v/>
      </c>
    </row>
    <row r="7" ht="16" customHeight="1">
      <c r="A7" s="16" t="inlineStr">
        <is>
          <t>NIFTY METAL</t>
        </is>
      </c>
      <c r="B7" s="13" t="inlineStr">
        <is>
          <t>JSL</t>
        </is>
      </c>
      <c r="C7" s="14" t="n">
        <v>778.4</v>
      </c>
      <c r="D7" s="14" t="n">
        <v>767.37</v>
      </c>
      <c r="E7" s="14" t="n">
        <v>762.03</v>
      </c>
      <c r="F7" s="14" t="n">
        <v>744.5700000000001</v>
      </c>
      <c r="G7" s="15">
        <f>HYPERLINK("https://www.tradingview.com/chart/?symbol=NSE:JSL","Chart 📈")</f>
        <v/>
      </c>
    </row>
    <row r="8" ht="16" customHeight="1">
      <c r="A8" s="16" t="inlineStr">
        <is>
          <t>NIFTY METAL</t>
        </is>
      </c>
      <c r="B8" s="13" t="inlineStr">
        <is>
          <t>JSWSTEEL</t>
        </is>
      </c>
      <c r="C8" s="14" t="n">
        <v>1266.6</v>
      </c>
      <c r="D8" s="14" t="n">
        <v>1240.2</v>
      </c>
      <c r="E8" s="14" t="n">
        <v>1214.99</v>
      </c>
      <c r="F8" s="14" t="n">
        <v>1149.93</v>
      </c>
      <c r="G8" s="15">
        <f>HYPERLINK("https://www.tradingview.com/chart/?symbol=NSE:JSWSTEEL","Chart 📈")</f>
        <v/>
      </c>
    </row>
    <row r="9" ht="16" customHeight="1">
      <c r="A9" s="16" t="inlineStr">
        <is>
          <t>NIFTY METAL</t>
        </is>
      </c>
      <c r="B9" s="13" t="inlineStr">
        <is>
          <t>NMDC</t>
        </is>
      </c>
      <c r="C9" s="14" t="n">
        <v>89.09</v>
      </c>
      <c r="D9" s="14" t="n">
        <v>87.14</v>
      </c>
      <c r="E9" s="14" t="n">
        <v>83.63</v>
      </c>
      <c r="F9" s="14" t="n">
        <v>76.81999999999999</v>
      </c>
      <c r="G9" s="15">
        <f>HYPERLINK("https://www.tradingview.com/chart/?symbol=NSE:NMDC","Chart 📈")</f>
        <v/>
      </c>
    </row>
    <row r="10" ht="16" customHeight="1">
      <c r="A10" s="16" t="inlineStr">
        <is>
          <t>NIFTY METAL</t>
        </is>
      </c>
      <c r="B10" s="13" t="inlineStr">
        <is>
          <t>RATNAMANI</t>
        </is>
      </c>
      <c r="C10" s="14" t="n">
        <v>2710</v>
      </c>
      <c r="D10" s="14" t="n">
        <v>2497.59</v>
      </c>
      <c r="E10" s="14" t="n">
        <v>2393.79</v>
      </c>
      <c r="F10" s="14" t="n">
        <v>2396.61</v>
      </c>
      <c r="G10" s="15">
        <f>HYPERLINK("https://www.tradingview.com/chart/?symbol=NSE:RATNAMANI","Chart 📈")</f>
        <v/>
      </c>
    </row>
    <row r="11" ht="16" customHeight="1">
      <c r="A11" s="16" t="inlineStr">
        <is>
          <t>NIFTY METAL</t>
        </is>
      </c>
      <c r="B11" s="13" t="inlineStr">
        <is>
          <t>SAIL</t>
        </is>
      </c>
      <c r="C11" s="14" t="n">
        <v>186.15</v>
      </c>
      <c r="D11" s="14" t="n">
        <v>174.27</v>
      </c>
      <c r="E11" s="14" t="n">
        <v>164.57</v>
      </c>
      <c r="F11" s="14" t="n">
        <v>145.85</v>
      </c>
      <c r="G11" s="15">
        <f>HYPERLINK("https://www.tradingview.com/chart/?symbol=NSE:SAIL","Chart 📈")</f>
        <v/>
      </c>
    </row>
    <row r="12" ht="16" customHeight="1">
      <c r="A12" s="16" t="inlineStr">
        <is>
          <t>NIFTY METAL</t>
        </is>
      </c>
      <c r="B12" s="13" t="inlineStr">
        <is>
          <t>TATASTEEL</t>
        </is>
      </c>
      <c r="C12" s="14" t="n">
        <v>212.24</v>
      </c>
      <c r="D12" s="14" t="n">
        <v>208.68</v>
      </c>
      <c r="E12" s="14" t="n">
        <v>202.58</v>
      </c>
      <c r="F12" s="14" t="n">
        <v>183.05</v>
      </c>
      <c r="G12" s="15">
        <f>HYPERLINK("https://www.tradingview.com/chart/?symbol=NSE:TATASTEEL","Chart 📈")</f>
        <v/>
      </c>
    </row>
    <row r="13" ht="16" customHeight="1">
      <c r="A13" s="16" t="inlineStr">
        <is>
          <t>NIFTY METAL</t>
        </is>
      </c>
      <c r="B13" s="13" t="inlineStr">
        <is>
          <t>WELCORP</t>
        </is>
      </c>
      <c r="C13" s="14" t="n">
        <v>1238.9</v>
      </c>
      <c r="D13" s="14" t="n">
        <v>1104.11</v>
      </c>
      <c r="E13" s="14" t="n">
        <v>973.27</v>
      </c>
      <c r="F13" s="14" t="n">
        <v>869.75</v>
      </c>
      <c r="G13" s="15">
        <f>HYPERLINK("https://www.tradingview.com/chart/?symbol=NSE:WELCORP","Chart 📈")</f>
        <v/>
      </c>
    </row>
    <row r="14" ht="16" customHeight="1">
      <c r="A14" s="8" t="inlineStr">
        <is>
          <t>NIFTY PHARMA</t>
        </is>
      </c>
      <c r="B14" s="17" t="inlineStr">
        <is>
          <t>AJANTPHARM</t>
        </is>
      </c>
      <c r="C14" s="18" t="n">
        <v>2900.7</v>
      </c>
      <c r="D14" s="18" t="n">
        <v>2818.74</v>
      </c>
      <c r="E14" s="18" t="n">
        <v>2834.56</v>
      </c>
      <c r="F14" s="18" t="n">
        <v>2721.82</v>
      </c>
      <c r="G14" s="19">
        <f>HYPERLINK("https://www.tradingview.com/chart/?symbol=NSE:AJANTPHARM","Chart 📈")</f>
        <v/>
      </c>
    </row>
    <row r="15" ht="16" customHeight="1">
      <c r="A15" s="20" t="inlineStr">
        <is>
          <t>NIFTY PHARMA</t>
        </is>
      </c>
      <c r="B15" s="17" t="inlineStr">
        <is>
          <t>AUROPHARMA</t>
        </is>
      </c>
      <c r="C15" s="18" t="n">
        <v>1376</v>
      </c>
      <c r="D15" s="18" t="n">
        <v>1374.43</v>
      </c>
      <c r="E15" s="18" t="n">
        <v>1316.63</v>
      </c>
      <c r="F15" s="18" t="n">
        <v>1221.99</v>
      </c>
      <c r="G15" s="19">
        <f>HYPERLINK("https://www.tradingview.com/chart/?symbol=NSE:AUROPHARMA","Chart 📈")</f>
        <v/>
      </c>
    </row>
    <row r="16" ht="16" customHeight="1">
      <c r="A16" s="20" t="inlineStr">
        <is>
          <t>NIFTY PHARMA</t>
        </is>
      </c>
      <c r="B16" s="17" t="inlineStr">
        <is>
          <t>DIVISLAB</t>
        </is>
      </c>
      <c r="C16" s="18" t="n">
        <v>6619.5</v>
      </c>
      <c r="D16" s="18" t="n">
        <v>6311.93</v>
      </c>
      <c r="E16" s="18" t="n">
        <v>6236.74</v>
      </c>
      <c r="F16" s="18" t="n">
        <v>6270.5</v>
      </c>
      <c r="G16" s="19">
        <f>HYPERLINK("https://www.tradingview.com/chart/?symbol=NSE:DIVISLAB","Chart 📈")</f>
        <v/>
      </c>
    </row>
    <row r="17" ht="16" customHeight="1">
      <c r="A17" s="20" t="inlineStr">
        <is>
          <t>NIFTY PHARMA</t>
        </is>
      </c>
      <c r="B17" s="17" t="inlineStr">
        <is>
          <t>DRREDDY</t>
        </is>
      </c>
      <c r="C17" s="18" t="n">
        <v>1287.2</v>
      </c>
      <c r="D17" s="18" t="n">
        <v>1279.94</v>
      </c>
      <c r="E17" s="18" t="n">
        <v>1268.31</v>
      </c>
      <c r="F17" s="18" t="n">
        <v>1251.88</v>
      </c>
      <c r="G17" s="19">
        <f>HYPERLINK("https://www.tradingview.com/chart/?symbol=NSE:DRREDDY","Chart 📈")</f>
        <v/>
      </c>
    </row>
    <row r="18" ht="16" customHeight="1">
      <c r="A18" s="20" t="inlineStr">
        <is>
          <t>NIFTY PHARMA</t>
        </is>
      </c>
      <c r="B18" s="17" t="inlineStr">
        <is>
          <t>GLAND</t>
        </is>
      </c>
      <c r="C18" s="18" t="n">
        <v>1815.5</v>
      </c>
      <c r="D18" s="18" t="n">
        <v>1753.48</v>
      </c>
      <c r="E18" s="18" t="n">
        <v>1743.68</v>
      </c>
      <c r="F18" s="18" t="n">
        <v>1744.04</v>
      </c>
      <c r="G18" s="19">
        <f>HYPERLINK("https://www.tradingview.com/chart/?symbol=NSE:GLAND","Chart 📈")</f>
        <v/>
      </c>
    </row>
    <row r="19" ht="16" customHeight="1">
      <c r="A19" s="20" t="inlineStr">
        <is>
          <t>NIFTY PHARMA</t>
        </is>
      </c>
      <c r="B19" s="17" t="inlineStr">
        <is>
          <t>GLENMARK</t>
        </is>
      </c>
      <c r="C19" s="18" t="n">
        <v>2393.7</v>
      </c>
      <c r="D19" s="18" t="n">
        <v>2281.43</v>
      </c>
      <c r="E19" s="18" t="n">
        <v>2189.38</v>
      </c>
      <c r="F19" s="18" t="n">
        <v>1990.21</v>
      </c>
      <c r="G19" s="19">
        <f>HYPERLINK("https://www.tradingview.com/chart/?symbol=NSE:GLENMARK","Chart 📈")</f>
        <v/>
      </c>
    </row>
    <row r="20" ht="16" customHeight="1">
      <c r="A20" s="20" t="inlineStr">
        <is>
          <t>NIFTY PHARMA</t>
        </is>
      </c>
      <c r="B20" s="17" t="inlineStr">
        <is>
          <t>GRANULES</t>
        </is>
      </c>
      <c r="C20" s="18" t="n">
        <v>703.4</v>
      </c>
      <c r="D20" s="18" t="n">
        <v>667.89</v>
      </c>
      <c r="E20" s="18" t="n">
        <v>632.46</v>
      </c>
      <c r="F20" s="18" t="n">
        <v>571.4</v>
      </c>
      <c r="G20" s="19">
        <f>HYPERLINK("https://www.tradingview.com/chart/?symbol=NSE:GRANULES","Chart 📈")</f>
        <v/>
      </c>
    </row>
    <row r="21" ht="16" customHeight="1">
      <c r="A21" s="20" t="inlineStr">
        <is>
          <t>NIFTY PHARMA</t>
        </is>
      </c>
      <c r="B21" s="17" t="inlineStr">
        <is>
          <t>IPCALAB</t>
        </is>
      </c>
      <c r="C21" s="18" t="n">
        <v>1530</v>
      </c>
      <c r="D21" s="18" t="n">
        <v>1511.81</v>
      </c>
      <c r="E21" s="18" t="n">
        <v>1500.84</v>
      </c>
      <c r="F21" s="18" t="n">
        <v>1447.9</v>
      </c>
      <c r="G21" s="19">
        <f>HYPERLINK("https://www.tradingview.com/chart/?symbol=NSE:IPCALAB","Chart 📈")</f>
        <v/>
      </c>
    </row>
    <row r="22" ht="16" customHeight="1">
      <c r="A22" s="20" t="inlineStr">
        <is>
          <t>NIFTY PHARMA</t>
        </is>
      </c>
      <c r="B22" s="17" t="inlineStr">
        <is>
          <t>JBCHEPHARM</t>
        </is>
      </c>
      <c r="C22" s="18" t="n">
        <v>2082.1</v>
      </c>
      <c r="D22" s="18" t="n">
        <v>2025.58</v>
      </c>
      <c r="E22" s="18" t="n">
        <v>2005.81</v>
      </c>
      <c r="F22" s="18" t="n">
        <v>1855.28</v>
      </c>
      <c r="G22" s="19">
        <f>HYPERLINK("https://www.tradingview.com/chart/?symbol=NSE:JBCHEPHARM","Chart 📈")</f>
        <v/>
      </c>
    </row>
    <row r="23" ht="16" customHeight="1">
      <c r="A23" s="20" t="inlineStr">
        <is>
          <t>NIFTY PHARMA</t>
        </is>
      </c>
      <c r="B23" s="17" t="inlineStr">
        <is>
          <t>LAURUSLABS</t>
        </is>
      </c>
      <c r="C23" s="18" t="n">
        <v>1166.4</v>
      </c>
      <c r="D23" s="18" t="n">
        <v>1098.39</v>
      </c>
      <c r="E23" s="18" t="n">
        <v>1065.07</v>
      </c>
      <c r="F23" s="18" t="n">
        <v>961.14</v>
      </c>
      <c r="G23" s="19">
        <f>HYPERLINK("https://www.tradingview.com/chart/?symbol=NSE:LAURUSLABS","Chart 📈")</f>
        <v/>
      </c>
    </row>
    <row r="24" ht="16" customHeight="1">
      <c r="A24" s="20" t="inlineStr">
        <is>
          <t>NIFTY PHARMA</t>
        </is>
      </c>
      <c r="B24" s="17" t="inlineStr">
        <is>
          <t>LUPIN</t>
        </is>
      </c>
      <c r="C24" s="18" t="n">
        <v>2348.8</v>
      </c>
      <c r="D24" s="18" t="n">
        <v>2315.07</v>
      </c>
      <c r="E24" s="18" t="n">
        <v>2287.41</v>
      </c>
      <c r="F24" s="18" t="n">
        <v>2153.88</v>
      </c>
      <c r="G24" s="19">
        <f>HYPERLINK("https://www.tradingview.com/chart/?symbol=NSE:LUPIN","Chart 📈")</f>
        <v/>
      </c>
    </row>
    <row r="25" ht="16" customHeight="1">
      <c r="A25" s="20" t="inlineStr">
        <is>
          <t>NIFTY PHARMA</t>
        </is>
      </c>
      <c r="B25" s="17" t="inlineStr">
        <is>
          <t>MANKIND</t>
        </is>
      </c>
      <c r="C25" s="18" t="n">
        <v>2257.8</v>
      </c>
      <c r="D25" s="18" t="n">
        <v>2184.6</v>
      </c>
      <c r="E25" s="18" t="n">
        <v>2147.56</v>
      </c>
      <c r="F25" s="18" t="n">
        <v>2243.82</v>
      </c>
      <c r="G25" s="19">
        <f>HYPERLINK("https://www.tradingview.com/chart/?symbol=NSE:MANKIND","Chart 📈")</f>
        <v/>
      </c>
    </row>
    <row r="26" ht="16" customHeight="1">
      <c r="A26" s="20" t="inlineStr">
        <is>
          <t>NIFTY PHARMA</t>
        </is>
      </c>
      <c r="B26" s="17" t="inlineStr">
        <is>
          <t>NATCOPHARM</t>
        </is>
      </c>
      <c r="C26" s="18" t="n">
        <v>1114.6</v>
      </c>
      <c r="D26" s="18" t="n">
        <v>1073.49</v>
      </c>
      <c r="E26" s="18" t="n">
        <v>1017.95</v>
      </c>
      <c r="F26" s="18" t="n">
        <v>925.67</v>
      </c>
      <c r="G26" s="19">
        <f>HYPERLINK("https://www.tradingview.com/chart/?symbol=NSE:NATCOPHARM","Chart 📈")</f>
        <v/>
      </c>
    </row>
    <row r="27" ht="16" customHeight="1">
      <c r="A27" s="20" t="inlineStr">
        <is>
          <t>NIFTY PHARMA</t>
        </is>
      </c>
      <c r="B27" s="17" t="inlineStr">
        <is>
          <t>SUNPHARMA</t>
        </is>
      </c>
      <c r="C27" s="18" t="n">
        <v>1823.5</v>
      </c>
      <c r="D27" s="18" t="n">
        <v>1729.27</v>
      </c>
      <c r="E27" s="18" t="n">
        <v>1727.18</v>
      </c>
      <c r="F27" s="18" t="n">
        <v>1717.96</v>
      </c>
      <c r="G27" s="19">
        <f>HYPERLINK("https://www.tradingview.com/chart/?symbol=NSE:SUNPHARMA","Chart 📈")</f>
        <v/>
      </c>
    </row>
    <row r="28" ht="16" customHeight="1">
      <c r="A28" s="20" t="inlineStr">
        <is>
          <t>NIFTY PHARMA</t>
        </is>
      </c>
      <c r="B28" s="17" t="inlineStr">
        <is>
          <t>TORNTPHARM</t>
        </is>
      </c>
      <c r="C28" s="18" t="n">
        <v>4251.8</v>
      </c>
      <c r="D28" s="18" t="n">
        <v>4179.37</v>
      </c>
      <c r="E28" s="18" t="n">
        <v>4161.69</v>
      </c>
      <c r="F28" s="18" t="n">
        <v>3871.28</v>
      </c>
      <c r="G28" s="19">
        <f>HYPERLINK("https://www.tradingview.com/chart/?symbol=NSE:TORNTPHARM","Chart 📈")</f>
        <v/>
      </c>
    </row>
    <row r="29" ht="16" customHeight="1">
      <c r="A29" s="12" t="inlineStr">
        <is>
          <t>NIFTY REALTY</t>
        </is>
      </c>
      <c r="B29" s="13" t="inlineStr">
        <is>
          <t>OBEROIRLTY</t>
        </is>
      </c>
      <c r="C29" s="14" t="n">
        <v>1693.7</v>
      </c>
      <c r="D29" s="14" t="n">
        <v>1659.28</v>
      </c>
      <c r="E29" s="14" t="n">
        <v>1603.74</v>
      </c>
      <c r="F29" s="14" t="n">
        <v>1617.63</v>
      </c>
      <c r="G29" s="15">
        <f>HYPERLINK("https://www.tradingview.com/chart/?symbol=NSE:OBEROIRLTY","Chart 📈")</f>
        <v/>
      </c>
    </row>
    <row r="30" ht="16" customHeight="1">
      <c r="A30" s="16" t="inlineStr">
        <is>
          <t>NIFTY REALTY</t>
        </is>
      </c>
      <c r="B30" s="13" t="inlineStr">
        <is>
          <t>PHOENIXLTD</t>
        </is>
      </c>
      <c r="C30" s="14" t="n">
        <v>1787.4</v>
      </c>
      <c r="D30" s="14" t="n">
        <v>1740.54</v>
      </c>
      <c r="E30" s="14" t="n">
        <v>1704.93</v>
      </c>
      <c r="F30" s="14" t="n">
        <v>1673.63</v>
      </c>
      <c r="G30" s="15">
        <f>HYPERLINK("https://www.tradingview.com/chart/?symbol=NSE:PHOENIXLTD","Chart 📈")</f>
        <v/>
      </c>
    </row>
    <row r="31" ht="16" customHeight="1">
      <c r="A31" s="16" t="inlineStr">
        <is>
          <t>NIFTY REALTY</t>
        </is>
      </c>
      <c r="B31" s="13" t="inlineStr">
        <is>
          <t>SOBHA</t>
        </is>
      </c>
      <c r="C31" s="14" t="n">
        <v>1440.4</v>
      </c>
      <c r="D31" s="14" t="n">
        <v>1370.34</v>
      </c>
      <c r="E31" s="14" t="n">
        <v>1363.07</v>
      </c>
      <c r="F31" s="14" t="n">
        <v>1427.29</v>
      </c>
      <c r="G31" s="15">
        <f>HYPERLINK("https://www.tradingview.com/chart/?symbol=NSE:SOBHA","Chart 📈")</f>
        <v/>
      </c>
    </row>
    <row r="32" ht="16" customHeight="1">
      <c r="A32" s="8" t="inlineStr">
        <is>
          <t>NIFTY FMCG</t>
        </is>
      </c>
      <c r="B32" s="17" t="inlineStr">
        <is>
          <t>BALRAMCHIN</t>
        </is>
      </c>
      <c r="C32" s="18" t="n">
        <v>524.85</v>
      </c>
      <c r="D32" s="18" t="n">
        <v>506.69</v>
      </c>
      <c r="E32" s="18" t="n">
        <v>489.57</v>
      </c>
      <c r="F32" s="18" t="n">
        <v>488.07</v>
      </c>
      <c r="G32" s="19">
        <f>HYPERLINK("https://www.tradingview.com/chart/?symbol=NSE:BALRAMCHIN","Chart 📈")</f>
        <v/>
      </c>
    </row>
    <row r="33" ht="16" customHeight="1">
      <c r="A33" s="20" t="inlineStr">
        <is>
          <t>NIFTY FMCG</t>
        </is>
      </c>
      <c r="B33" s="17" t="inlineStr">
        <is>
          <t>BRITANNIA</t>
        </is>
      </c>
      <c r="C33" s="18" t="n">
        <v>5792.5</v>
      </c>
      <c r="D33" s="18" t="n">
        <v>5693.39</v>
      </c>
      <c r="E33" s="18" t="n">
        <v>5744.57</v>
      </c>
      <c r="F33" s="18" t="n">
        <v>5778.4</v>
      </c>
      <c r="G33" s="19">
        <f>HYPERLINK("https://www.tradingview.com/chart/?symbol=NSE:BRITANNIA","Chart 📈")</f>
        <v/>
      </c>
    </row>
    <row r="34" ht="16" customHeight="1">
      <c r="A34" s="20" t="inlineStr">
        <is>
          <t>NIFTY FMCG</t>
        </is>
      </c>
      <c r="B34" s="17" t="inlineStr">
        <is>
          <t>COLPAL</t>
        </is>
      </c>
      <c r="C34" s="18" t="n">
        <v>2172.9</v>
      </c>
      <c r="D34" s="18" t="n">
        <v>2066.99</v>
      </c>
      <c r="E34" s="18" t="n">
        <v>2052.68</v>
      </c>
      <c r="F34" s="18" t="n">
        <v>2171.01</v>
      </c>
      <c r="G34" s="19">
        <f>HYPERLINK("https://www.tradingview.com/chart/?symbol=NSE:COLPAL","Chart 📈")</f>
        <v/>
      </c>
    </row>
    <row r="35" ht="16" customHeight="1">
      <c r="A35" s="20" t="inlineStr">
        <is>
          <t>NIFTY FMCG</t>
        </is>
      </c>
      <c r="B35" s="17" t="inlineStr">
        <is>
          <t>MARICO</t>
        </is>
      </c>
      <c r="C35" s="18" t="n">
        <v>784.55</v>
      </c>
      <c r="D35" s="18" t="n">
        <v>768.9299999999999</v>
      </c>
      <c r="E35" s="18" t="n">
        <v>762.92</v>
      </c>
      <c r="F35" s="18" t="n">
        <v>743.85</v>
      </c>
      <c r="G35" s="19">
        <f>HYPERLINK("https://www.tradingview.com/chart/?symbol=NSE:MARICO","Chart 📈")</f>
        <v/>
      </c>
    </row>
    <row r="36" ht="16" customHeight="1">
      <c r="A36" s="20" t="inlineStr">
        <is>
          <t>NIFTY FMCG</t>
        </is>
      </c>
      <c r="B36" s="17" t="inlineStr">
        <is>
          <t>NESTLEIND</t>
        </is>
      </c>
      <c r="C36" s="18" t="n">
        <v>1457.1</v>
      </c>
      <c r="D36" s="18" t="n">
        <v>1353.81</v>
      </c>
      <c r="E36" s="18" t="n">
        <v>1299.97</v>
      </c>
      <c r="F36" s="18" t="n">
        <v>1248.66</v>
      </c>
      <c r="G36" s="19">
        <f>HYPERLINK("https://www.tradingview.com/chart/?symbol=NSE:NESTLEIND","Chart 📈")</f>
        <v/>
      </c>
    </row>
    <row r="37" ht="16" customHeight="1">
      <c r="A37" s="20" t="inlineStr">
        <is>
          <t>NIFTY FMCG</t>
        </is>
      </c>
      <c r="B37" s="17" t="inlineStr">
        <is>
          <t>RADICO</t>
        </is>
      </c>
      <c r="C37" s="18" t="n">
        <v>3389.2</v>
      </c>
      <c r="D37" s="18" t="n">
        <v>3141.42</v>
      </c>
      <c r="E37" s="18" t="n">
        <v>2972.54</v>
      </c>
      <c r="F37" s="18" t="n">
        <v>2898.74</v>
      </c>
      <c r="G37" s="19">
        <f>HYPERLINK("https://www.tradingview.com/chart/?symbol=NSE:RADICO","Chart 📈")</f>
        <v/>
      </c>
    </row>
    <row r="38" ht="16" customHeight="1">
      <c r="A38" s="20" t="inlineStr">
        <is>
          <t>NIFTY FMCG</t>
        </is>
      </c>
      <c r="B38" s="17" t="inlineStr">
        <is>
          <t>TATACONSUM</t>
        </is>
      </c>
      <c r="C38" s="18" t="n">
        <v>1160.4</v>
      </c>
      <c r="D38" s="18" t="n">
        <v>1129.79</v>
      </c>
      <c r="E38" s="18" t="n">
        <v>1119.13</v>
      </c>
      <c r="F38" s="18" t="n">
        <v>1130.73</v>
      </c>
      <c r="G38" s="19">
        <f>HYPERLINK("https://www.tradingview.com/chart/?symbol=NSE:TATACONSUM","Chart 📈")</f>
        <v/>
      </c>
    </row>
    <row r="39" ht="16" customHeight="1">
      <c r="A39" s="20" t="inlineStr">
        <is>
          <t>NIFTY FMCG</t>
        </is>
      </c>
      <c r="B39" s="17" t="inlineStr">
        <is>
          <t>VBL</t>
        </is>
      </c>
      <c r="C39" s="18" t="n">
        <v>506.75</v>
      </c>
      <c r="D39" s="18" t="n">
        <v>475.24</v>
      </c>
      <c r="E39" s="18" t="n">
        <v>455.66</v>
      </c>
      <c r="F39" s="18" t="n">
        <v>466.96</v>
      </c>
      <c r="G39" s="19">
        <f>HYPERLINK("https://www.tradingview.com/chart/?symbol=NSE:VBL","Chart 📈")</f>
        <v/>
      </c>
    </row>
    <row r="40" ht="16" customHeight="1">
      <c r="A40" s="12" t="inlineStr">
        <is>
          <t>NIFTY OIL &amp; GAS</t>
        </is>
      </c>
      <c r="B40" s="13" t="inlineStr">
        <is>
          <t>AEGISLOG</t>
        </is>
      </c>
      <c r="C40" s="14" t="n">
        <v>718.4</v>
      </c>
      <c r="D40" s="14" t="n">
        <v>684.47</v>
      </c>
      <c r="E40" s="14" t="n">
        <v>672.3</v>
      </c>
      <c r="F40" s="14" t="n">
        <v>713.91</v>
      </c>
      <c r="G40" s="15">
        <f>HYPERLINK("https://www.tradingview.com/chart/?symbol=NSE:AEGISLOG","Chart 📈")</f>
        <v/>
      </c>
    </row>
    <row r="41" ht="16" customHeight="1">
      <c r="A41" s="16" t="inlineStr">
        <is>
          <t>NIFTY OIL &amp; GAS</t>
        </is>
      </c>
      <c r="B41" s="13" t="inlineStr">
        <is>
          <t>ATGL</t>
        </is>
      </c>
      <c r="C41" s="14" t="n">
        <v>643.15</v>
      </c>
      <c r="D41" s="14" t="n">
        <v>606.8200000000001</v>
      </c>
      <c r="E41" s="14" t="n">
        <v>574.29</v>
      </c>
      <c r="F41" s="14" t="n">
        <v>586.5599999999999</v>
      </c>
      <c r="G41" s="15">
        <f>HYPERLINK("https://www.tradingview.com/chart/?symbol=NSE:ATGL","Chart 📈")</f>
        <v/>
      </c>
    </row>
    <row r="42" ht="16" customHeight="1">
      <c r="A42" s="16" t="inlineStr">
        <is>
          <t>NIFTY OIL &amp; GAS</t>
        </is>
      </c>
      <c r="B42" s="13" t="inlineStr">
        <is>
          <t>ONGC</t>
        </is>
      </c>
      <c r="C42" s="14" t="n">
        <v>292.9</v>
      </c>
      <c r="D42" s="14" t="n">
        <v>287.84</v>
      </c>
      <c r="E42" s="14" t="n">
        <v>278.05</v>
      </c>
      <c r="F42" s="14" t="n">
        <v>253.15</v>
      </c>
      <c r="G42" s="15">
        <f>HYPERLINK("https://www.tradingview.com/chart/?symbol=NSE:ONGC","Chart 📈")</f>
        <v/>
      </c>
    </row>
    <row r="43" ht="16" customHeight="1">
      <c r="A43" s="16" t="inlineStr">
        <is>
          <t>NIFTY OIL &amp; GAS</t>
        </is>
      </c>
      <c r="B43" s="13" t="inlineStr">
        <is>
          <t>RELIANCE</t>
        </is>
      </c>
      <c r="C43" s="14" t="n">
        <v>1463.1</v>
      </c>
      <c r="D43" s="14" t="n">
        <v>1379.92</v>
      </c>
      <c r="E43" s="14" t="n">
        <v>1388.72</v>
      </c>
      <c r="F43" s="14" t="n">
        <v>1426.91</v>
      </c>
      <c r="G43" s="15">
        <f>HYPERLINK("https://www.tradingview.com/chart/?symbol=NSE:RELIANCE","Chart 📈")</f>
        <v/>
      </c>
    </row>
    <row r="44" ht="16" customHeight="1">
      <c r="A44" s="8" t="inlineStr">
        <is>
          <t>NIFTY ENERGY</t>
        </is>
      </c>
      <c r="B44" s="17" t="inlineStr">
        <is>
          <t>ABB</t>
        </is>
      </c>
      <c r="C44" s="18" t="n">
        <v>7236.5</v>
      </c>
      <c r="D44" s="18" t="n">
        <v>6992.24</v>
      </c>
      <c r="E44" s="18" t="n">
        <v>6503.28</v>
      </c>
      <c r="F44" s="18" t="n">
        <v>5765.69</v>
      </c>
      <c r="G44" s="19">
        <f>HYPERLINK("https://www.tradingview.com/chart/?symbol=NSE:ABB","Chart 📈")</f>
        <v/>
      </c>
    </row>
    <row r="45" ht="16" customHeight="1">
      <c r="A45" s="20" t="inlineStr">
        <is>
          <t>NIFTY ENERGY</t>
        </is>
      </c>
      <c r="B45" s="17" t="inlineStr">
        <is>
          <t>ADANIENSOL</t>
        </is>
      </c>
      <c r="C45" s="18" t="n">
        <v>1398.4</v>
      </c>
      <c r="D45" s="18" t="n">
        <v>1268.69</v>
      </c>
      <c r="E45" s="18" t="n">
        <v>1141.56</v>
      </c>
      <c r="F45" s="18" t="n">
        <v>1002.68</v>
      </c>
      <c r="G45" s="19">
        <f>HYPERLINK("https://www.tradingview.com/chart/?symbol=NSE:ADANIENSOL","Chart 📈")</f>
        <v/>
      </c>
    </row>
    <row r="46" ht="16" customHeight="1">
      <c r="A46" s="20" t="inlineStr">
        <is>
          <t>NIFTY ENERGY</t>
        </is>
      </c>
      <c r="B46" s="17" t="inlineStr">
        <is>
          <t>ADANIGREEN</t>
        </is>
      </c>
      <c r="C46" s="18" t="n">
        <v>1290.7</v>
      </c>
      <c r="D46" s="18" t="n">
        <v>1139.02</v>
      </c>
      <c r="E46" s="18" t="n">
        <v>1039.24</v>
      </c>
      <c r="F46" s="18" t="n">
        <v>993.92</v>
      </c>
      <c r="G46" s="19">
        <f>HYPERLINK("https://www.tradingview.com/chart/?symbol=NSE:ADANIGREEN","Chart 📈")</f>
        <v/>
      </c>
    </row>
    <row r="47" ht="16" customHeight="1">
      <c r="A47" s="20" t="inlineStr">
        <is>
          <t>NIFTY ENERGY</t>
        </is>
      </c>
      <c r="B47" s="17" t="inlineStr">
        <is>
          <t>ADANIPOWER</t>
        </is>
      </c>
      <c r="C47" s="18" t="n">
        <v>227.3</v>
      </c>
      <c r="D47" s="18" t="n">
        <v>199.56</v>
      </c>
      <c r="E47" s="18" t="n">
        <v>176.35</v>
      </c>
      <c r="F47" s="18" t="n">
        <v>148.9</v>
      </c>
      <c r="G47" s="19">
        <f>HYPERLINK("https://www.tradingview.com/chart/?symbol=NSE:ADANIPOWER","Chart 📈")</f>
        <v/>
      </c>
    </row>
    <row r="48" ht="16" customHeight="1">
      <c r="A48" s="20" t="inlineStr">
        <is>
          <t>NIFTY ENERGY</t>
        </is>
      </c>
      <c r="B48" s="17" t="inlineStr">
        <is>
          <t>BHEL</t>
        </is>
      </c>
      <c r="C48" s="18" t="n">
        <v>377.05</v>
      </c>
      <c r="D48" s="18" t="n">
        <v>320.97</v>
      </c>
      <c r="E48" s="18" t="n">
        <v>293.11</v>
      </c>
      <c r="F48" s="18" t="n">
        <v>266.33</v>
      </c>
      <c r="G48" s="19">
        <f>HYPERLINK("https://www.tradingview.com/chart/?symbol=NSE:BHEL","Chart 📈")</f>
        <v/>
      </c>
    </row>
    <row r="49" ht="16" customHeight="1">
      <c r="A49" s="20" t="inlineStr">
        <is>
          <t>NIFTY ENERGY</t>
        </is>
      </c>
      <c r="B49" s="17" t="inlineStr">
        <is>
          <t>CESC</t>
        </is>
      </c>
      <c r="C49" s="18" t="n">
        <v>198.72</v>
      </c>
      <c r="D49" s="18" t="n">
        <v>176.34</v>
      </c>
      <c r="E49" s="18" t="n">
        <v>166.44</v>
      </c>
      <c r="F49" s="18" t="n">
        <v>162.7</v>
      </c>
      <c r="G49" s="19">
        <f>HYPERLINK("https://www.tradingview.com/chart/?symbol=NSE:CESC","Chart 📈")</f>
        <v/>
      </c>
    </row>
    <row r="50" ht="16" customHeight="1">
      <c r="A50" s="20" t="inlineStr">
        <is>
          <t>NIFTY ENERGY</t>
        </is>
      </c>
      <c r="B50" s="17" t="inlineStr">
        <is>
          <t>CGPOWER</t>
        </is>
      </c>
      <c r="C50" s="18" t="n">
        <v>802.3</v>
      </c>
      <c r="D50" s="18" t="n">
        <v>780.1799999999999</v>
      </c>
      <c r="E50" s="18" t="n">
        <v>736.11</v>
      </c>
      <c r="F50" s="18" t="n">
        <v>694.5</v>
      </c>
      <c r="G50" s="19">
        <f>HYPERLINK("https://www.tradingview.com/chart/?symbol=NSE:CGPOWER","Chart 📈")</f>
        <v/>
      </c>
    </row>
    <row r="51" ht="16" customHeight="1">
      <c r="A51" s="20" t="inlineStr">
        <is>
          <t>NIFTY ENERGY</t>
        </is>
      </c>
      <c r="B51" s="17" t="inlineStr">
        <is>
          <t>COALINDIA</t>
        </is>
      </c>
      <c r="C51" s="18" t="n">
        <v>479.95</v>
      </c>
      <c r="D51" s="18" t="n">
        <v>456.74</v>
      </c>
      <c r="E51" s="18" t="n">
        <v>445.58</v>
      </c>
      <c r="F51" s="18" t="n">
        <v>409.09</v>
      </c>
      <c r="G51" s="19">
        <f>HYPERLINK("https://www.tradingview.com/chart/?symbol=NSE:COALINDIA","Chart 📈")</f>
        <v/>
      </c>
    </row>
    <row r="52" ht="16" customHeight="1">
      <c r="A52" s="20" t="inlineStr">
        <is>
          <t>NIFTY ENERGY</t>
        </is>
      </c>
      <c r="B52" s="17" t="inlineStr">
        <is>
          <t>GVT&amp;D</t>
        </is>
      </c>
      <c r="C52" s="18" t="n">
        <v>4486.6</v>
      </c>
      <c r="D52" s="18" t="n">
        <v>4240.17</v>
      </c>
      <c r="E52" s="18" t="n">
        <v>3926.48</v>
      </c>
      <c r="F52" s="18" t="n">
        <v>3200.92</v>
      </c>
      <c r="G52" s="19">
        <f>HYPERLINK("https://www.tradingview.com/chart/?symbol=NSE:GVT&amp;D","Chart 📈")</f>
        <v/>
      </c>
    </row>
    <row r="53" ht="16" customHeight="1">
      <c r="A53" s="20" t="inlineStr">
        <is>
          <t>NIFTY ENERGY</t>
        </is>
      </c>
      <c r="B53" s="17" t="inlineStr">
        <is>
          <t>JPPOWER</t>
        </is>
      </c>
      <c r="C53" s="18" t="n">
        <v>19.06</v>
      </c>
      <c r="D53" s="18" t="n">
        <v>18.46</v>
      </c>
      <c r="E53" s="18" t="n">
        <v>17.08</v>
      </c>
      <c r="F53" s="18" t="n">
        <v>16.82</v>
      </c>
      <c r="G53" s="19">
        <f>HYPERLINK("https://www.tradingview.com/chart/?symbol=NSE:JPPOWER","Chart 📈")</f>
        <v/>
      </c>
    </row>
    <row r="54" ht="16" customHeight="1">
      <c r="A54" s="20" t="inlineStr">
        <is>
          <t>NIFTY ENERGY</t>
        </is>
      </c>
      <c r="B54" s="17" t="inlineStr">
        <is>
          <t>JSWENERGY</t>
        </is>
      </c>
      <c r="C54" s="18" t="n">
        <v>562.3</v>
      </c>
      <c r="D54" s="18" t="n">
        <v>540.03</v>
      </c>
      <c r="E54" s="18" t="n">
        <v>516.72</v>
      </c>
      <c r="F54" s="18" t="n">
        <v>502.87</v>
      </c>
      <c r="G54" s="19">
        <f>HYPERLINK("https://www.tradingview.com/chart/?symbol=NSE:JSWENERGY","Chart 📈")</f>
        <v/>
      </c>
    </row>
    <row r="55" ht="16" customHeight="1">
      <c r="A55" s="20" t="inlineStr">
        <is>
          <t>NIFTY ENERGY</t>
        </is>
      </c>
      <c r="B55" s="17" t="inlineStr">
        <is>
          <t>NHPC</t>
        </is>
      </c>
      <c r="C55" s="18" t="n">
        <v>83.28</v>
      </c>
      <c r="D55" s="18" t="n">
        <v>81.09</v>
      </c>
      <c r="E55" s="18" t="n">
        <v>78.86</v>
      </c>
      <c r="F55" s="18" t="n">
        <v>79.25</v>
      </c>
      <c r="G55" s="19">
        <f>HYPERLINK("https://www.tradingview.com/chart/?symbol=NSE:NHPC","Chart 📈")</f>
        <v/>
      </c>
    </row>
    <row r="56" ht="16" customHeight="1">
      <c r="A56" s="20" t="inlineStr">
        <is>
          <t>NIFTY ENERGY</t>
        </is>
      </c>
      <c r="B56" s="17" t="inlineStr">
        <is>
          <t>NLCINDIA</t>
        </is>
      </c>
      <c r="C56" s="18" t="n">
        <v>320.4</v>
      </c>
      <c r="D56" s="18" t="n">
        <v>297.24</v>
      </c>
      <c r="E56" s="18" t="n">
        <v>279.85</v>
      </c>
      <c r="F56" s="18" t="n">
        <v>256.53</v>
      </c>
      <c r="G56" s="19">
        <f>HYPERLINK("https://www.tradingview.com/chart/?symbol=NSE:NLCINDIA","Chart 📈")</f>
        <v/>
      </c>
    </row>
    <row r="57" ht="16" customHeight="1">
      <c r="A57" s="20" t="inlineStr">
        <is>
          <t>NIFTY ENERGY</t>
        </is>
      </c>
      <c r="B57" s="17" t="inlineStr">
        <is>
          <t>NTPC</t>
        </is>
      </c>
      <c r="C57" s="18" t="n">
        <v>400.05</v>
      </c>
      <c r="D57" s="18" t="n">
        <v>393.88</v>
      </c>
      <c r="E57" s="18" t="n">
        <v>381.46</v>
      </c>
      <c r="F57" s="18" t="n">
        <v>353.91</v>
      </c>
      <c r="G57" s="19">
        <f>HYPERLINK("https://www.tradingview.com/chart/?symbol=NSE:NTPC","Chart 📈")</f>
        <v/>
      </c>
    </row>
    <row r="58" ht="16" customHeight="1">
      <c r="A58" s="20" t="inlineStr">
        <is>
          <t>NIFTY ENERGY</t>
        </is>
      </c>
      <c r="B58" s="17" t="inlineStr">
        <is>
          <t>POWERGRID</t>
        </is>
      </c>
      <c r="C58" s="18" t="n">
        <v>319.05</v>
      </c>
      <c r="D58" s="18" t="n">
        <v>312.69</v>
      </c>
      <c r="E58" s="18" t="n">
        <v>302.38</v>
      </c>
      <c r="F58" s="18" t="n">
        <v>287.21</v>
      </c>
      <c r="G58" s="19">
        <f>HYPERLINK("https://www.tradingview.com/chart/?symbol=NSE:POWERGRID","Chart 📈")</f>
        <v/>
      </c>
    </row>
    <row r="59" ht="16" customHeight="1">
      <c r="A59" s="20" t="inlineStr">
        <is>
          <t>NIFTY ENERGY</t>
        </is>
      </c>
      <c r="B59" s="17" t="inlineStr">
        <is>
          <t>POWERINDIA</t>
        </is>
      </c>
      <c r="C59" s="18" t="n">
        <v>33730</v>
      </c>
      <c r="D59" s="18" t="n">
        <v>30111.73</v>
      </c>
      <c r="E59" s="18" t="n">
        <v>26972.5</v>
      </c>
      <c r="F59" s="18" t="n">
        <v>21849.97</v>
      </c>
      <c r="G59" s="19">
        <f>HYPERLINK("https://www.tradingview.com/chart/?symbol=NSE:POWERINDIA","Chart 📈")</f>
        <v/>
      </c>
    </row>
    <row r="60" ht="16" customHeight="1">
      <c r="A60" s="20" t="inlineStr">
        <is>
          <t>NIFTY ENERGY</t>
        </is>
      </c>
      <c r="B60" s="17" t="inlineStr">
        <is>
          <t>SCHNEIDER</t>
        </is>
      </c>
      <c r="C60" s="18" t="n">
        <v>1305.8</v>
      </c>
      <c r="D60" s="18" t="n">
        <v>1095.17</v>
      </c>
      <c r="E60" s="18" t="n">
        <v>978.4400000000001</v>
      </c>
      <c r="F60" s="18" t="n">
        <v>833.9400000000001</v>
      </c>
      <c r="G60" s="19">
        <f>HYPERLINK("https://www.tradingview.com/chart/?symbol=NSE:SCHNEIDER","Chart 📈")</f>
        <v/>
      </c>
    </row>
    <row r="61" ht="16" customHeight="1">
      <c r="A61" s="20" t="inlineStr">
        <is>
          <t>NIFTY ENERGY</t>
        </is>
      </c>
      <c r="B61" s="17" t="inlineStr">
        <is>
          <t>SIEMENS</t>
        </is>
      </c>
      <c r="C61" s="18" t="n">
        <v>3834.1</v>
      </c>
      <c r="D61" s="18" t="n">
        <v>3617.43</v>
      </c>
      <c r="E61" s="18" t="n">
        <v>3407.4</v>
      </c>
      <c r="F61" s="18" t="n">
        <v>3209.58</v>
      </c>
      <c r="G61" s="19">
        <f>HYPERLINK("https://www.tradingview.com/chart/?symbol=NSE:SIEMENS","Chart 📈")</f>
        <v/>
      </c>
    </row>
    <row r="62" ht="16" customHeight="1">
      <c r="A62" s="20" t="inlineStr">
        <is>
          <t>NIFTY ENERGY</t>
        </is>
      </c>
      <c r="B62" s="17" t="inlineStr">
        <is>
          <t>SJVN</t>
        </is>
      </c>
      <c r="C62" s="18" t="n">
        <v>79.86</v>
      </c>
      <c r="D62" s="18" t="n">
        <v>76.56</v>
      </c>
      <c r="E62" s="18" t="n">
        <v>74.27</v>
      </c>
      <c r="F62" s="18" t="n">
        <v>79.52</v>
      </c>
      <c r="G62" s="19">
        <f>HYPERLINK("https://www.tradingview.com/chart/?symbol=NSE:SJVN","Chart 📈")</f>
        <v/>
      </c>
    </row>
    <row r="63" ht="16" customHeight="1">
      <c r="A63" s="20" t="inlineStr">
        <is>
          <t>NIFTY ENERGY</t>
        </is>
      </c>
      <c r="B63" s="17" t="inlineStr">
        <is>
          <t>SUZLON</t>
        </is>
      </c>
      <c r="C63" s="18" t="n">
        <v>54.96</v>
      </c>
      <c r="D63" s="18" t="n">
        <v>51.4</v>
      </c>
      <c r="E63" s="18" t="n">
        <v>48.19</v>
      </c>
      <c r="F63" s="18" t="n">
        <v>51.46</v>
      </c>
      <c r="G63" s="19">
        <f>HYPERLINK("https://www.tradingview.com/chart/?symbol=NSE:SUZLON","Chart 📈")</f>
        <v/>
      </c>
    </row>
    <row r="64" ht="16" customHeight="1">
      <c r="A64" s="20" t="inlineStr">
        <is>
          <t>NIFTY ENERGY</t>
        </is>
      </c>
      <c r="B64" s="17" t="inlineStr">
        <is>
          <t>TATAPOWER</t>
        </is>
      </c>
      <c r="C64" s="18" t="n">
        <v>441.4</v>
      </c>
      <c r="D64" s="18" t="n">
        <v>427.56</v>
      </c>
      <c r="E64" s="18" t="n">
        <v>406.88</v>
      </c>
      <c r="F64" s="18" t="n">
        <v>390.97</v>
      </c>
      <c r="G64" s="19">
        <f>HYPERLINK("https://www.tradingview.com/chart/?symbol=NSE:TATAPOWER","Chart 📈")</f>
        <v/>
      </c>
    </row>
    <row r="65" ht="16" customHeight="1">
      <c r="A65" s="20" t="inlineStr">
        <is>
          <t>NIFTY ENERGY</t>
        </is>
      </c>
      <c r="B65" s="17" t="inlineStr">
        <is>
          <t>THERMAX</t>
        </is>
      </c>
      <c r="C65" s="18" t="n">
        <v>4179.8</v>
      </c>
      <c r="D65" s="18" t="n">
        <v>3884.72</v>
      </c>
      <c r="E65" s="18" t="n">
        <v>3558.86</v>
      </c>
      <c r="F65" s="18" t="n">
        <v>3273.93</v>
      </c>
      <c r="G65" s="19">
        <f>HYPERLINK("https://www.tradingview.com/chart/?symbol=NSE:THERMAX","Chart 📈")</f>
        <v/>
      </c>
    </row>
    <row r="66" ht="16" customHeight="1">
      <c r="A66" s="20" t="inlineStr">
        <is>
          <t>NIFTY ENERGY</t>
        </is>
      </c>
      <c r="B66" s="17" t="inlineStr">
        <is>
          <t>TORNTPOWER</t>
        </is>
      </c>
      <c r="C66" s="18" t="n">
        <v>1724</v>
      </c>
      <c r="D66" s="18" t="n">
        <v>1615.31</v>
      </c>
      <c r="E66" s="18" t="n">
        <v>1520.32</v>
      </c>
      <c r="F66" s="18" t="n">
        <v>1408.11</v>
      </c>
      <c r="G66" s="19">
        <f>HYPERLINK("https://www.tradingview.com/chart/?symbol=NSE:TORNTPOWER","Chart 📈")</f>
        <v/>
      </c>
    </row>
    <row r="67" ht="16" customHeight="1">
      <c r="A67" s="20" t="inlineStr">
        <is>
          <t>NIFTY ENERGY</t>
        </is>
      </c>
      <c r="B67" s="17" t="inlineStr">
        <is>
          <t>TRITURBINE</t>
        </is>
      </c>
      <c r="C67" s="18" t="n">
        <v>570</v>
      </c>
      <c r="D67" s="18" t="n">
        <v>535.3200000000001</v>
      </c>
      <c r="E67" s="18" t="n">
        <v>508.17</v>
      </c>
      <c r="F67" s="18" t="n">
        <v>515.9400000000001</v>
      </c>
      <c r="G67" s="19">
        <f>HYPERLINK("https://www.tradingview.com/chart/?symbol=NSE:TRITURBINE","Chart 📈")</f>
        <v/>
      </c>
    </row>
    <row r="68" ht="16" customHeight="1">
      <c r="A68" s="12" t="inlineStr">
        <is>
          <t>NIFTY CONSUMER DURABLES</t>
        </is>
      </c>
      <c r="B68" s="13" t="inlineStr">
        <is>
          <t>AMBER</t>
        </is>
      </c>
      <c r="C68" s="14" t="n">
        <v>8007</v>
      </c>
      <c r="D68" s="14" t="n">
        <v>7649.99</v>
      </c>
      <c r="E68" s="14" t="n">
        <v>7323.88</v>
      </c>
      <c r="F68" s="14" t="n">
        <v>7085.2</v>
      </c>
      <c r="G68" s="15">
        <f>HYPERLINK("https://www.tradingview.com/chart/?symbol=NSE:AMBER","Chart 📈")</f>
        <v/>
      </c>
    </row>
    <row r="69" ht="16" customHeight="1">
      <c r="A69" s="16" t="inlineStr">
        <is>
          <t>NIFTY CONSUMER DURABLES</t>
        </is>
      </c>
      <c r="B69" s="13" t="inlineStr">
        <is>
          <t>CENTURYPLY</t>
        </is>
      </c>
      <c r="C69" s="14" t="n">
        <v>815.9</v>
      </c>
      <c r="D69" s="14" t="n">
        <v>766.76</v>
      </c>
      <c r="E69" s="14" t="n">
        <v>748.84</v>
      </c>
      <c r="F69" s="14" t="n">
        <v>754.14</v>
      </c>
      <c r="G69" s="15">
        <f>HYPERLINK("https://www.tradingview.com/chart/?symbol=NSE:CENTURYPLY","Chart 📈")</f>
        <v/>
      </c>
    </row>
    <row r="70" ht="16" customHeight="1">
      <c r="A70" s="16" t="inlineStr">
        <is>
          <t>NIFTY CONSUMER DURABLES</t>
        </is>
      </c>
      <c r="B70" s="13" t="inlineStr">
        <is>
          <t>CROMPTON</t>
        </is>
      </c>
      <c r="C70" s="14" t="n">
        <v>277.95</v>
      </c>
      <c r="D70" s="14" t="n">
        <v>258.11</v>
      </c>
      <c r="E70" s="14" t="n">
        <v>252.93</v>
      </c>
      <c r="F70" s="14" t="n">
        <v>273.3</v>
      </c>
      <c r="G70" s="15">
        <f>HYPERLINK("https://www.tradingview.com/chart/?symbol=NSE:CROMPTON","Chart 📈")</f>
        <v/>
      </c>
    </row>
    <row r="71" ht="16" customHeight="1">
      <c r="A71" s="16" t="inlineStr">
        <is>
          <t>NIFTY CONSUMER DURABLES</t>
        </is>
      </c>
      <c r="B71" s="13" t="inlineStr">
        <is>
          <t>VOLTAS</t>
        </is>
      </c>
      <c r="C71" s="14" t="n">
        <v>1454.2</v>
      </c>
      <c r="D71" s="14" t="n">
        <v>1424.68</v>
      </c>
      <c r="E71" s="14" t="n">
        <v>1409.84</v>
      </c>
      <c r="F71" s="14" t="n">
        <v>1380.8</v>
      </c>
      <c r="G71" s="15">
        <f>HYPERLINK("https://www.tradingview.com/chart/?symbol=NSE:VOLTAS","Chart 📈")</f>
        <v/>
      </c>
    </row>
    <row r="72" ht="16" customHeight="1">
      <c r="A72" s="8" t="inlineStr">
        <is>
          <t>NIFTY MEDIA</t>
        </is>
      </c>
      <c r="B72" s="17" t="inlineStr">
        <is>
          <t>NAZARA</t>
        </is>
      </c>
      <c r="C72" s="18" t="n">
        <v>267.3</v>
      </c>
      <c r="D72" s="18" t="n">
        <v>261.45</v>
      </c>
      <c r="E72" s="18" t="n">
        <v>257.73</v>
      </c>
      <c r="F72" s="18" t="n">
        <v>266.1</v>
      </c>
      <c r="G72" s="19">
        <f>HYPERLINK("https://www.tradingview.com/chart/?symbol=NSE:NAZARA","Chart 📈")</f>
        <v/>
      </c>
    </row>
    <row r="73" ht="16" customHeight="1">
      <c r="A73" s="20" t="inlineStr">
        <is>
          <t>NIFTY MEDIA</t>
        </is>
      </c>
      <c r="B73" s="17" t="inlineStr">
        <is>
          <t>PVRINOX</t>
        </is>
      </c>
      <c r="C73" s="18" t="n">
        <v>1059.1</v>
      </c>
      <c r="D73" s="18" t="n">
        <v>1004.22</v>
      </c>
      <c r="E73" s="18" t="n">
        <v>997.48</v>
      </c>
      <c r="F73" s="18" t="n">
        <v>1021.17</v>
      </c>
      <c r="G73" s="19">
        <f>HYPERLINK("https://www.tradingview.com/chart/?symbol=NSE:PVRINOX","Chart 📈")</f>
        <v/>
      </c>
    </row>
    <row r="74" ht="16" customHeight="1">
      <c r="A74" s="20" t="inlineStr">
        <is>
          <t>NIFTY MEDIA</t>
        </is>
      </c>
      <c r="B74" s="17" t="inlineStr">
        <is>
          <t>TIPSMUSIC</t>
        </is>
      </c>
      <c r="C74" s="18" t="n">
        <v>645.5</v>
      </c>
      <c r="D74" s="18" t="n">
        <v>604.54</v>
      </c>
      <c r="E74" s="18" t="n">
        <v>568.34</v>
      </c>
      <c r="F74" s="18" t="n">
        <v>560.84</v>
      </c>
      <c r="G74" s="19">
        <f>HYPERLINK("https://www.tradingview.com/chart/?symbol=NSE:TIPSMUSIC","Chart 📈")</f>
        <v/>
      </c>
    </row>
    <row r="75" ht="16" customHeight="1">
      <c r="A75" s="12" t="inlineStr">
        <is>
          <t>NIFTY MIDSMALL IT &amp; TELECOM</t>
        </is>
      </c>
      <c r="B75" s="13" t="inlineStr">
        <is>
          <t>HFCL</t>
        </is>
      </c>
      <c r="C75" s="14" t="n">
        <v>126.04</v>
      </c>
      <c r="D75" s="14" t="n">
        <v>97.19</v>
      </c>
      <c r="E75" s="14" t="n">
        <v>84.62</v>
      </c>
      <c r="F75" s="14" t="n">
        <v>76.40000000000001</v>
      </c>
      <c r="G75" s="15">
        <f>HYPERLINK("https://www.tradingview.com/chart/?symbol=NSE:HFCL","Chart 📈")</f>
        <v/>
      </c>
    </row>
    <row r="76" ht="16" customHeight="1">
      <c r="A76" s="16" t="inlineStr">
        <is>
          <t>NIFTY MIDSMALL IT &amp; TELECOM</t>
        </is>
      </c>
      <c r="B76" s="13" t="inlineStr">
        <is>
          <t>IDEA</t>
        </is>
      </c>
      <c r="C76" s="14" t="n">
        <v>10.52</v>
      </c>
      <c r="D76" s="14" t="n">
        <v>9.699999999999999</v>
      </c>
      <c r="E76" s="14" t="n">
        <v>9.789999999999999</v>
      </c>
      <c r="F76" s="14" t="n">
        <v>9.44</v>
      </c>
      <c r="G76" s="15">
        <f>HYPERLINK("https://www.tradingview.com/chart/?symbol=NSE:IDEA","Chart 📈")</f>
        <v/>
      </c>
    </row>
    <row r="77" ht="16" customHeight="1">
      <c r="A77" s="16" t="inlineStr">
        <is>
          <t>NIFTY MIDSMALL IT &amp; TELECOM</t>
        </is>
      </c>
      <c r="B77" s="13" t="inlineStr">
        <is>
          <t>OFSS</t>
        </is>
      </c>
      <c r="C77" s="14" t="n">
        <v>9730</v>
      </c>
      <c r="D77" s="14" t="n">
        <v>8434.030000000001</v>
      </c>
      <c r="E77" s="14" t="n">
        <v>7753.91</v>
      </c>
      <c r="F77" s="14" t="n">
        <v>7852.52</v>
      </c>
      <c r="G77" s="15">
        <f>HYPERLINK("https://www.tradingview.com/chart/?symbol=NSE:OFSS","Chart 📈")</f>
        <v/>
      </c>
    </row>
    <row r="78" ht="16" customHeight="1">
      <c r="A78" s="16" t="inlineStr">
        <is>
          <t>NIFTY MIDSMALL IT &amp; TELECOM</t>
        </is>
      </c>
      <c r="B78" s="13" t="inlineStr">
        <is>
          <t>TANLA</t>
        </is>
      </c>
      <c r="C78" s="14" t="n">
        <v>526.9</v>
      </c>
      <c r="D78" s="14" t="n">
        <v>491.39</v>
      </c>
      <c r="E78" s="14" t="n">
        <v>472.46</v>
      </c>
      <c r="F78" s="14" t="n">
        <v>516.74</v>
      </c>
      <c r="G78" s="15">
        <f>HYPERLINK("https://www.tradingview.com/chart/?symbol=NSE:TANLA","Chart 📈")</f>
        <v/>
      </c>
    </row>
    <row r="79" ht="16" customHeight="1">
      <c r="A79" s="8" t="inlineStr">
        <is>
          <t>NIFTY AUTO</t>
        </is>
      </c>
      <c r="B79" s="17" t="inlineStr">
        <is>
          <t>BAJAJ-AUTO</t>
        </is>
      </c>
      <c r="C79" s="18" t="n">
        <v>10132</v>
      </c>
      <c r="D79" s="18" t="n">
        <v>9621.99</v>
      </c>
      <c r="E79" s="18" t="n">
        <v>9502.49</v>
      </c>
      <c r="F79" s="18" t="n">
        <v>9106.809999999999</v>
      </c>
      <c r="G79" s="19">
        <f>HYPERLINK("https://www.tradingview.com/chart/?symbol=NSE:BAJAJ-AUTO","Chart 📈")</f>
        <v/>
      </c>
    </row>
    <row r="80" ht="16" customHeight="1">
      <c r="A80" s="20" t="inlineStr">
        <is>
          <t>NIFTY AUTO</t>
        </is>
      </c>
      <c r="B80" s="17" t="inlineStr">
        <is>
          <t>BHARATFORG</t>
        </is>
      </c>
      <c r="C80" s="18" t="n">
        <v>1845.8</v>
      </c>
      <c r="D80" s="18" t="n">
        <v>1839.07</v>
      </c>
      <c r="E80" s="18" t="n">
        <v>1767.71</v>
      </c>
      <c r="F80" s="18" t="n">
        <v>1513.89</v>
      </c>
      <c r="G80" s="19">
        <f>HYPERLINK("https://www.tradingview.com/chart/?symbol=NSE:BHARATFORG","Chart 📈")</f>
        <v/>
      </c>
    </row>
    <row r="81" ht="16" customHeight="1">
      <c r="A81" s="20" t="inlineStr">
        <is>
          <t>NIFTY AUTO</t>
        </is>
      </c>
      <c r="B81" s="17" t="inlineStr">
        <is>
          <t>EICHERMOT</t>
        </is>
      </c>
      <c r="C81" s="18" t="n">
        <v>7329</v>
      </c>
      <c r="D81" s="18" t="n">
        <v>7133.62</v>
      </c>
      <c r="E81" s="18" t="n">
        <v>7173.36</v>
      </c>
      <c r="F81" s="18" t="n">
        <v>6859.43</v>
      </c>
      <c r="G81" s="19">
        <f>HYPERLINK("https://www.tradingview.com/chart/?symbol=NSE:EICHERMOT","Chart 📈")</f>
        <v/>
      </c>
    </row>
    <row r="82" ht="16" customHeight="1">
      <c r="A82" s="20" t="inlineStr">
        <is>
          <t>NIFTY AUTO</t>
        </is>
      </c>
      <c r="B82" s="17" t="inlineStr">
        <is>
          <t>EXIDEIND</t>
        </is>
      </c>
      <c r="C82" s="18" t="n">
        <v>359.05</v>
      </c>
      <c r="D82" s="18" t="n">
        <v>338.64</v>
      </c>
      <c r="E82" s="18" t="n">
        <v>330.73</v>
      </c>
      <c r="F82" s="18" t="n">
        <v>351.57</v>
      </c>
      <c r="G82" s="19">
        <f>HYPERLINK("https://www.tradingview.com/chart/?symbol=NSE:EXIDEIND","Chart 📈")</f>
        <v/>
      </c>
    </row>
    <row r="83" ht="16" customHeight="1">
      <c r="A83" s="12" t="inlineStr">
        <is>
          <t>NIFTY FINANCIAL SERVICES</t>
        </is>
      </c>
      <c r="B83" s="13" t="inlineStr">
        <is>
          <t>BAJFINANCE</t>
        </is>
      </c>
      <c r="C83" s="14" t="n">
        <v>950.2</v>
      </c>
      <c r="D83" s="14" t="n">
        <v>915.54</v>
      </c>
      <c r="E83" s="14" t="n">
        <v>919.04</v>
      </c>
      <c r="F83" s="14" t="n">
        <v>945.0599999999999</v>
      </c>
      <c r="G83" s="15">
        <f>HYPERLINK("https://www.tradingview.com/chart/?symbol=NSE:BAJFINANCE","Chart 📈")</f>
        <v/>
      </c>
    </row>
    <row r="84" ht="16" customHeight="1">
      <c r="A84" s="16" t="inlineStr">
        <is>
          <t>NIFTY FINANCIAL SERVICES</t>
        </is>
      </c>
      <c r="B84" s="13" t="inlineStr">
        <is>
          <t>CHOLAFIN</t>
        </is>
      </c>
      <c r="C84" s="14" t="n">
        <v>1639.5</v>
      </c>
      <c r="D84" s="14" t="n">
        <v>1550.14</v>
      </c>
      <c r="E84" s="14" t="n">
        <v>1565.31</v>
      </c>
      <c r="F84" s="14" t="n">
        <v>1604.97</v>
      </c>
      <c r="G84" s="15">
        <f>HYPERLINK("https://www.tradingview.com/chart/?symbol=NSE:CHOLAFIN","Chart 📈")</f>
        <v/>
      </c>
    </row>
    <row r="85" ht="16" customHeight="1">
      <c r="A85" s="16" t="inlineStr">
        <is>
          <t>NIFTY FINANCIAL SERVICES</t>
        </is>
      </c>
      <c r="B85" s="13" t="inlineStr">
        <is>
          <t>HDFCAMC</t>
        </is>
      </c>
      <c r="C85" s="14" t="n">
        <v>2753.6</v>
      </c>
      <c r="D85" s="14" t="n">
        <v>2667.29</v>
      </c>
      <c r="E85" s="14" t="n">
        <v>2608.29</v>
      </c>
      <c r="F85" s="14" t="n">
        <v>2594.76</v>
      </c>
      <c r="G85" s="15">
        <f>HYPERLINK("https://www.tradingview.com/chart/?symbol=NSE:HDFCAMC","Chart 📈")</f>
        <v/>
      </c>
    </row>
    <row r="86" ht="16" customHeight="1">
      <c r="A86" s="16" t="inlineStr">
        <is>
          <t>NIFTY FINANCIAL SERVICES</t>
        </is>
      </c>
      <c r="B86" s="13" t="inlineStr">
        <is>
          <t>LICHSGFIN</t>
        </is>
      </c>
      <c r="C86" s="14" t="n">
        <v>557</v>
      </c>
      <c r="D86" s="14" t="n">
        <v>539.8200000000001</v>
      </c>
      <c r="E86" s="14" t="n">
        <v>528.76</v>
      </c>
      <c r="F86" s="14" t="n">
        <v>544.67</v>
      </c>
      <c r="G86" s="15">
        <f>HYPERLINK("https://www.tradingview.com/chart/?symbol=NSE:LICHSGFIN","Chart 📈")</f>
        <v/>
      </c>
    </row>
    <row r="87" ht="16" customHeight="1">
      <c r="A87" s="16" t="inlineStr">
        <is>
          <t>NIFTY FINANCIAL SERVICES</t>
        </is>
      </c>
      <c r="B87" s="13" t="inlineStr">
        <is>
          <t>MCX</t>
        </is>
      </c>
      <c r="C87" s="14" t="n">
        <v>2912.9</v>
      </c>
      <c r="D87" s="14" t="n">
        <v>2782.95</v>
      </c>
      <c r="E87" s="14" t="n">
        <v>2623.81</v>
      </c>
      <c r="F87" s="14" t="n">
        <v>2159.54</v>
      </c>
      <c r="G87" s="15">
        <f>HYPERLINK("https://www.tradingview.com/chart/?symbol=NSE:MCX","Chart 📈")</f>
        <v/>
      </c>
    </row>
    <row r="88" ht="16" customHeight="1">
      <c r="A88" s="16" t="inlineStr">
        <is>
          <t>NIFTY FINANCIAL SERVICES</t>
        </is>
      </c>
      <c r="B88" s="13" t="inlineStr">
        <is>
          <t>MUTHOOTFIN</t>
        </is>
      </c>
      <c r="C88" s="14" t="n">
        <v>3487.7</v>
      </c>
      <c r="D88" s="14" t="n">
        <v>3464.74</v>
      </c>
      <c r="E88" s="14" t="n">
        <v>3456.7</v>
      </c>
      <c r="F88" s="14" t="n">
        <v>3267.23</v>
      </c>
      <c r="G88" s="15">
        <f>HYPERLINK("https://www.tradingview.com/chart/?symbol=NSE:MUTHOOTFIN","Chart 📈")</f>
        <v/>
      </c>
    </row>
    <row r="89" ht="16" customHeight="1">
      <c r="A89" s="8" t="inlineStr">
        <is>
          <t>NIFTY PSU BANK</t>
        </is>
      </c>
      <c r="B89" s="17" t="inlineStr">
        <is>
          <t>MAHABANK</t>
        </is>
      </c>
      <c r="C89" s="18" t="n">
        <v>79.3</v>
      </c>
      <c r="D89" s="18" t="n">
        <v>74.81999999999999</v>
      </c>
      <c r="E89" s="18" t="n">
        <v>70.61</v>
      </c>
      <c r="F89" s="18" t="n">
        <v>62.41</v>
      </c>
      <c r="G89" s="19">
        <f>HYPERLINK("https://www.tradingview.com/chart/?symbol=NSE:MAHABANK","Chart 📈")</f>
        <v/>
      </c>
    </row>
    <row r="90" ht="16" customHeight="1">
      <c r="A90" s="12" t="inlineStr">
        <is>
          <t>NIFTY BANK</t>
        </is>
      </c>
      <c r="B90" s="13" t="inlineStr">
        <is>
          <t>AUBANK</t>
        </is>
      </c>
      <c r="C90" s="14" t="n">
        <v>1015</v>
      </c>
      <c r="D90" s="14" t="n">
        <v>996.8200000000001</v>
      </c>
      <c r="E90" s="14" t="n">
        <v>971.52</v>
      </c>
      <c r="F90" s="14" t="n">
        <v>898.29</v>
      </c>
      <c r="G90" s="15">
        <f>HYPERLINK("https://www.tradingview.com/chart/?symbol=NSE:AUBANK","Chart 📈")</f>
        <v/>
      </c>
    </row>
    <row r="91" ht="16" customHeight="1">
      <c r="A91" s="16" t="inlineStr">
        <is>
          <t>NIFTY BANK</t>
        </is>
      </c>
      <c r="B91" s="13" t="inlineStr">
        <is>
          <t>FEDERALBNK</t>
        </is>
      </c>
      <c r="C91" s="14" t="n">
        <v>289.15</v>
      </c>
      <c r="D91" s="14" t="n">
        <v>286.82</v>
      </c>
      <c r="E91" s="14" t="n">
        <v>281.52</v>
      </c>
      <c r="F91" s="14" t="n">
        <v>252.86</v>
      </c>
      <c r="G91" s="15">
        <f>HYPERLINK("https://www.tradingview.com/chart/?symbol=NSE:FEDERALBNK","Chart 📈")</f>
        <v/>
      </c>
    </row>
    <row r="92" ht="16" customHeight="1">
      <c r="A92" s="16" t="inlineStr">
        <is>
          <t>NIFTY BANK</t>
        </is>
      </c>
      <c r="B92" s="13" t="inlineStr">
        <is>
          <t>INDUSINDBK</t>
        </is>
      </c>
      <c r="C92" s="14" t="n">
        <v>913.9</v>
      </c>
      <c r="D92" s="14" t="n">
        <v>866.21</v>
      </c>
      <c r="E92" s="14" t="n">
        <v>861.99</v>
      </c>
      <c r="F92" s="14" t="n">
        <v>849.62</v>
      </c>
      <c r="G92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2026-05-04T17:29:57Z</dcterms:created>
  <dcterms:modified xsi:type="dcterms:W3CDTF">2026-05-04T17:29:58Z</dcterms:modified>
</cp:coreProperties>
</file>