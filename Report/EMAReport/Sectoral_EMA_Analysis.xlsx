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30-Jul-2026  12:39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13</v>
      </c>
      <c r="D4" s="5" t="n">
        <v>14</v>
      </c>
      <c r="E4" s="5" t="n">
        <v>12</v>
      </c>
      <c r="F4" s="6" t="n">
        <v>0.867</v>
      </c>
      <c r="G4" s="6" t="n">
        <v>0.9329999999999999</v>
      </c>
      <c r="H4" s="6" t="n">
        <v>0.8</v>
      </c>
      <c r="I4" s="7" t="n">
        <v>0.8667</v>
      </c>
    </row>
    <row r="5" ht="17" customHeight="1">
      <c r="A5" s="8" t="inlineStr">
        <is>
          <t>NIFTY PHARMA</t>
        </is>
      </c>
      <c r="B5" s="9" t="n">
        <v>20</v>
      </c>
      <c r="C5" s="9" t="n">
        <v>11</v>
      </c>
      <c r="D5" s="9" t="n">
        <v>17</v>
      </c>
      <c r="E5" s="9" t="n">
        <v>18</v>
      </c>
      <c r="F5" s="10" t="n">
        <v>0.55</v>
      </c>
      <c r="G5" s="10" t="n">
        <v>0.85</v>
      </c>
      <c r="H5" s="10" t="n">
        <v>0.9</v>
      </c>
      <c r="I5" s="11" t="n">
        <v>0.7667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8</v>
      </c>
      <c r="E6" s="5" t="n">
        <v>8</v>
      </c>
      <c r="F6" s="6" t="n">
        <v>0.5</v>
      </c>
      <c r="G6" s="6" t="n">
        <v>0.8</v>
      </c>
      <c r="H6" s="6" t="n">
        <v>0.8</v>
      </c>
      <c r="I6" s="7" t="n">
        <v>0.7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11</v>
      </c>
      <c r="D7" s="9" t="n">
        <v>12</v>
      </c>
      <c r="E7" s="9" t="n">
        <v>6</v>
      </c>
      <c r="F7" s="10" t="n">
        <v>0.733</v>
      </c>
      <c r="G7" s="10" t="n">
        <v>0.8</v>
      </c>
      <c r="H7" s="10" t="n">
        <v>0.4</v>
      </c>
      <c r="I7" s="11" t="n">
        <v>0.6443000000000001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12</v>
      </c>
      <c r="D8" s="5" t="n">
        <v>11</v>
      </c>
      <c r="E8" s="5" t="n">
        <v>11</v>
      </c>
      <c r="F8" s="6" t="n">
        <v>0.6</v>
      </c>
      <c r="G8" s="6" t="n">
        <v>0.55</v>
      </c>
      <c r="H8" s="6" t="n">
        <v>0.55</v>
      </c>
      <c r="I8" s="7" t="n">
        <v>0.5667</v>
      </c>
    </row>
    <row r="9" ht="17" customHeight="1">
      <c r="A9" s="8" t="inlineStr">
        <is>
          <t>NIFTY FMCG</t>
        </is>
      </c>
      <c r="B9" s="9" t="n">
        <v>15</v>
      </c>
      <c r="C9" s="9" t="n">
        <v>10</v>
      </c>
      <c r="D9" s="9" t="n">
        <v>9</v>
      </c>
      <c r="E9" s="9" t="n">
        <v>6</v>
      </c>
      <c r="F9" s="10" t="n">
        <v>0.667</v>
      </c>
      <c r="G9" s="10" t="n">
        <v>0.6</v>
      </c>
      <c r="H9" s="10" t="n">
        <v>0.4</v>
      </c>
      <c r="I9" s="11" t="n">
        <v>0.5557</v>
      </c>
    </row>
    <row r="10" ht="17" customHeight="1">
      <c r="A10" s="4" t="inlineStr">
        <is>
          <t>NIFTY METAL</t>
        </is>
      </c>
      <c r="B10" s="5" t="n">
        <v>15</v>
      </c>
      <c r="C10" s="5" t="n">
        <v>9</v>
      </c>
      <c r="D10" s="5" t="n">
        <v>5</v>
      </c>
      <c r="E10" s="5" t="n">
        <v>10</v>
      </c>
      <c r="F10" s="6" t="n">
        <v>0.6</v>
      </c>
      <c r="G10" s="6" t="n">
        <v>0.333</v>
      </c>
      <c r="H10" s="6" t="n">
        <v>0.667</v>
      </c>
      <c r="I10" s="7" t="n">
        <v>0.5333</v>
      </c>
    </row>
    <row r="11" ht="17" customHeight="1">
      <c r="A11" s="8" t="inlineStr">
        <is>
          <t>NIFTY MEDIA</t>
        </is>
      </c>
      <c r="B11" s="9" t="n">
        <v>10</v>
      </c>
      <c r="C11" s="9" t="n">
        <v>5</v>
      </c>
      <c r="D11" s="9" t="n">
        <v>5</v>
      </c>
      <c r="E11" s="9" t="n">
        <v>5</v>
      </c>
      <c r="F11" s="10" t="n">
        <v>0.5</v>
      </c>
      <c r="G11" s="10" t="n">
        <v>0.5</v>
      </c>
      <c r="H11" s="10" t="n">
        <v>0.5</v>
      </c>
      <c r="I11" s="11" t="n">
        <v>0.5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10</v>
      </c>
      <c r="D12" s="5" t="n">
        <v>11</v>
      </c>
      <c r="E12" s="5" t="n">
        <v>9</v>
      </c>
      <c r="F12" s="6" t="n">
        <v>0.5</v>
      </c>
      <c r="G12" s="6" t="n">
        <v>0.55</v>
      </c>
      <c r="H12" s="6" t="n">
        <v>0.45</v>
      </c>
      <c r="I12" s="7" t="n">
        <v>0.5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7</v>
      </c>
      <c r="D13" s="9" t="n">
        <v>7</v>
      </c>
      <c r="E13" s="9" t="n">
        <v>5</v>
      </c>
      <c r="F13" s="10" t="n">
        <v>0.467</v>
      </c>
      <c r="G13" s="10" t="n">
        <v>0.467</v>
      </c>
      <c r="H13" s="10" t="n">
        <v>0.333</v>
      </c>
      <c r="I13" s="11" t="n">
        <v>0.4223</v>
      </c>
    </row>
    <row r="14" ht="17" customHeight="1">
      <c r="A14" s="4" t="inlineStr">
        <is>
          <t>NIFTY IT</t>
        </is>
      </c>
      <c r="B14" s="5" t="n">
        <v>10</v>
      </c>
      <c r="C14" s="5" t="n">
        <v>5</v>
      </c>
      <c r="D14" s="5" t="n">
        <v>5</v>
      </c>
      <c r="E14" s="5" t="n">
        <v>2</v>
      </c>
      <c r="F14" s="6" t="n">
        <v>0.5</v>
      </c>
      <c r="G14" s="6" t="n">
        <v>0.5</v>
      </c>
      <c r="H14" s="6" t="n">
        <v>0.2</v>
      </c>
      <c r="I14" s="7" t="n">
        <v>0.4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PSU BANK</t>
        </is>
      </c>
      <c r="B16" s="5" t="n">
        <v>12</v>
      </c>
      <c r="C16" s="5" t="n">
        <v>2</v>
      </c>
      <c r="D16" s="5" t="n">
        <v>3</v>
      </c>
      <c r="E16" s="5" t="n">
        <v>5</v>
      </c>
      <c r="F16" s="6" t="n">
        <v>0.167</v>
      </c>
      <c r="G16" s="6" t="n">
        <v>0.25</v>
      </c>
      <c r="H16" s="6" t="n">
        <v>0.417</v>
      </c>
      <c r="I16" s="7" t="n">
        <v>0.278</v>
      </c>
    </row>
    <row r="17" ht="17" customHeight="1">
      <c r="A17" s="8" t="inlineStr">
        <is>
          <t>NIFTY ENERGY</t>
        </is>
      </c>
      <c r="B17" s="9" t="n">
        <v>40</v>
      </c>
      <c r="C17" s="9" t="n">
        <v>4</v>
      </c>
      <c r="D17" s="9" t="n">
        <v>4</v>
      </c>
      <c r="E17" s="9" t="n">
        <v>15</v>
      </c>
      <c r="F17" s="10" t="n">
        <v>0.1</v>
      </c>
      <c r="G17" s="10" t="n">
        <v>0.1</v>
      </c>
      <c r="H17" s="10" t="n">
        <v>0.375</v>
      </c>
      <c r="I17" s="11" t="n">
        <v>0.1917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ASHOKLEY</t>
        </is>
      </c>
      <c r="C3" s="14" t="n">
        <v>158.09</v>
      </c>
      <c r="D3" s="14" t="n">
        <v>156</v>
      </c>
      <c r="E3" s="14" t="n">
        <v>156.99</v>
      </c>
      <c r="F3" s="14" t="n">
        <v>157.77</v>
      </c>
      <c r="G3" s="15">
        <f>HYPERLINK("https://www.tradingview.com/chart/?symbol=NSE:ASHOKLEY","Chart 📈")</f>
        <v/>
      </c>
    </row>
    <row r="4" ht="16" customHeight="1">
      <c r="A4" s="16" t="inlineStr">
        <is>
          <t>NIFTY AUTO</t>
        </is>
      </c>
      <c r="B4" s="13" t="inlineStr">
        <is>
          <t>BAJAJ-AUTO</t>
        </is>
      </c>
      <c r="C4" s="14" t="n">
        <v>11432</v>
      </c>
      <c r="D4" s="14" t="n">
        <v>10740.04</v>
      </c>
      <c r="E4" s="14" t="n">
        <v>10368.06</v>
      </c>
      <c r="F4" s="14" t="n">
        <v>9621.540000000001</v>
      </c>
      <c r="G4" s="15">
        <f>HYPERLINK("https://www.tradingview.com/chart/?symbol=NSE:BAJAJ-AUTO","Chart 📈")</f>
        <v/>
      </c>
    </row>
    <row r="5" ht="16" customHeight="1">
      <c r="A5" s="16" t="inlineStr">
        <is>
          <t>NIFTY AUTO</t>
        </is>
      </c>
      <c r="B5" s="13" t="inlineStr">
        <is>
          <t>BALKRISIND</t>
        </is>
      </c>
      <c r="C5" s="14" t="n">
        <v>2306.9</v>
      </c>
      <c r="D5" s="14" t="n">
        <v>2116.53</v>
      </c>
      <c r="E5" s="14" t="n">
        <v>2151.36</v>
      </c>
      <c r="F5" s="14" t="n">
        <v>2280.24</v>
      </c>
      <c r="G5" s="15">
        <f>HYPERLINK("https://www.tradingview.com/chart/?symbol=NSE:BALKRISIND","Chart 📈")</f>
        <v/>
      </c>
    </row>
    <row r="6" ht="16" customHeight="1">
      <c r="A6" s="16" t="inlineStr">
        <is>
          <t>NIFTY AUTO</t>
        </is>
      </c>
      <c r="B6" s="13" t="inlineStr">
        <is>
          <t>BHARATFORG</t>
        </is>
      </c>
      <c r="C6" s="14" t="n">
        <v>2164.7</v>
      </c>
      <c r="D6" s="14" t="n">
        <v>2147.19</v>
      </c>
      <c r="E6" s="14" t="n">
        <v>2071.45</v>
      </c>
      <c r="F6" s="14" t="n">
        <v>1764.59</v>
      </c>
      <c r="G6" s="15">
        <f>HYPERLINK("https://www.tradingview.com/chart/?symbol=NSE:BHARATFORG","Chart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41550</v>
      </c>
      <c r="D7" s="14" t="n">
        <v>41188.71</v>
      </c>
      <c r="E7" s="14" t="n">
        <v>39943.94</v>
      </c>
      <c r="F7" s="14" t="n">
        <v>37943.74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7912.5</v>
      </c>
      <c r="D8" s="14" t="n">
        <v>7604.77</v>
      </c>
      <c r="E8" s="14" t="n">
        <v>7453.68</v>
      </c>
      <c r="F8" s="14" t="n">
        <v>7106.75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452.7</v>
      </c>
      <c r="D9" s="14" t="n">
        <v>427.39</v>
      </c>
      <c r="E9" s="14" t="n">
        <v>404.79</v>
      </c>
      <c r="F9" s="14" t="n">
        <v>373.5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5325</v>
      </c>
      <c r="D10" s="14" t="n">
        <v>4994.46</v>
      </c>
      <c r="E10" s="14" t="n">
        <v>4951.83</v>
      </c>
      <c r="F10" s="14" t="n">
        <v>5036.77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3283.7</v>
      </c>
      <c r="D11" s="14" t="n">
        <v>3178.56</v>
      </c>
      <c r="E11" s="14" t="n">
        <v>3137.75</v>
      </c>
      <c r="F11" s="14" t="n">
        <v>3227.56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MARUTI</t>
        </is>
      </c>
      <c r="C12" s="14" t="n">
        <v>14188</v>
      </c>
      <c r="D12" s="14" t="n">
        <v>13756.43</v>
      </c>
      <c r="E12" s="14" t="n">
        <v>13657.04</v>
      </c>
      <c r="F12" s="14" t="n">
        <v>13955.8</v>
      </c>
      <c r="G12" s="15">
        <f>HYPERLINK("https://www.tradingview.com/chart/?symbol=NSE:MARUTI","Chart 📈")</f>
        <v/>
      </c>
    </row>
    <row r="13" ht="16" customHeight="1">
      <c r="A13" s="16" t="inlineStr">
        <is>
          <t>NIFTY AUTO</t>
        </is>
      </c>
      <c r="B13" s="13" t="inlineStr">
        <is>
          <t>MOTHERSON</t>
        </is>
      </c>
      <c r="C13" s="14" t="n">
        <v>146.72</v>
      </c>
      <c r="D13" s="14" t="n">
        <v>145.24</v>
      </c>
      <c r="E13" s="14" t="n">
        <v>142</v>
      </c>
      <c r="F13" s="14" t="n">
        <v>126.61</v>
      </c>
      <c r="G13" s="15">
        <f>HYPERLINK("https://www.tradingview.com/chart/?symbol=NSE:MOTHERSON","Chart 📈")</f>
        <v/>
      </c>
    </row>
    <row r="14" ht="16" customHeight="1">
      <c r="A14" s="16" t="inlineStr">
        <is>
          <t>NIFTY AUTO</t>
        </is>
      </c>
      <c r="B14" s="13" t="inlineStr">
        <is>
          <t>TVSMOTOR</t>
        </is>
      </c>
      <c r="C14" s="14" t="n">
        <v>4208.4</v>
      </c>
      <c r="D14" s="14" t="n">
        <v>3799.85</v>
      </c>
      <c r="E14" s="14" t="n">
        <v>3652.25</v>
      </c>
      <c r="F14" s="14" t="n">
        <v>3515.14</v>
      </c>
      <c r="G14" s="15">
        <f>HYPERLINK("https://www.tradingview.com/chart/?symbol=NSE:TVSMOTOR","Chart 📈")</f>
        <v/>
      </c>
    </row>
    <row r="15" ht="16" customHeight="1">
      <c r="A15" s="8" t="inlineStr">
        <is>
          <t>NIFTY PHARMA</t>
        </is>
      </c>
      <c r="B15" s="17" t="inlineStr">
        <is>
          <t>ABBOTINDIA</t>
        </is>
      </c>
      <c r="C15" s="18" t="n">
        <v>27555</v>
      </c>
      <c r="D15" s="18" t="n">
        <v>27194.79</v>
      </c>
      <c r="E15" s="18" t="n">
        <v>26547.73</v>
      </c>
      <c r="F15" s="18" t="n">
        <v>27336.08</v>
      </c>
      <c r="G15" s="19">
        <f>HYPERLINK("https://www.tradingview.com/chart/?symbol=NSE:ABBOTINDIA","Chart 📈")</f>
        <v/>
      </c>
    </row>
    <row r="16" ht="16" customHeight="1">
      <c r="A16" s="20" t="inlineStr">
        <is>
          <t>NIFTY PHARMA</t>
        </is>
      </c>
      <c r="B16" s="17" t="inlineStr">
        <is>
          <t>AJANTPHARM</t>
        </is>
      </c>
      <c r="C16" s="18" t="n">
        <v>3436.4</v>
      </c>
      <c r="D16" s="18" t="n">
        <v>3381.31</v>
      </c>
      <c r="E16" s="18" t="n">
        <v>3262.23</v>
      </c>
      <c r="F16" s="18" t="n">
        <v>2974.59</v>
      </c>
      <c r="G16" s="19">
        <f>HYPERLINK("https://www.tradingview.com/chart/?symbol=NSE:AJANTPHARM","Chart 📈")</f>
        <v/>
      </c>
    </row>
    <row r="17" ht="16" customHeight="1">
      <c r="A17" s="20" t="inlineStr">
        <is>
          <t>NIFTY PHARMA</t>
        </is>
      </c>
      <c r="B17" s="17" t="inlineStr">
        <is>
          <t>ALKEM</t>
        </is>
      </c>
      <c r="C17" s="18" t="n">
        <v>5816.5</v>
      </c>
      <c r="D17" s="18" t="n">
        <v>5622.63</v>
      </c>
      <c r="E17" s="18" t="n">
        <v>5542.33</v>
      </c>
      <c r="F17" s="18" t="n">
        <v>5457.69</v>
      </c>
      <c r="G17" s="19">
        <f>HYPERLINK("https://www.tradingview.com/chart/?symbol=NSE:ALKEM","Chart 📈")</f>
        <v/>
      </c>
    </row>
    <row r="18" ht="16" customHeight="1">
      <c r="A18" s="20" t="inlineStr">
        <is>
          <t>NIFTY PHARMA</t>
        </is>
      </c>
      <c r="B18" s="17" t="inlineStr">
        <is>
          <t>AUROPHARMA</t>
        </is>
      </c>
      <c r="C18" s="18" t="n">
        <v>1576.3</v>
      </c>
      <c r="D18" s="18" t="n">
        <v>1551.54</v>
      </c>
      <c r="E18" s="18" t="n">
        <v>1515.12</v>
      </c>
      <c r="F18" s="18" t="n">
        <v>1355.79</v>
      </c>
      <c r="G18" s="19">
        <f>HYPERLINK("https://www.tradingview.com/chart/?symbol=NSE:AUROPHARMA","Chart 📈")</f>
        <v/>
      </c>
    </row>
    <row r="19" ht="16" customHeight="1">
      <c r="A19" s="20" t="inlineStr">
        <is>
          <t>NIFTY PHARMA</t>
        </is>
      </c>
      <c r="B19" s="17" t="inlineStr">
        <is>
          <t>CIPLA</t>
        </is>
      </c>
      <c r="C19" s="18" t="n">
        <v>1466.4</v>
      </c>
      <c r="D19" s="18" t="n">
        <v>1433.46</v>
      </c>
      <c r="E19" s="18" t="n">
        <v>1410.48</v>
      </c>
      <c r="F19" s="18" t="n">
        <v>1403.12</v>
      </c>
      <c r="G19" s="19">
        <f>HYPERLINK("https://www.tradingview.com/chart/?symbol=NSE:CIPLA","Chart 📈")</f>
        <v/>
      </c>
    </row>
    <row r="20" ht="16" customHeight="1">
      <c r="A20" s="20" t="inlineStr">
        <is>
          <t>NIFTY PHARMA</t>
        </is>
      </c>
      <c r="B20" s="17" t="inlineStr">
        <is>
          <t>DIVISLAB</t>
        </is>
      </c>
      <c r="C20" s="18" t="n">
        <v>7835</v>
      </c>
      <c r="D20" s="18" t="n">
        <v>7240.48</v>
      </c>
      <c r="E20" s="18" t="n">
        <v>6942.62</v>
      </c>
      <c r="F20" s="18" t="n">
        <v>6565.36</v>
      </c>
      <c r="G20" s="19">
        <f>HYPERLINK("https://www.tradingview.com/chart/?symbol=NSE:DIVISLAB","Chart 📈")</f>
        <v/>
      </c>
    </row>
    <row r="21" ht="16" customHeight="1">
      <c r="A21" s="20" t="inlineStr">
        <is>
          <t>NIFTY PHARMA</t>
        </is>
      </c>
      <c r="B21" s="17" t="inlineStr">
        <is>
          <t>GLAND</t>
        </is>
      </c>
      <c r="C21" s="18" t="n">
        <v>2517</v>
      </c>
      <c r="D21" s="18" t="n">
        <v>2443.49</v>
      </c>
      <c r="E21" s="18" t="n">
        <v>2331.21</v>
      </c>
      <c r="F21" s="18" t="n">
        <v>2049.71</v>
      </c>
      <c r="G21" s="19">
        <f>HYPERLINK("https://www.tradingview.com/chart/?symbol=NSE:GLAND","Chart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2408.9</v>
      </c>
      <c r="D22" s="18" t="n">
        <v>2383.66</v>
      </c>
      <c r="E22" s="18" t="n">
        <v>2287.69</v>
      </c>
      <c r="F22" s="18" t="n">
        <v>2047.9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1781.3</v>
      </c>
      <c r="D23" s="18" t="n">
        <v>1608.79</v>
      </c>
      <c r="E23" s="18" t="n">
        <v>1489.88</v>
      </c>
      <c r="F23" s="18" t="n">
        <v>1214.74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MANKIND</t>
        </is>
      </c>
      <c r="C24" s="18" t="n">
        <v>2575.9</v>
      </c>
      <c r="D24" s="18" t="n">
        <v>2540.03</v>
      </c>
      <c r="E24" s="18" t="n">
        <v>2473.59</v>
      </c>
      <c r="F24" s="18" t="n">
        <v>2362.28</v>
      </c>
      <c r="G24" s="19">
        <f>HYPERLINK("https://www.tradingview.com/chart/?symbol=NSE:MANKIND","Chart 📈")</f>
        <v/>
      </c>
    </row>
    <row r="25" ht="16" customHeight="1">
      <c r="A25" s="20" t="inlineStr">
        <is>
          <t>NIFTY PHARMA</t>
        </is>
      </c>
      <c r="B25" s="17" t="inlineStr">
        <is>
          <t>SUNPHARMA</t>
        </is>
      </c>
      <c r="C25" s="18" t="n">
        <v>2001.1</v>
      </c>
      <c r="D25" s="18" t="n">
        <v>1941.78</v>
      </c>
      <c r="E25" s="18" t="n">
        <v>1888.69</v>
      </c>
      <c r="F25" s="18" t="n">
        <v>1787.39</v>
      </c>
      <c r="G25" s="19">
        <f>HYPERLINK("https://www.tradingview.com/chart/?symbol=NSE:SUNPHARMA","Chart 📈")</f>
        <v/>
      </c>
    </row>
    <row r="26" ht="16" customHeight="1">
      <c r="A26" s="12" t="inlineStr">
        <is>
          <t>NIFTY REALTY</t>
        </is>
      </c>
      <c r="B26" s="13" t="inlineStr">
        <is>
          <t>DLF</t>
        </is>
      </c>
      <c r="C26" s="14" t="n">
        <v>654.85</v>
      </c>
      <c r="D26" s="14" t="n">
        <v>648.46</v>
      </c>
      <c r="E26" s="14" t="n">
        <v>627.95</v>
      </c>
      <c r="F26" s="14" t="n">
        <v>639.0700000000001</v>
      </c>
      <c r="G26" s="15">
        <f>HYPERLINK("https://www.tradingview.com/chart/?symbol=NSE:DLF","Chart 📈")</f>
        <v/>
      </c>
    </row>
    <row r="27" ht="16" customHeight="1">
      <c r="A27" s="16" t="inlineStr">
        <is>
          <t>NIFTY REALTY</t>
        </is>
      </c>
      <c r="B27" s="13" t="inlineStr">
        <is>
          <t>GODREJPROP</t>
        </is>
      </c>
      <c r="C27" s="14" t="n">
        <v>2110.9</v>
      </c>
      <c r="D27" s="14" t="n">
        <v>2052.42</v>
      </c>
      <c r="E27" s="14" t="n">
        <v>1942.07</v>
      </c>
      <c r="F27" s="14" t="n">
        <v>1885.62</v>
      </c>
      <c r="G27" s="15">
        <f>HYPERLINK("https://www.tradingview.com/chart/?symbol=NSE:GODREJPROP","Chart 📈")</f>
        <v/>
      </c>
    </row>
    <row r="28" ht="16" customHeight="1">
      <c r="A28" s="16" t="inlineStr">
        <is>
          <t>NIFTY REALTY</t>
        </is>
      </c>
      <c r="B28" s="13" t="inlineStr">
        <is>
          <t>LODHA</t>
        </is>
      </c>
      <c r="C28" s="14" t="n">
        <v>1287.15</v>
      </c>
      <c r="D28" s="14" t="n">
        <v>1170.53</v>
      </c>
      <c r="E28" s="14" t="n">
        <v>1066.55</v>
      </c>
      <c r="F28" s="14" t="n">
        <v>1027.14</v>
      </c>
      <c r="G28" s="15">
        <f>HYPERLINK("https://www.tradingview.com/chart/?symbol=NSE:LODHA","Chart 📈")</f>
        <v/>
      </c>
    </row>
    <row r="29" ht="16" customHeight="1">
      <c r="A29" s="16" t="inlineStr">
        <is>
          <t>NIFTY REALTY</t>
        </is>
      </c>
      <c r="B29" s="13" t="inlineStr">
        <is>
          <t>MAHLIFE</t>
        </is>
      </c>
      <c r="C29" s="14" t="n">
        <v>385.4</v>
      </c>
      <c r="D29" s="14" t="n">
        <v>373.71</v>
      </c>
      <c r="E29" s="14" t="n">
        <v>360.81</v>
      </c>
      <c r="F29" s="14" t="n">
        <v>355.66</v>
      </c>
      <c r="G29" s="15">
        <f>HYPERLINK("https://www.tradingview.com/chart/?symbol=NSE:MAHLIFE","Chart 📈")</f>
        <v/>
      </c>
    </row>
    <row r="30" ht="16" customHeight="1">
      <c r="A30" s="8" t="inlineStr">
        <is>
          <t>NIFTY CONSUMER DURABLES</t>
        </is>
      </c>
      <c r="B30" s="17" t="inlineStr">
        <is>
          <t>CENTURYPLY</t>
        </is>
      </c>
      <c r="C30" s="18" t="n">
        <v>793.75</v>
      </c>
      <c r="D30" s="18" t="n">
        <v>782.92</v>
      </c>
      <c r="E30" s="18" t="n">
        <v>772.71</v>
      </c>
      <c r="F30" s="18" t="n">
        <v>762.75</v>
      </c>
      <c r="G30" s="19">
        <f>HYPERLINK("https://www.tradingview.com/chart/?symbol=NSE:CENTURYPLY","Chart 📈")</f>
        <v/>
      </c>
    </row>
    <row r="31" ht="16" customHeight="1">
      <c r="A31" s="20" t="inlineStr">
        <is>
          <t>NIFTY CONSUMER DURABLES</t>
        </is>
      </c>
      <c r="B31" s="17" t="inlineStr">
        <is>
          <t>DIXON</t>
        </is>
      </c>
      <c r="C31" s="18" t="n">
        <v>14338</v>
      </c>
      <c r="D31" s="18" t="n">
        <v>13660.78</v>
      </c>
      <c r="E31" s="18" t="n">
        <v>12839.51</v>
      </c>
      <c r="F31" s="18" t="n">
        <v>12774.09</v>
      </c>
      <c r="G31" s="19">
        <f>HYPERLINK("https://www.tradingview.com/chart/?symbol=NSE:DIXON","Chart 📈")</f>
        <v/>
      </c>
    </row>
    <row r="32" ht="16" customHeight="1">
      <c r="A32" s="20" t="inlineStr">
        <is>
          <t>NIFTY CONSUMER DURABLES</t>
        </is>
      </c>
      <c r="B32" s="17" t="inlineStr">
        <is>
          <t>KALYANKJIL</t>
        </is>
      </c>
      <c r="C32" s="18" t="n">
        <v>634.6</v>
      </c>
      <c r="D32" s="18" t="n">
        <v>538.21</v>
      </c>
      <c r="E32" s="18" t="n">
        <v>467.54</v>
      </c>
      <c r="F32" s="18" t="n">
        <v>449.91</v>
      </c>
      <c r="G32" s="19">
        <f>HYPERLINK("https://www.tradingview.com/chart/?symbol=NSE:KALYANKJIL","Chart 📈")</f>
        <v/>
      </c>
    </row>
    <row r="33" ht="16" customHeight="1">
      <c r="A33" s="20" t="inlineStr">
        <is>
          <t>NIFTY CONSUMER DURABLES</t>
        </is>
      </c>
      <c r="B33" s="17" t="inlineStr">
        <is>
          <t>TITAN</t>
        </is>
      </c>
      <c r="C33" s="18" t="n">
        <v>4850</v>
      </c>
      <c r="D33" s="18" t="n">
        <v>4650.52</v>
      </c>
      <c r="E33" s="18" t="n">
        <v>4479.97</v>
      </c>
      <c r="F33" s="18" t="n">
        <v>4149.39</v>
      </c>
      <c r="G33" s="19">
        <f>HYPERLINK("https://www.tradingview.com/chart/?symbol=NSE:TITAN","Chart 📈")</f>
        <v/>
      </c>
    </row>
    <row r="34" ht="16" customHeight="1">
      <c r="A34" s="12" t="inlineStr">
        <is>
          <t>NIFTY MIDSMALL IT &amp; TELECOM</t>
        </is>
      </c>
      <c r="B34" s="13" t="inlineStr">
        <is>
          <t>AFFLE</t>
        </is>
      </c>
      <c r="C34" s="14" t="n">
        <v>1622.7</v>
      </c>
      <c r="D34" s="14" t="n">
        <v>1525.42</v>
      </c>
      <c r="E34" s="14" t="n">
        <v>1495.21</v>
      </c>
      <c r="F34" s="14" t="n">
        <v>1579.93</v>
      </c>
      <c r="G34" s="15">
        <f>HYPERLINK("https://www.tradingview.com/chart/?symbol=NSE:AFFLE","Chart 📈")</f>
        <v/>
      </c>
    </row>
    <row r="35" ht="16" customHeight="1">
      <c r="A35" s="16" t="inlineStr">
        <is>
          <t>NIFTY MIDSMALL IT &amp; TELECOM</t>
        </is>
      </c>
      <c r="B35" s="13" t="inlineStr">
        <is>
          <t>COFORGE</t>
        </is>
      </c>
      <c r="C35" s="14" t="n">
        <v>1746.9</v>
      </c>
      <c r="D35" s="14" t="n">
        <v>1547.46</v>
      </c>
      <c r="E35" s="14" t="n">
        <v>1477.93</v>
      </c>
      <c r="F35" s="14" t="n">
        <v>1488.13</v>
      </c>
      <c r="G35" s="15">
        <f>HYPERLINK("https://www.tradingview.com/chart/?symbol=NSE:COFORGE","Chart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OFSS</t>
        </is>
      </c>
      <c r="C36" s="14" t="n">
        <v>11136</v>
      </c>
      <c r="D36" s="14" t="n">
        <v>11132.51</v>
      </c>
      <c r="E36" s="14" t="n">
        <v>10524.41</v>
      </c>
      <c r="F36" s="14" t="n">
        <v>8945.26</v>
      </c>
      <c r="G36" s="15">
        <f>HYPERLINK("https://www.tradingview.com/chart/?symbol=NSE:OFSS","Chart 📈")</f>
        <v/>
      </c>
    </row>
    <row r="37" ht="16" customHeight="1">
      <c r="A37" s="16" t="inlineStr">
        <is>
          <t>NIFTY MIDSMALL IT &amp; TELECOM</t>
        </is>
      </c>
      <c r="B37" s="13" t="inlineStr">
        <is>
          <t>PERSISTENT</t>
        </is>
      </c>
      <c r="C37" s="14" t="n">
        <v>5514.7</v>
      </c>
      <c r="D37" s="14" t="n">
        <v>5138.05</v>
      </c>
      <c r="E37" s="14" t="n">
        <v>5029.05</v>
      </c>
      <c r="F37" s="14" t="n">
        <v>5210.4</v>
      </c>
      <c r="G37" s="15">
        <f>HYPERLINK("https://www.tradingview.com/chart/?symbol=NSE:PERSISTENT","Chart 📈")</f>
        <v/>
      </c>
    </row>
    <row r="38" ht="16" customHeight="1">
      <c r="A38" s="16" t="inlineStr">
        <is>
          <t>NIFTY MIDSMALL IT &amp; TELECOM</t>
        </is>
      </c>
      <c r="B38" s="13" t="inlineStr">
        <is>
          <t>SONATSOFTW</t>
        </is>
      </c>
      <c r="C38" s="14" t="n">
        <v>308.9</v>
      </c>
      <c r="D38" s="14" t="n">
        <v>294.97</v>
      </c>
      <c r="E38" s="14" t="n">
        <v>284.16</v>
      </c>
      <c r="F38" s="14" t="n">
        <v>298.59</v>
      </c>
      <c r="G38" s="15">
        <f>HYPERLINK("https://www.tradingview.com/chart/?symbol=NSE:SONATSOFTW","Chart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TANLA</t>
        </is>
      </c>
      <c r="C39" s="14" t="n">
        <v>593.05</v>
      </c>
      <c r="D39" s="14" t="n">
        <v>573.73</v>
      </c>
      <c r="E39" s="14" t="n">
        <v>547.62</v>
      </c>
      <c r="F39" s="14" t="n">
        <v>535.3</v>
      </c>
      <c r="G39" s="15">
        <f>HYPERLINK("https://www.tradingview.com/chart/?symbol=NSE:TANLA","Chart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TATATECH</t>
        </is>
      </c>
      <c r="C40" s="14" t="n">
        <v>751.35</v>
      </c>
      <c r="D40" s="14" t="n">
        <v>731.25</v>
      </c>
      <c r="E40" s="14" t="n">
        <v>712.34</v>
      </c>
      <c r="F40" s="14" t="n">
        <v>665.22</v>
      </c>
      <c r="G40" s="15">
        <f>HYPERLINK("https://www.tradingview.com/chart/?symbol=NSE:TATATECH","Chart 📈")</f>
        <v/>
      </c>
    </row>
    <row r="41" ht="16" customHeight="1">
      <c r="A41" s="8" t="inlineStr">
        <is>
          <t>NIFTY FMCG</t>
        </is>
      </c>
      <c r="B41" s="17" t="inlineStr">
        <is>
          <t>BALRAMCHIN</t>
        </is>
      </c>
      <c r="C41" s="18" t="n">
        <v>596.3</v>
      </c>
      <c r="D41" s="18" t="n">
        <v>592.6900000000001</v>
      </c>
      <c r="E41" s="18" t="n">
        <v>567.04</v>
      </c>
      <c r="F41" s="18" t="n">
        <v>523.47</v>
      </c>
      <c r="G41" s="19">
        <f>HYPERLINK("https://www.tradingview.com/chart/?symbol=NSE:BALRAMCHIN","Chart 📈")</f>
        <v/>
      </c>
    </row>
    <row r="42" ht="16" customHeight="1">
      <c r="A42" s="20" t="inlineStr">
        <is>
          <t>NIFTY FMCG</t>
        </is>
      </c>
      <c r="B42" s="17" t="inlineStr">
        <is>
          <t>COLPAL</t>
        </is>
      </c>
      <c r="C42" s="18" t="n">
        <v>2084.8</v>
      </c>
      <c r="D42" s="18" t="n">
        <v>2080.79</v>
      </c>
      <c r="E42" s="18" t="n">
        <v>2061.2</v>
      </c>
      <c r="F42" s="18" t="n">
        <v>2084.03</v>
      </c>
      <c r="G42" s="19">
        <f>HYPERLINK("https://www.tradingview.com/chart/?symbol=NSE:COLPAL","Chart 📈")</f>
        <v/>
      </c>
    </row>
    <row r="43" ht="16" customHeight="1">
      <c r="A43" s="20" t="inlineStr">
        <is>
          <t>NIFTY FMCG</t>
        </is>
      </c>
      <c r="B43" s="17" t="inlineStr">
        <is>
          <t>MARICO</t>
        </is>
      </c>
      <c r="C43" s="18" t="n">
        <v>885.35</v>
      </c>
      <c r="D43" s="18" t="n">
        <v>852.8099999999999</v>
      </c>
      <c r="E43" s="18" t="n">
        <v>833.84</v>
      </c>
      <c r="F43" s="18" t="n">
        <v>782.38</v>
      </c>
      <c r="G43" s="19">
        <f>HYPERLINK("https://www.tradingview.com/chart/?symbol=NSE:MARICO","Chart 📈")</f>
        <v/>
      </c>
    </row>
    <row r="44" ht="16" customHeight="1">
      <c r="A44" s="20" t="inlineStr">
        <is>
          <t>NIFTY FMCG</t>
        </is>
      </c>
      <c r="B44" s="17" t="inlineStr">
        <is>
          <t>NESTLEIND</t>
        </is>
      </c>
      <c r="C44" s="18" t="n">
        <v>1520.7</v>
      </c>
      <c r="D44" s="18" t="n">
        <v>1456.47</v>
      </c>
      <c r="E44" s="18" t="n">
        <v>1426.9</v>
      </c>
      <c r="F44" s="18" t="n">
        <v>1326.27</v>
      </c>
      <c r="G44" s="19">
        <f>HYPERLINK("https://www.tradingview.com/chart/?symbol=NSE:NESTLEIND","Chart 📈")</f>
        <v/>
      </c>
    </row>
    <row r="45" ht="16" customHeight="1">
      <c r="A45" s="20" t="inlineStr">
        <is>
          <t>NIFTY FMCG</t>
        </is>
      </c>
      <c r="B45" s="17" t="inlineStr">
        <is>
          <t>RADICO</t>
        </is>
      </c>
      <c r="C45" s="18" t="n">
        <v>4366.6</v>
      </c>
      <c r="D45" s="18" t="n">
        <v>4106.77</v>
      </c>
      <c r="E45" s="18" t="n">
        <v>3860.58</v>
      </c>
      <c r="F45" s="18" t="n">
        <v>3328.63</v>
      </c>
      <c r="G45" s="19">
        <f>HYPERLINK("https://www.tradingview.com/chart/?symbol=NSE:RADICO","Chart 📈")</f>
        <v/>
      </c>
    </row>
    <row r="46" ht="16" customHeight="1">
      <c r="A46" s="20" t="inlineStr">
        <is>
          <t>NIFTY FMCG</t>
        </is>
      </c>
      <c r="B46" s="17" t="inlineStr">
        <is>
          <t>UNITDSPR</t>
        </is>
      </c>
      <c r="C46" s="18" t="n">
        <v>1531.9</v>
      </c>
      <c r="D46" s="18" t="n">
        <v>1426.37</v>
      </c>
      <c r="E46" s="18" t="n">
        <v>1372.39</v>
      </c>
      <c r="F46" s="18" t="n">
        <v>1336.55</v>
      </c>
      <c r="G46" s="19">
        <f>HYPERLINK("https://www.tradingview.com/chart/?symbol=NSE:UNITDSPR","Chart 📈")</f>
        <v/>
      </c>
    </row>
    <row r="47" ht="16" customHeight="1">
      <c r="A47" s="12" t="inlineStr">
        <is>
          <t>NIFTY METAL</t>
        </is>
      </c>
      <c r="B47" s="13" t="inlineStr">
        <is>
          <t>APLAPOLLO</t>
        </is>
      </c>
      <c r="C47" s="14" t="n">
        <v>1893.1</v>
      </c>
      <c r="D47" s="14" t="n">
        <v>1832.13</v>
      </c>
      <c r="E47" s="14" t="n">
        <v>1842.8</v>
      </c>
      <c r="F47" s="14" t="n">
        <v>1858.67</v>
      </c>
      <c r="G47" s="15">
        <f>HYPERLINK("https://www.tradingview.com/chart/?symbol=NSE:APLAPOLLO","Chart 📈")</f>
        <v/>
      </c>
    </row>
    <row r="48" ht="16" customHeight="1">
      <c r="A48" s="16" t="inlineStr">
        <is>
          <t>NIFTY METAL</t>
        </is>
      </c>
      <c r="B48" s="13" t="inlineStr">
        <is>
          <t>JSL</t>
        </is>
      </c>
      <c r="C48" s="14" t="n">
        <v>737.75</v>
      </c>
      <c r="D48" s="14" t="n">
        <v>722</v>
      </c>
      <c r="E48" s="14" t="n">
        <v>718.89</v>
      </c>
      <c r="F48" s="14" t="n">
        <v>735.14</v>
      </c>
      <c r="G48" s="15">
        <f>HYPERLINK("https://www.tradingview.com/chart/?symbol=NSE:JSL","Chart 📈")</f>
        <v/>
      </c>
    </row>
    <row r="49" ht="16" customHeight="1">
      <c r="A49" s="16" t="inlineStr">
        <is>
          <t>NIFTY METAL</t>
        </is>
      </c>
      <c r="B49" s="13" t="inlineStr">
        <is>
          <t>JSWSTEEL</t>
        </is>
      </c>
      <c r="C49" s="14" t="n">
        <v>1270.8</v>
      </c>
      <c r="D49" s="14" t="n">
        <v>1249.9</v>
      </c>
      <c r="E49" s="14" t="n">
        <v>1248.55</v>
      </c>
      <c r="F49" s="14" t="n">
        <v>1201.98</v>
      </c>
      <c r="G49" s="15">
        <f>HYPERLINK("https://www.tradingview.com/chart/?symbol=NSE:JSWSTEEL","Chart 📈")</f>
        <v/>
      </c>
    </row>
    <row r="50" ht="16" customHeight="1">
      <c r="A50" s="16" t="inlineStr">
        <is>
          <t>NIFTY METAL</t>
        </is>
      </c>
      <c r="B50" s="13" t="inlineStr">
        <is>
          <t>WELCORP</t>
        </is>
      </c>
      <c r="C50" s="14" t="n">
        <v>1655</v>
      </c>
      <c r="D50" s="14" t="n">
        <v>1599.13</v>
      </c>
      <c r="E50" s="14" t="n">
        <v>1484.67</v>
      </c>
      <c r="F50" s="14" t="n">
        <v>1159.7</v>
      </c>
      <c r="G50" s="15">
        <f>HYPERLINK("https://www.tradingview.com/chart/?symbol=NSE:WELCORP","Chart 📈")</f>
        <v/>
      </c>
    </row>
    <row r="51" ht="16" customHeight="1">
      <c r="A51" s="8" t="inlineStr">
        <is>
          <t>NIFTY MEDIA</t>
        </is>
      </c>
      <c r="B51" s="17" t="inlineStr">
        <is>
          <t>NAZARA</t>
        </is>
      </c>
      <c r="C51" s="18" t="n">
        <v>308.05</v>
      </c>
      <c r="D51" s="18" t="n">
        <v>303.68</v>
      </c>
      <c r="E51" s="18" t="n">
        <v>295.6</v>
      </c>
      <c r="F51" s="18" t="n">
        <v>283.57</v>
      </c>
      <c r="G51" s="19">
        <f>HYPERLINK("https://www.tradingview.com/chart/?symbol=NSE:NAZARA","Chart 📈")</f>
        <v/>
      </c>
    </row>
    <row r="52" ht="16" customHeight="1">
      <c r="A52" s="20" t="inlineStr">
        <is>
          <t>NIFTY MEDIA</t>
        </is>
      </c>
      <c r="B52" s="17" t="inlineStr">
        <is>
          <t>PVRINOX</t>
        </is>
      </c>
      <c r="C52" s="18" t="n">
        <v>1131.45</v>
      </c>
      <c r="D52" s="18" t="n">
        <v>1044.71</v>
      </c>
      <c r="E52" s="18" t="n">
        <v>1014</v>
      </c>
      <c r="F52" s="18" t="n">
        <v>1014.65</v>
      </c>
      <c r="G52" s="19">
        <f>HYPERLINK("https://www.tradingview.com/chart/?symbol=NSE:PVRINOX","Chart 📈")</f>
        <v/>
      </c>
    </row>
    <row r="53" ht="16" customHeight="1">
      <c r="A53" s="20" t="inlineStr">
        <is>
          <t>NIFTY MEDIA</t>
        </is>
      </c>
      <c r="B53" s="17" t="inlineStr">
        <is>
          <t>SAREGAMA</t>
        </is>
      </c>
      <c r="C53" s="18" t="n">
        <v>521.4</v>
      </c>
      <c r="D53" s="18" t="n">
        <v>498.84</v>
      </c>
      <c r="E53" s="18" t="n">
        <v>468.06</v>
      </c>
      <c r="F53" s="18" t="n">
        <v>419.32</v>
      </c>
      <c r="G53" s="19">
        <f>HYPERLINK("https://www.tradingview.com/chart/?symbol=NSE:SAREGAMA","Chart 📈")</f>
        <v/>
      </c>
    </row>
    <row r="54" ht="16" customHeight="1">
      <c r="A54" s="20" t="inlineStr">
        <is>
          <t>NIFTY MEDIA</t>
        </is>
      </c>
      <c r="B54" s="17" t="inlineStr">
        <is>
          <t>ZEEL</t>
        </is>
      </c>
      <c r="C54" s="18" t="n">
        <v>112.21</v>
      </c>
      <c r="D54" s="18" t="n">
        <v>106.32</v>
      </c>
      <c r="E54" s="18" t="n">
        <v>103</v>
      </c>
      <c r="F54" s="18" t="n">
        <v>98.09</v>
      </c>
      <c r="G54" s="19">
        <f>HYPERLINK("https://www.tradingview.com/chart/?symbol=NSE:ZEEL","Chart 📈")</f>
        <v/>
      </c>
    </row>
    <row r="55" ht="16" customHeight="1">
      <c r="A55" s="12" t="inlineStr">
        <is>
          <t>NIFTY FINANCIAL SERVICES</t>
        </is>
      </c>
      <c r="B55" s="13" t="inlineStr">
        <is>
          <t>BAJAJFINSV</t>
        </is>
      </c>
      <c r="C55" s="14" t="n">
        <v>1909.4</v>
      </c>
      <c r="D55" s="14" t="n">
        <v>1875.8</v>
      </c>
      <c r="E55" s="14" t="n">
        <v>1835.39</v>
      </c>
      <c r="F55" s="14" t="n">
        <v>1873.76</v>
      </c>
      <c r="G55" s="15">
        <f>HYPERLINK("https://www.tradingview.com/chart/?symbol=NSE:BAJAJFINSV","Chart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BAJFINANCE</t>
        </is>
      </c>
      <c r="C56" s="14" t="n">
        <v>1053.5</v>
      </c>
      <c r="D56" s="14" t="n">
        <v>1031.22</v>
      </c>
      <c r="E56" s="14" t="n">
        <v>992.6799999999999</v>
      </c>
      <c r="F56" s="14" t="n">
        <v>953.29</v>
      </c>
      <c r="G56" s="15">
        <f>HYPERLINK("https://www.tradingview.com/chart/?symbol=NSE:BAJFINANCE","Chart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CHOLAFIN</t>
        </is>
      </c>
      <c r="C57" s="14" t="n">
        <v>1773.8</v>
      </c>
      <c r="D57" s="14" t="n">
        <v>1763.65</v>
      </c>
      <c r="E57" s="14" t="n">
        <v>1712.45</v>
      </c>
      <c r="F57" s="14" t="n">
        <v>1633.76</v>
      </c>
      <c r="G57" s="15">
        <f>HYPERLINK("https://www.tradingview.com/chart/?symbol=NSE:CHOLAFIN","Chart 📈")</f>
        <v/>
      </c>
    </row>
    <row r="58" ht="16" customHeight="1">
      <c r="A58" s="16" t="inlineStr">
        <is>
          <t>NIFTY FINANCIAL SERVICES</t>
        </is>
      </c>
      <c r="B58" s="13" t="inlineStr">
        <is>
          <t>ICICIBANK</t>
        </is>
      </c>
      <c r="C58" s="14" t="n">
        <v>1433.9</v>
      </c>
      <c r="D58" s="14" t="n">
        <v>1420.15</v>
      </c>
      <c r="E58" s="14" t="n">
        <v>1378.17</v>
      </c>
      <c r="F58" s="14" t="n">
        <v>1359.28</v>
      </c>
      <c r="G58" s="15">
        <f>HYPERLINK("https://www.tradingview.com/chart/?symbol=NSE:ICICIBANK","Chart 📈")</f>
        <v/>
      </c>
    </row>
    <row r="59" ht="16" customHeight="1">
      <c r="A59" s="16" t="inlineStr">
        <is>
          <t>NIFTY FINANCIAL SERVICES</t>
        </is>
      </c>
      <c r="B59" s="13" t="inlineStr">
        <is>
          <t>PFC</t>
        </is>
      </c>
      <c r="C59" s="14" t="n">
        <v>426.25</v>
      </c>
      <c r="D59" s="14" t="n">
        <v>417.2</v>
      </c>
      <c r="E59" s="14" t="n">
        <v>421.27</v>
      </c>
      <c r="F59" s="14" t="n">
        <v>410.72</v>
      </c>
      <c r="G59" s="15">
        <f>HYPERLINK("https://www.tradingview.com/chart/?symbol=NSE:PFC","Chart 📈")</f>
        <v/>
      </c>
    </row>
    <row r="60" ht="16" customHeight="1">
      <c r="A60" s="16" t="inlineStr">
        <is>
          <t>NIFTY FINANCIAL SERVICES</t>
        </is>
      </c>
      <c r="B60" s="13" t="inlineStr">
        <is>
          <t>RECLTD</t>
        </is>
      </c>
      <c r="C60" s="14" t="n">
        <v>374.9</v>
      </c>
      <c r="D60" s="14" t="n">
        <v>362.24</v>
      </c>
      <c r="E60" s="14" t="n">
        <v>357.07</v>
      </c>
      <c r="F60" s="14" t="n">
        <v>354.99</v>
      </c>
      <c r="G60" s="15">
        <f>HYPERLINK("https://www.tradingview.com/chart/?symbol=NSE:RECLTD","Chart 📈")</f>
        <v/>
      </c>
    </row>
    <row r="61" ht="16" customHeight="1">
      <c r="A61" s="16" t="inlineStr">
        <is>
          <t>NIFTY FINANCIAL SERVICES</t>
        </is>
      </c>
      <c r="B61" s="13" t="inlineStr">
        <is>
          <t>SBILIFE</t>
        </is>
      </c>
      <c r="C61" s="14" t="n">
        <v>1877.5</v>
      </c>
      <c r="D61" s="14" t="n">
        <v>1842.58</v>
      </c>
      <c r="E61" s="14" t="n">
        <v>1830.82</v>
      </c>
      <c r="F61" s="14" t="n">
        <v>1874.97</v>
      </c>
      <c r="G61" s="15">
        <f>HYPERLINK("https://www.tradingview.com/chart/?symbol=NSE:SBILIFE","Chart 📈")</f>
        <v/>
      </c>
    </row>
    <row r="62" ht="16" customHeight="1">
      <c r="A62" s="8" t="inlineStr">
        <is>
          <t>NIFTY OIL &amp; GAS</t>
        </is>
      </c>
      <c r="B62" s="17" t="inlineStr">
        <is>
          <t>GAIL</t>
        </is>
      </c>
      <c r="C62" s="18" t="n">
        <v>173.64</v>
      </c>
      <c r="D62" s="18" t="n">
        <v>172.98</v>
      </c>
      <c r="E62" s="18" t="n">
        <v>170.58</v>
      </c>
      <c r="F62" s="18" t="n">
        <v>166.68</v>
      </c>
      <c r="G62" s="19">
        <f>HYPERLINK("https://www.tradingview.com/chart/?symbol=NSE:GAIL","Chart 📈")</f>
        <v/>
      </c>
    </row>
    <row r="63" ht="16" customHeight="1">
      <c r="A63" s="20" t="inlineStr">
        <is>
          <t>NIFTY OIL &amp; GAS</t>
        </is>
      </c>
      <c r="B63" s="17" t="inlineStr">
        <is>
          <t>OIL</t>
        </is>
      </c>
      <c r="C63" s="18" t="n">
        <v>456.9</v>
      </c>
      <c r="D63" s="18" t="n">
        <v>441.98</v>
      </c>
      <c r="E63" s="18" t="n">
        <v>445.02</v>
      </c>
      <c r="F63" s="18" t="n">
        <v>447.18</v>
      </c>
      <c r="G63" s="19">
        <f>HYPERLINK("https://www.tradingview.com/chart/?symbol=NSE:OIL","Chart 📈")</f>
        <v/>
      </c>
    </row>
    <row r="64" ht="16" customHeight="1">
      <c r="A64" s="20" t="inlineStr">
        <is>
          <t>NIFTY OIL &amp; GAS</t>
        </is>
      </c>
      <c r="B64" s="17" t="inlineStr">
        <is>
          <t>PETRONET</t>
        </is>
      </c>
      <c r="C64" s="18" t="n">
        <v>278.9</v>
      </c>
      <c r="D64" s="18" t="n">
        <v>276.59</v>
      </c>
      <c r="E64" s="18" t="n">
        <v>276.14</v>
      </c>
      <c r="F64" s="18" t="n">
        <v>275.83</v>
      </c>
      <c r="G64" s="19">
        <f>HYPERLINK("https://www.tradingview.com/chart/?symbol=NSE:PETRONET","Chart 📈")</f>
        <v/>
      </c>
    </row>
    <row r="65" ht="16" customHeight="1">
      <c r="A65" s="12" t="inlineStr">
        <is>
          <t>NIFTY IT</t>
        </is>
      </c>
      <c r="B65" s="13" t="inlineStr">
        <is>
          <t>HCLTECH</t>
        </is>
      </c>
      <c r="C65" s="14" t="n">
        <v>1352.7</v>
      </c>
      <c r="D65" s="14" t="n">
        <v>1232.07</v>
      </c>
      <c r="E65" s="14" t="n">
        <v>1198.26</v>
      </c>
      <c r="F65" s="14" t="n">
        <v>1305.45</v>
      </c>
      <c r="G65" s="15">
        <f>HYPERLINK("https://www.tradingview.com/chart/?symbol=NSE:HCLTECH","Chart 📈")</f>
        <v/>
      </c>
    </row>
    <row r="66" ht="16" customHeight="1">
      <c r="A66" s="16" t="inlineStr">
        <is>
          <t>NIFTY IT</t>
        </is>
      </c>
      <c r="B66" s="13" t="inlineStr">
        <is>
          <t>TECHM</t>
        </is>
      </c>
      <c r="C66" s="14" t="n">
        <v>1669</v>
      </c>
      <c r="D66" s="14" t="n">
        <v>1542.76</v>
      </c>
      <c r="E66" s="14" t="n">
        <v>1481.8</v>
      </c>
      <c r="F66" s="14" t="n">
        <v>1449.65</v>
      </c>
      <c r="G66" s="15">
        <f>HYPERLINK("https://www.tradingview.com/chart/?symbol=NSE:TECHM","Chart 📈")</f>
        <v/>
      </c>
    </row>
    <row r="67" ht="16" customHeight="1">
      <c r="A67" s="8" t="inlineStr">
        <is>
          <t>NIFTY BANK</t>
        </is>
      </c>
      <c r="B67" s="17" t="inlineStr">
        <is>
          <t>AUBANK</t>
        </is>
      </c>
      <c r="C67" s="18" t="n">
        <v>1030.7</v>
      </c>
      <c r="D67" s="18" t="n">
        <v>1028.04</v>
      </c>
      <c r="E67" s="18" t="n">
        <v>1019.89</v>
      </c>
      <c r="F67" s="18" t="n">
        <v>957.0700000000001</v>
      </c>
      <c r="G67" s="19">
        <f>HYPERLINK("https://www.tradingview.com/chart/?symbol=NSE:AUBANK","Chart 📈")</f>
        <v/>
      </c>
    </row>
    <row r="68" ht="16" customHeight="1">
      <c r="A68" s="20" t="inlineStr">
        <is>
          <t>NIFTY BANK</t>
        </is>
      </c>
      <c r="B68" s="17" t="inlineStr">
        <is>
          <t>FEDERALBNK</t>
        </is>
      </c>
      <c r="C68" s="18" t="n">
        <v>354.15</v>
      </c>
      <c r="D68" s="18" t="n">
        <v>344.04</v>
      </c>
      <c r="E68" s="18" t="n">
        <v>327.02</v>
      </c>
      <c r="F68" s="18" t="n">
        <v>284.81</v>
      </c>
      <c r="G68" s="19">
        <f>HYPERLINK("https://www.tradingview.com/chart/?symbol=NSE:FEDERALBNK","Chart 📈")</f>
        <v/>
      </c>
    </row>
    <row r="69" ht="16" customHeight="1">
      <c r="A69" s="20" t="inlineStr">
        <is>
          <t>NIFTY BANK</t>
        </is>
      </c>
      <c r="B69" s="17" t="inlineStr">
        <is>
          <t>IDFCFIRSTB</t>
        </is>
      </c>
      <c r="C69" s="18" t="n">
        <v>84.76000000000001</v>
      </c>
      <c r="D69" s="18" t="n">
        <v>81.5</v>
      </c>
      <c r="E69" s="18" t="n">
        <v>78.20999999999999</v>
      </c>
      <c r="F69" s="18" t="n">
        <v>74.83</v>
      </c>
      <c r="G69" s="19">
        <f>HYPERLINK("https://www.tradingview.com/chart/?symbol=NSE:IDFCFIRSTB","Chart 📈")</f>
        <v/>
      </c>
    </row>
    <row r="70" ht="16" customHeight="1">
      <c r="A70" s="20" t="inlineStr">
        <is>
          <t>NIFTY BANK</t>
        </is>
      </c>
      <c r="B70" s="17" t="inlineStr">
        <is>
          <t>INDUSINDBK</t>
        </is>
      </c>
      <c r="C70" s="18" t="n">
        <v>1011.45</v>
      </c>
      <c r="D70" s="18" t="n">
        <v>1002.4</v>
      </c>
      <c r="E70" s="18" t="n">
        <v>966.92</v>
      </c>
      <c r="F70" s="18" t="n">
        <v>894.96</v>
      </c>
      <c r="G70" s="19">
        <f>HYPERLINK("https://www.tradingview.com/chart/?symbol=NSE:INDUSINDBK","Chart 📈")</f>
        <v/>
      </c>
    </row>
    <row r="71" ht="16" customHeight="1">
      <c r="A71" s="12" t="inlineStr">
        <is>
          <t>NIFTY PSU BANK</t>
        </is>
      </c>
      <c r="B71" s="13" t="inlineStr">
        <is>
          <t>PNB</t>
        </is>
      </c>
      <c r="C71" s="14" t="n">
        <v>111.64</v>
      </c>
      <c r="D71" s="14" t="n">
        <v>108.9</v>
      </c>
      <c r="E71" s="14" t="n">
        <v>107.42</v>
      </c>
      <c r="F71" s="14" t="n">
        <v>109.22</v>
      </c>
      <c r="G71" s="15">
        <f>HYPERLINK("https://www.tradingview.com/chart/?symbol=NSE:PNB","Chart 📈")</f>
        <v/>
      </c>
    </row>
    <row r="72" ht="16" customHeight="1">
      <c r="A72" s="16" t="inlineStr">
        <is>
          <t>NIFTY PSU BANK</t>
        </is>
      </c>
      <c r="B72" s="13" t="inlineStr">
        <is>
          <t>UNIONBANK</t>
        </is>
      </c>
      <c r="C72" s="14" t="n">
        <v>170.4</v>
      </c>
      <c r="D72" s="14" t="n">
        <v>169.09</v>
      </c>
      <c r="E72" s="14" t="n">
        <v>167.59</v>
      </c>
      <c r="F72" s="14" t="n">
        <v>161.01</v>
      </c>
      <c r="G72" s="15">
        <f>HYPERLINK("https://www.tradingview.com/chart/?symbol=NSE:UNIONBANK","Chart 📈")</f>
        <v/>
      </c>
    </row>
    <row r="73" ht="16" customHeight="1">
      <c r="A73" s="8" t="inlineStr">
        <is>
          <t>NIFTY ENERGY</t>
        </is>
      </c>
      <c r="B73" s="17" t="inlineStr">
        <is>
          <t>ABB</t>
        </is>
      </c>
      <c r="C73" s="18" t="n">
        <v>7291.5</v>
      </c>
      <c r="D73" s="18" t="n">
        <v>7255.09</v>
      </c>
      <c r="E73" s="18" t="n">
        <v>7085.95</v>
      </c>
      <c r="F73" s="18" t="n">
        <v>6361.01</v>
      </c>
      <c r="G73" s="19">
        <f>HYPERLINK("https://www.tradingview.com/chart/?symbol=NSE:ABB","Chart 📈")</f>
        <v/>
      </c>
    </row>
    <row r="74" ht="16" customHeight="1">
      <c r="A74" s="20" t="inlineStr">
        <is>
          <t>NIFTY ENERGY</t>
        </is>
      </c>
      <c r="B74" s="17" t="inlineStr">
        <is>
          <t>ADANIENSOL</t>
        </is>
      </c>
      <c r="C74" s="18" t="n">
        <v>1659</v>
      </c>
      <c r="D74" s="18" t="n">
        <v>1657.11</v>
      </c>
      <c r="E74" s="18" t="n">
        <v>1563.71</v>
      </c>
      <c r="F74" s="18" t="n">
        <v>1251.67</v>
      </c>
      <c r="G74" s="19">
        <f>HYPERLINK("https://www.tradingview.com/chart/?symbol=NSE:ADANIENSOL","Chart 📈")</f>
        <v/>
      </c>
    </row>
    <row r="75" ht="16" customHeight="1">
      <c r="A75" s="20" t="inlineStr">
        <is>
          <t>NIFTY ENERGY</t>
        </is>
      </c>
      <c r="B75" s="17" t="inlineStr">
        <is>
          <t>SIEMENS</t>
        </is>
      </c>
      <c r="C75" s="18" t="n">
        <v>3658.8</v>
      </c>
      <c r="D75" s="18" t="n">
        <v>3621.41</v>
      </c>
      <c r="E75" s="18" t="n">
        <v>3599.81</v>
      </c>
      <c r="F75" s="18" t="n">
        <v>3401.38</v>
      </c>
      <c r="G75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2026-07-30T12:39:06Z</dcterms:created>
  <dcterms:modified xsi:type="dcterms:W3CDTF">2026-07-30T12:39:07Z</dcterms:modified>
</cp:coreProperties>
</file>