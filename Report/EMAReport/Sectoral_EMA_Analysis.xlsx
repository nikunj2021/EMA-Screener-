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02-Sep-2026  15:07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METAL</t>
        </is>
      </c>
      <c r="B4" s="5" t="n">
        <v>15</v>
      </c>
      <c r="C4" s="5" t="n">
        <v>9</v>
      </c>
      <c r="D4" s="5" t="n">
        <v>9</v>
      </c>
      <c r="E4" s="5" t="n">
        <v>12</v>
      </c>
      <c r="F4" s="6" t="n">
        <v>0.6</v>
      </c>
      <c r="G4" s="6" t="n">
        <v>0.6</v>
      </c>
      <c r="H4" s="6" t="n">
        <v>0.8</v>
      </c>
      <c r="I4" s="7" t="n">
        <v>0.6667000000000001</v>
      </c>
    </row>
    <row r="5" ht="17" customHeight="1">
      <c r="A5" s="8" t="inlineStr">
        <is>
          <t>NIFTY PHARMA</t>
        </is>
      </c>
      <c r="B5" s="9" t="n">
        <v>20</v>
      </c>
      <c r="C5" s="9" t="n">
        <v>9</v>
      </c>
      <c r="D5" s="9" t="n">
        <v>11</v>
      </c>
      <c r="E5" s="9" t="n">
        <v>14</v>
      </c>
      <c r="F5" s="10" t="n">
        <v>0.45</v>
      </c>
      <c r="G5" s="10" t="n">
        <v>0.55</v>
      </c>
      <c r="H5" s="10" t="n">
        <v>0.7</v>
      </c>
      <c r="I5" s="11" t="n">
        <v>0.5667</v>
      </c>
    </row>
    <row r="6" ht="17" customHeight="1">
      <c r="A6" s="4" t="inlineStr">
        <is>
          <t>NIFTY REALTY</t>
        </is>
      </c>
      <c r="B6" s="5" t="n">
        <v>10</v>
      </c>
      <c r="C6" s="5" t="n">
        <v>4</v>
      </c>
      <c r="D6" s="5" t="n">
        <v>5</v>
      </c>
      <c r="E6" s="5" t="n">
        <v>8</v>
      </c>
      <c r="F6" s="6" t="n">
        <v>0.4</v>
      </c>
      <c r="G6" s="6" t="n">
        <v>0.5</v>
      </c>
      <c r="H6" s="6" t="n">
        <v>0.8</v>
      </c>
      <c r="I6" s="7" t="n">
        <v>0.5667</v>
      </c>
    </row>
    <row r="7" ht="17" customHeight="1">
      <c r="A7" s="8" t="inlineStr">
        <is>
          <t>NIFTY MIDSMALL IT &amp; TELECOM</t>
        </is>
      </c>
      <c r="B7" s="9" t="n">
        <v>20</v>
      </c>
      <c r="C7" s="9" t="n">
        <v>9</v>
      </c>
      <c r="D7" s="9" t="n">
        <v>10</v>
      </c>
      <c r="E7" s="9" t="n">
        <v>9</v>
      </c>
      <c r="F7" s="10" t="n">
        <v>0.45</v>
      </c>
      <c r="G7" s="10" t="n">
        <v>0.5</v>
      </c>
      <c r="H7" s="10" t="n">
        <v>0.45</v>
      </c>
      <c r="I7" s="11" t="n">
        <v>0.4667</v>
      </c>
    </row>
    <row r="8" ht="17" customHeight="1">
      <c r="A8" s="4" t="inlineStr">
        <is>
          <t>NIFTY PSU BANK</t>
        </is>
      </c>
      <c r="B8" s="5" t="n">
        <v>12</v>
      </c>
      <c r="C8" s="5" t="n">
        <v>5</v>
      </c>
      <c r="D8" s="5" t="n">
        <v>5</v>
      </c>
      <c r="E8" s="5" t="n">
        <v>6</v>
      </c>
      <c r="F8" s="6" t="n">
        <v>0.417</v>
      </c>
      <c r="G8" s="6" t="n">
        <v>0.417</v>
      </c>
      <c r="H8" s="6" t="n">
        <v>0.5</v>
      </c>
      <c r="I8" s="7" t="n">
        <v>0.4447</v>
      </c>
    </row>
    <row r="9" ht="17" customHeight="1">
      <c r="A9" s="8" t="inlineStr">
        <is>
          <t>NIFTY AUTO</t>
        </is>
      </c>
      <c r="B9" s="9" t="n">
        <v>15</v>
      </c>
      <c r="C9" s="9" t="n">
        <v>2</v>
      </c>
      <c r="D9" s="9" t="n">
        <v>7</v>
      </c>
      <c r="E9" s="9" t="n">
        <v>10</v>
      </c>
      <c r="F9" s="10" t="n">
        <v>0.133</v>
      </c>
      <c r="G9" s="10" t="n">
        <v>0.467</v>
      </c>
      <c r="H9" s="10" t="n">
        <v>0.667</v>
      </c>
      <c r="I9" s="11" t="n">
        <v>0.4223</v>
      </c>
    </row>
    <row r="10" ht="17" customHeight="1">
      <c r="A10" s="4" t="inlineStr">
        <is>
          <t>NIFTY OIL &amp; GAS</t>
        </is>
      </c>
      <c r="B10" s="5" t="n">
        <v>15</v>
      </c>
      <c r="C10" s="5" t="n">
        <v>6</v>
      </c>
      <c r="D10" s="5" t="n">
        <v>7</v>
      </c>
      <c r="E10" s="5" t="n">
        <v>6</v>
      </c>
      <c r="F10" s="6" t="n">
        <v>0.4</v>
      </c>
      <c r="G10" s="6" t="n">
        <v>0.467</v>
      </c>
      <c r="H10" s="6" t="n">
        <v>0.4</v>
      </c>
      <c r="I10" s="7" t="n">
        <v>0.4223</v>
      </c>
    </row>
    <row r="11" ht="17" customHeight="1">
      <c r="A11" s="8" t="inlineStr">
        <is>
          <t>NIFTY CONSUMER DURABLES</t>
        </is>
      </c>
      <c r="B11" s="9" t="n">
        <v>15</v>
      </c>
      <c r="C11" s="9" t="n">
        <v>5</v>
      </c>
      <c r="D11" s="9" t="n">
        <v>6</v>
      </c>
      <c r="E11" s="9" t="n">
        <v>5</v>
      </c>
      <c r="F11" s="10" t="n">
        <v>0.333</v>
      </c>
      <c r="G11" s="10" t="n">
        <v>0.4</v>
      </c>
      <c r="H11" s="10" t="n">
        <v>0.333</v>
      </c>
      <c r="I11" s="11" t="n">
        <v>0.3553</v>
      </c>
    </row>
    <row r="12" ht="17" customHeight="1">
      <c r="A12" s="4" t="inlineStr">
        <is>
          <t>NIFTY IT</t>
        </is>
      </c>
      <c r="B12" s="5" t="n">
        <v>10</v>
      </c>
      <c r="C12" s="5" t="n">
        <v>4</v>
      </c>
      <c r="D12" s="5" t="n">
        <v>4</v>
      </c>
      <c r="E12" s="5" t="n">
        <v>2</v>
      </c>
      <c r="F12" s="6" t="n">
        <v>0.4</v>
      </c>
      <c r="G12" s="6" t="n">
        <v>0.4</v>
      </c>
      <c r="H12" s="6" t="n">
        <v>0.2</v>
      </c>
      <c r="I12" s="7" t="n">
        <v>0.3333</v>
      </c>
    </row>
    <row r="13" ht="17" customHeight="1">
      <c r="A13" s="8" t="inlineStr">
        <is>
          <t>NIFTY FINANCIAL SERVICES</t>
        </is>
      </c>
      <c r="B13" s="9" t="n">
        <v>20</v>
      </c>
      <c r="C13" s="9" t="n">
        <v>4</v>
      </c>
      <c r="D13" s="9" t="n">
        <v>7</v>
      </c>
      <c r="E13" s="9" t="n">
        <v>8</v>
      </c>
      <c r="F13" s="10" t="n">
        <v>0.2</v>
      </c>
      <c r="G13" s="10" t="n">
        <v>0.35</v>
      </c>
      <c r="H13" s="10" t="n">
        <v>0.4</v>
      </c>
      <c r="I13" s="11" t="n">
        <v>0.3167</v>
      </c>
    </row>
    <row r="14" ht="17" customHeight="1">
      <c r="A14" s="4" t="inlineStr">
        <is>
          <t>NIFTY MEDIA</t>
        </is>
      </c>
      <c r="B14" s="5" t="n">
        <v>10</v>
      </c>
      <c r="C14" s="5" t="n">
        <v>2</v>
      </c>
      <c r="D14" s="5" t="n">
        <v>2</v>
      </c>
      <c r="E14" s="5" t="n">
        <v>4</v>
      </c>
      <c r="F14" s="6" t="n">
        <v>0.2</v>
      </c>
      <c r="G14" s="6" t="n">
        <v>0.2</v>
      </c>
      <c r="H14" s="6" t="n">
        <v>0.4</v>
      </c>
      <c r="I14" s="7" t="n">
        <v>0.2667</v>
      </c>
    </row>
    <row r="15" ht="17" customHeight="1">
      <c r="A15" s="8" t="inlineStr">
        <is>
          <t>NIFTY BANK</t>
        </is>
      </c>
      <c r="B15" s="9" t="n">
        <v>12</v>
      </c>
      <c r="C15" s="9" t="n">
        <v>2</v>
      </c>
      <c r="D15" s="9" t="n">
        <v>3</v>
      </c>
      <c r="E15" s="9" t="n">
        <v>4</v>
      </c>
      <c r="F15" s="10" t="n">
        <v>0.167</v>
      </c>
      <c r="G15" s="10" t="n">
        <v>0.25</v>
      </c>
      <c r="H15" s="10" t="n">
        <v>0.333</v>
      </c>
      <c r="I15" s="11" t="n">
        <v>0.25</v>
      </c>
    </row>
    <row r="16" ht="17" customHeight="1">
      <c r="A16" s="4" t="inlineStr">
        <is>
          <t>NIFTY FMCG</t>
        </is>
      </c>
      <c r="B16" s="5" t="n">
        <v>15</v>
      </c>
      <c r="C16" s="5" t="n">
        <v>1</v>
      </c>
      <c r="D16" s="5" t="n">
        <v>3</v>
      </c>
      <c r="E16" s="5" t="n">
        <v>5</v>
      </c>
      <c r="F16" s="6" t="n">
        <v>0.067</v>
      </c>
      <c r="G16" s="6" t="n">
        <v>0.2</v>
      </c>
      <c r="H16" s="6" t="n">
        <v>0.333</v>
      </c>
      <c r="I16" s="7" t="n">
        <v>0.2</v>
      </c>
    </row>
    <row r="17" ht="17" customHeight="1">
      <c r="A17" s="8" t="inlineStr">
        <is>
          <t>NIFTY ENERGY</t>
        </is>
      </c>
      <c r="B17" s="9" t="n">
        <v>40</v>
      </c>
      <c r="C17" s="9" t="n">
        <v>4</v>
      </c>
      <c r="D17" s="9" t="n">
        <v>4</v>
      </c>
      <c r="E17" s="9" t="n">
        <v>11</v>
      </c>
      <c r="F17" s="10" t="n">
        <v>0.1</v>
      </c>
      <c r="G17" s="10" t="n">
        <v>0.1</v>
      </c>
      <c r="H17" s="10" t="n">
        <v>0.275</v>
      </c>
      <c r="I17" s="11" t="n">
        <v>0.1583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METAL</t>
        </is>
      </c>
      <c r="B3" s="13" t="inlineStr">
        <is>
          <t>APLAPOLLO</t>
        </is>
      </c>
      <c r="C3" s="14" t="n">
        <v>2210</v>
      </c>
      <c r="D3" s="14" t="n">
        <v>2117.04</v>
      </c>
      <c r="E3" s="14" t="n">
        <v>2006.41</v>
      </c>
      <c r="F3" s="14" t="n">
        <v>1913.97</v>
      </c>
      <c r="G3" s="15">
        <f>HYPERLINK("https://www.tradingview.com/chart/?symbol=NSE:APLAPOLLO","Chart 📈")</f>
        <v/>
      </c>
    </row>
    <row r="4" ht="16" customHeight="1">
      <c r="A4" s="16" t="inlineStr">
        <is>
          <t>NIFTY METAL</t>
        </is>
      </c>
      <c r="B4" s="13" t="inlineStr">
        <is>
          <t>HINDZINC</t>
        </is>
      </c>
      <c r="C4" s="14" t="n">
        <v>588.4</v>
      </c>
      <c r="D4" s="14" t="n">
        <v>586.97</v>
      </c>
      <c r="E4" s="14" t="n">
        <v>573.52</v>
      </c>
      <c r="F4" s="14" t="n">
        <v>556.23</v>
      </c>
      <c r="G4" s="15">
        <f>HYPERLINK("https://www.tradingview.com/chart/?symbol=NSE:HINDZINC","Chart 📈")</f>
        <v/>
      </c>
    </row>
    <row r="5" ht="16" customHeight="1">
      <c r="A5" s="16" t="inlineStr">
        <is>
          <t>NIFTY METAL</t>
        </is>
      </c>
      <c r="B5" s="13" t="inlineStr">
        <is>
          <t>JINDALSTEL</t>
        </is>
      </c>
      <c r="C5" s="14" t="n">
        <v>1159.4</v>
      </c>
      <c r="D5" s="14" t="n">
        <v>1137.12</v>
      </c>
      <c r="E5" s="14" t="n">
        <v>1118.53</v>
      </c>
      <c r="F5" s="14" t="n">
        <v>1112.45</v>
      </c>
      <c r="G5" s="15">
        <f>HYPERLINK("https://www.tradingview.com/chart/?symbol=NSE:JINDALSTEL","Chart 📈")</f>
        <v/>
      </c>
    </row>
    <row r="6" ht="16" customHeight="1">
      <c r="A6" s="16" t="inlineStr">
        <is>
          <t>NIFTY METAL</t>
        </is>
      </c>
      <c r="B6" s="13" t="inlineStr">
        <is>
          <t>JSWSTEEL</t>
        </is>
      </c>
      <c r="C6" s="14" t="n">
        <v>1306</v>
      </c>
      <c r="D6" s="14" t="n">
        <v>1302.74</v>
      </c>
      <c r="E6" s="14" t="n">
        <v>1282.46</v>
      </c>
      <c r="F6" s="14" t="n">
        <v>1223.41</v>
      </c>
      <c r="G6" s="15">
        <f>HYPERLINK("https://www.tradingview.com/chart/?symbol=NSE:JSWSTEEL","Chart 📈")</f>
        <v/>
      </c>
    </row>
    <row r="7" ht="16" customHeight="1">
      <c r="A7" s="16" t="inlineStr">
        <is>
          <t>NIFTY METAL</t>
        </is>
      </c>
      <c r="B7" s="13" t="inlineStr">
        <is>
          <t>NMDC</t>
        </is>
      </c>
      <c r="C7" s="14" t="n">
        <v>85.75</v>
      </c>
      <c r="D7" s="14" t="n">
        <v>85.69</v>
      </c>
      <c r="E7" s="14" t="n">
        <v>85.62</v>
      </c>
      <c r="F7" s="14" t="n">
        <v>82.92</v>
      </c>
      <c r="G7" s="15">
        <f>HYPERLINK("https://www.tradingview.com/chart/?symbol=NSE:NMDC","Chart 📈")</f>
        <v/>
      </c>
    </row>
    <row r="8" ht="16" customHeight="1">
      <c r="A8" s="16" t="inlineStr">
        <is>
          <t>NIFTY METAL</t>
        </is>
      </c>
      <c r="B8" s="13" t="inlineStr">
        <is>
          <t>RATNAMANI</t>
        </is>
      </c>
      <c r="C8" s="14" t="n">
        <v>2634.3</v>
      </c>
      <c r="D8" s="14" t="n">
        <v>2512.94</v>
      </c>
      <c r="E8" s="14" t="n">
        <v>2488.47</v>
      </c>
      <c r="F8" s="14" t="n">
        <v>2446.98</v>
      </c>
      <c r="G8" s="15">
        <f>HYPERLINK("https://www.tradingview.com/chart/?symbol=NSE:RATNAMANI","Chart 📈")</f>
        <v/>
      </c>
    </row>
    <row r="9" ht="16" customHeight="1">
      <c r="A9" s="16" t="inlineStr">
        <is>
          <t>NIFTY METAL</t>
        </is>
      </c>
      <c r="B9" s="13" t="inlineStr">
        <is>
          <t>SAIL</t>
        </is>
      </c>
      <c r="C9" s="14" t="n">
        <v>196.5</v>
      </c>
      <c r="D9" s="14" t="n">
        <v>183.35</v>
      </c>
      <c r="E9" s="14" t="n">
        <v>177.76</v>
      </c>
      <c r="F9" s="14" t="n">
        <v>165.26</v>
      </c>
      <c r="G9" s="15">
        <f>HYPERLINK("https://www.tradingview.com/chart/?symbol=NSE:SAIL","Chart 📈")</f>
        <v/>
      </c>
    </row>
    <row r="10" ht="16" customHeight="1">
      <c r="A10" s="16" t="inlineStr">
        <is>
          <t>NIFTY METAL</t>
        </is>
      </c>
      <c r="B10" s="13" t="inlineStr">
        <is>
          <t>WELCORP</t>
        </is>
      </c>
      <c r="C10" s="14" t="n">
        <v>2523.5</v>
      </c>
      <c r="D10" s="14" t="n">
        <v>2173.94</v>
      </c>
      <c r="E10" s="14" t="n">
        <v>1881.39</v>
      </c>
      <c r="F10" s="14" t="n">
        <v>1345.75</v>
      </c>
      <c r="G10" s="15">
        <f>HYPERLINK("https://www.tradingview.com/chart/?symbol=NSE:WELCORP","Chart 📈")</f>
        <v/>
      </c>
    </row>
    <row r="11" ht="16" customHeight="1">
      <c r="A11" s="8" t="inlineStr">
        <is>
          <t>NIFTY PHARMA</t>
        </is>
      </c>
      <c r="B11" s="17" t="inlineStr">
        <is>
          <t>AUROPHARMA</t>
        </is>
      </c>
      <c r="C11" s="18" t="n">
        <v>1648.2</v>
      </c>
      <c r="D11" s="18" t="n">
        <v>1634.5</v>
      </c>
      <c r="E11" s="18" t="n">
        <v>1589.75</v>
      </c>
      <c r="F11" s="18" t="n">
        <v>1405.52</v>
      </c>
      <c r="G11" s="19">
        <f>HYPERLINK("https://www.tradingview.com/chart/?symbol=NSE:AUROPHARMA","Chart 📈")</f>
        <v/>
      </c>
    </row>
    <row r="12" ht="16" customHeight="1">
      <c r="A12" s="20" t="inlineStr">
        <is>
          <t>NIFTY PHARMA</t>
        </is>
      </c>
      <c r="B12" s="17" t="inlineStr">
        <is>
          <t>DIVISLAB</t>
        </is>
      </c>
      <c r="C12" s="18" t="n">
        <v>9220</v>
      </c>
      <c r="D12" s="18" t="n">
        <v>8716.879999999999</v>
      </c>
      <c r="E12" s="18" t="n">
        <v>8051.38</v>
      </c>
      <c r="F12" s="18" t="n">
        <v>6980.17</v>
      </c>
      <c r="G12" s="19">
        <f>HYPERLINK("https://www.tradingview.com/chart/?symbol=NSE:DIVISLAB","Chart 📈")</f>
        <v/>
      </c>
    </row>
    <row r="13" ht="16" customHeight="1">
      <c r="A13" s="20" t="inlineStr">
        <is>
          <t>NIFTY PHARMA</t>
        </is>
      </c>
      <c r="B13" s="17" t="inlineStr">
        <is>
          <t>GLAND</t>
        </is>
      </c>
      <c r="C13" s="18" t="n">
        <v>2868.4</v>
      </c>
      <c r="D13" s="18" t="n">
        <v>2803.77</v>
      </c>
      <c r="E13" s="18" t="n">
        <v>2621.93</v>
      </c>
      <c r="F13" s="18" t="n">
        <v>2183.86</v>
      </c>
      <c r="G13" s="19">
        <f>HYPERLINK("https://www.tradingview.com/chart/?symbol=NSE:GLAND","Chart 📈")</f>
        <v/>
      </c>
    </row>
    <row r="14" ht="16" customHeight="1">
      <c r="A14" s="20" t="inlineStr">
        <is>
          <t>NIFTY PHARMA</t>
        </is>
      </c>
      <c r="B14" s="17" t="inlineStr">
        <is>
          <t>GLENMARK</t>
        </is>
      </c>
      <c r="C14" s="18" t="n">
        <v>2460</v>
      </c>
      <c r="D14" s="18" t="n">
        <v>2375.32</v>
      </c>
      <c r="E14" s="18" t="n">
        <v>2307.16</v>
      </c>
      <c r="F14" s="18" t="n">
        <v>2178.87</v>
      </c>
      <c r="G14" s="19">
        <f>HYPERLINK("https://www.tradingview.com/chart/?symbol=NSE:GLENMARK","Chart 📈")</f>
        <v/>
      </c>
    </row>
    <row r="15" ht="16" customHeight="1">
      <c r="A15" s="20" t="inlineStr">
        <is>
          <t>NIFTY PHARMA</t>
        </is>
      </c>
      <c r="B15" s="17" t="inlineStr">
        <is>
          <t>IPCALAB</t>
        </is>
      </c>
      <c r="C15" s="18" t="n">
        <v>1956.5</v>
      </c>
      <c r="D15" s="18" t="n">
        <v>1890.34</v>
      </c>
      <c r="E15" s="18" t="n">
        <v>1803.91</v>
      </c>
      <c r="F15" s="18" t="n">
        <v>1611.06</v>
      </c>
      <c r="G15" s="19">
        <f>HYPERLINK("https://www.tradingview.com/chart/?symbol=NSE:IPCALAB","Chart 📈")</f>
        <v/>
      </c>
    </row>
    <row r="16" ht="16" customHeight="1">
      <c r="A16" s="20" t="inlineStr">
        <is>
          <t>NIFTY PHARMA</t>
        </is>
      </c>
      <c r="B16" s="17" t="inlineStr">
        <is>
          <t>LAURUSLABS</t>
        </is>
      </c>
      <c r="C16" s="18" t="n">
        <v>1864</v>
      </c>
      <c r="D16" s="18" t="n">
        <v>1837.88</v>
      </c>
      <c r="E16" s="18" t="n">
        <v>1713.16</v>
      </c>
      <c r="F16" s="18" t="n">
        <v>1348.33</v>
      </c>
      <c r="G16" s="19">
        <f>HYPERLINK("https://www.tradingview.com/chart/?symbol=NSE:LAURUSLABS","Chart 📈")</f>
        <v/>
      </c>
    </row>
    <row r="17" ht="16" customHeight="1">
      <c r="A17" s="20" t="inlineStr">
        <is>
          <t>NIFTY PHARMA</t>
        </is>
      </c>
      <c r="B17" s="17" t="inlineStr">
        <is>
          <t>SUNPHARMA</t>
        </is>
      </c>
      <c r="C17" s="18" t="n">
        <v>1931.7</v>
      </c>
      <c r="D17" s="18" t="n">
        <v>1926.98</v>
      </c>
      <c r="E17" s="18" t="n">
        <v>1912.42</v>
      </c>
      <c r="F17" s="18" t="n">
        <v>1805.89</v>
      </c>
      <c r="G17" s="19">
        <f>HYPERLINK("https://www.tradingview.com/chart/?symbol=NSE:SUNPHARMA","Chart 📈")</f>
        <v/>
      </c>
    </row>
    <row r="18" ht="16" customHeight="1">
      <c r="A18" s="20" t="inlineStr">
        <is>
          <t>NIFTY PHARMA</t>
        </is>
      </c>
      <c r="B18" s="17" t="inlineStr">
        <is>
          <t>TORNTPHARM</t>
        </is>
      </c>
      <c r="C18" s="18" t="n">
        <v>5012</v>
      </c>
      <c r="D18" s="18" t="n">
        <v>4961.67</v>
      </c>
      <c r="E18" s="18" t="n">
        <v>4865.94</v>
      </c>
      <c r="F18" s="18" t="n">
        <v>4404.68</v>
      </c>
      <c r="G18" s="19">
        <f>HYPERLINK("https://www.tradingview.com/chart/?symbol=NSE:TORNTPHARM","Chart 📈")</f>
        <v/>
      </c>
    </row>
    <row r="19" ht="16" customHeight="1">
      <c r="A19" s="20" t="inlineStr">
        <is>
          <t>NIFTY PHARMA</t>
        </is>
      </c>
      <c r="B19" s="17" t="inlineStr">
        <is>
          <t>ZYDUSLIFE</t>
        </is>
      </c>
      <c r="C19" s="18" t="n">
        <v>1154.2</v>
      </c>
      <c r="D19" s="18" t="n">
        <v>1145.14</v>
      </c>
      <c r="E19" s="18" t="n">
        <v>1123.61</v>
      </c>
      <c r="F19" s="18" t="n">
        <v>1035.18</v>
      </c>
      <c r="G19" s="19">
        <f>HYPERLINK("https://www.tradingview.com/chart/?symbol=NSE:ZYDUSLIFE","Chart 📈")</f>
        <v/>
      </c>
    </row>
    <row r="20" ht="16" customHeight="1">
      <c r="A20" s="12" t="inlineStr">
        <is>
          <t>NIFTY REALTY</t>
        </is>
      </c>
      <c r="B20" s="13" t="inlineStr">
        <is>
          <t>BRIGADE</t>
        </is>
      </c>
      <c r="C20" s="14" t="n">
        <v>640</v>
      </c>
      <c r="D20" s="14" t="n">
        <v>622.1799999999999</v>
      </c>
      <c r="E20" s="14" t="n">
        <v>587.7</v>
      </c>
      <c r="F20" s="14" t="n">
        <v>582.66</v>
      </c>
      <c r="G20" s="15">
        <f>HYPERLINK("https://www.tradingview.com/chart/?symbol=NSE:BRIGADE","Chart 📈")</f>
        <v/>
      </c>
    </row>
    <row r="21" ht="16" customHeight="1">
      <c r="A21" s="16" t="inlineStr">
        <is>
          <t>NIFTY REALTY</t>
        </is>
      </c>
      <c r="B21" s="13" t="inlineStr">
        <is>
          <t>DLF</t>
        </is>
      </c>
      <c r="C21" s="14" t="n">
        <v>673.55</v>
      </c>
      <c r="D21" s="14" t="n">
        <v>671.21</v>
      </c>
      <c r="E21" s="14" t="n">
        <v>653.8</v>
      </c>
      <c r="F21" s="14" t="n">
        <v>642.84</v>
      </c>
      <c r="G21" s="15">
        <f>HYPERLINK("https://www.tradingview.com/chart/?symbol=NSE:DLF","Chart 📈")</f>
        <v/>
      </c>
    </row>
    <row r="22" ht="16" customHeight="1">
      <c r="A22" s="16" t="inlineStr">
        <is>
          <t>NIFTY REALTY</t>
        </is>
      </c>
      <c r="B22" s="13" t="inlineStr">
        <is>
          <t>OBEROIRLTY</t>
        </is>
      </c>
      <c r="C22" s="14" t="n">
        <v>1866</v>
      </c>
      <c r="D22" s="14" t="n">
        <v>1860.89</v>
      </c>
      <c r="E22" s="14" t="n">
        <v>1826.44</v>
      </c>
      <c r="F22" s="14" t="n">
        <v>1712.31</v>
      </c>
      <c r="G22" s="15">
        <f>HYPERLINK("https://www.tradingview.com/chart/?symbol=NSE:OBEROIRLTY","Chart 📈")</f>
        <v/>
      </c>
    </row>
    <row r="23" ht="16" customHeight="1">
      <c r="A23" s="16" t="inlineStr">
        <is>
          <t>NIFTY REALTY</t>
        </is>
      </c>
      <c r="B23" s="13" t="inlineStr">
        <is>
          <t>RAYMOND</t>
        </is>
      </c>
      <c r="C23" s="14" t="n">
        <v>667.25</v>
      </c>
      <c r="D23" s="14" t="n">
        <v>629.97</v>
      </c>
      <c r="E23" s="14" t="n">
        <v>608.03</v>
      </c>
      <c r="F23" s="14" t="n">
        <v>540.64</v>
      </c>
      <c r="G23" s="15">
        <f>HYPERLINK("https://www.tradingview.com/chart/?symbol=NSE:RAYMOND","Chart 📈")</f>
        <v/>
      </c>
    </row>
    <row r="24" ht="16" customHeight="1">
      <c r="A24" s="8" t="inlineStr">
        <is>
          <t>NIFTY MIDSMALL IT &amp; TELECOM</t>
        </is>
      </c>
      <c r="B24" s="17" t="inlineStr">
        <is>
          <t>COFORGE</t>
        </is>
      </c>
      <c r="C24" s="18" t="n">
        <v>1965.7</v>
      </c>
      <c r="D24" s="18" t="n">
        <v>1863.21</v>
      </c>
      <c r="E24" s="18" t="n">
        <v>1715.06</v>
      </c>
      <c r="F24" s="18" t="n">
        <v>1561.63</v>
      </c>
      <c r="G24" s="19">
        <f>HYPERLINK("https://www.tradingview.com/chart/?symbol=NSE:COFORGE","Chart 📈")</f>
        <v/>
      </c>
    </row>
    <row r="25" ht="16" customHeight="1">
      <c r="A25" s="20" t="inlineStr">
        <is>
          <t>NIFTY MIDSMALL IT &amp; TELECOM</t>
        </is>
      </c>
      <c r="B25" s="17" t="inlineStr">
        <is>
          <t>CYIENT</t>
        </is>
      </c>
      <c r="C25" s="18" t="n">
        <v>1122.2</v>
      </c>
      <c r="D25" s="18" t="n">
        <v>988.45</v>
      </c>
      <c r="E25" s="18" t="n">
        <v>925.01</v>
      </c>
      <c r="F25" s="18" t="n">
        <v>961.37</v>
      </c>
      <c r="G25" s="19">
        <f>HYPERLINK("https://www.tradingview.com/chart/?symbol=NSE:CYIENT","Chart 📈")</f>
        <v/>
      </c>
    </row>
    <row r="26" ht="16" customHeight="1">
      <c r="A26" s="20" t="inlineStr">
        <is>
          <t>NIFTY MIDSMALL IT &amp; TELECOM</t>
        </is>
      </c>
      <c r="B26" s="17" t="inlineStr">
        <is>
          <t>IDEA</t>
        </is>
      </c>
      <c r="C26" s="18" t="n">
        <v>14.53</v>
      </c>
      <c r="D26" s="18" t="n">
        <v>14.12</v>
      </c>
      <c r="E26" s="18" t="n">
        <v>13.77</v>
      </c>
      <c r="F26" s="18" t="n">
        <v>11.93</v>
      </c>
      <c r="G26" s="19">
        <f>HYPERLINK("https://www.tradingview.com/chart/?symbol=NSE:IDEA","Chart 📈")</f>
        <v/>
      </c>
    </row>
    <row r="27" ht="16" customHeight="1">
      <c r="A27" s="20" t="inlineStr">
        <is>
          <t>NIFTY MIDSMALL IT &amp; TELECOM</t>
        </is>
      </c>
      <c r="B27" s="17" t="inlineStr">
        <is>
          <t>MPHASIS</t>
        </is>
      </c>
      <c r="C27" s="18" t="n">
        <v>2480</v>
      </c>
      <c r="D27" s="18" t="n">
        <v>2442.63</v>
      </c>
      <c r="E27" s="18" t="n">
        <v>2387.03</v>
      </c>
      <c r="F27" s="18" t="n">
        <v>2409.84</v>
      </c>
      <c r="G27" s="19">
        <f>HYPERLINK("https://www.tradingview.com/chart/?symbol=NSE:MPHASIS","Chart 📈")</f>
        <v/>
      </c>
    </row>
    <row r="28" ht="16" customHeight="1">
      <c r="A28" s="20" t="inlineStr">
        <is>
          <t>NIFTY MIDSMALL IT &amp; TELECOM</t>
        </is>
      </c>
      <c r="B28" s="17" t="inlineStr">
        <is>
          <t>OFSS</t>
        </is>
      </c>
      <c r="C28" s="18" t="n">
        <v>12158</v>
      </c>
      <c r="D28" s="18" t="n">
        <v>11847.77</v>
      </c>
      <c r="E28" s="18" t="n">
        <v>11335.94</v>
      </c>
      <c r="F28" s="18" t="n">
        <v>9547.360000000001</v>
      </c>
      <c r="G28" s="19">
        <f>HYPERLINK("https://www.tradingview.com/chart/?symbol=NSE:OFSS","Chart 📈")</f>
        <v/>
      </c>
    </row>
    <row r="29" ht="16" customHeight="1">
      <c r="A29" s="20" t="inlineStr">
        <is>
          <t>NIFTY MIDSMALL IT &amp; TELECOM</t>
        </is>
      </c>
      <c r="B29" s="17" t="inlineStr">
        <is>
          <t>PERSISTENT</t>
        </is>
      </c>
      <c r="C29" s="18" t="n">
        <v>5690</v>
      </c>
      <c r="D29" s="18" t="n">
        <v>5594.58</v>
      </c>
      <c r="E29" s="18" t="n">
        <v>5386.7</v>
      </c>
      <c r="F29" s="18" t="n">
        <v>5309.59</v>
      </c>
      <c r="G29" s="19">
        <f>HYPERLINK("https://www.tradingview.com/chart/?symbol=NSE:PERSISTENT","Chart 📈")</f>
        <v/>
      </c>
    </row>
    <row r="30" ht="16" customHeight="1">
      <c r="A30" s="20" t="inlineStr">
        <is>
          <t>NIFTY MIDSMALL IT &amp; TELECOM</t>
        </is>
      </c>
      <c r="B30" s="17" t="inlineStr">
        <is>
          <t>TATATECH</t>
        </is>
      </c>
      <c r="C30" s="18" t="n">
        <v>813.25</v>
      </c>
      <c r="D30" s="18" t="n">
        <v>811.28</v>
      </c>
      <c r="E30" s="18" t="n">
        <v>778.49</v>
      </c>
      <c r="F30" s="18" t="n">
        <v>696.26</v>
      </c>
      <c r="G30" s="19">
        <f>HYPERLINK("https://www.tradingview.com/chart/?symbol=NSE:TATATECH","Chart 📈")</f>
        <v/>
      </c>
    </row>
    <row r="31" ht="16" customHeight="1">
      <c r="A31" s="20" t="inlineStr">
        <is>
          <t>NIFTY MIDSMALL IT &amp; TELECOM</t>
        </is>
      </c>
      <c r="B31" s="17" t="inlineStr">
        <is>
          <t>TEJASNET</t>
        </is>
      </c>
      <c r="C31" s="18" t="n">
        <v>548.85</v>
      </c>
      <c r="D31" s="18" t="n">
        <v>528.6900000000001</v>
      </c>
      <c r="E31" s="18" t="n">
        <v>529.28</v>
      </c>
      <c r="F31" s="18" t="n">
        <v>506.86</v>
      </c>
      <c r="G31" s="19">
        <f>HYPERLINK("https://www.tradingview.com/chart/?symbol=NSE:TEJASNET","Chart 📈")</f>
        <v/>
      </c>
    </row>
    <row r="32" ht="16" customHeight="1">
      <c r="A32" s="12" t="inlineStr">
        <is>
          <t>NIFTY PSU BANK</t>
        </is>
      </c>
      <c r="B32" s="13" t="inlineStr">
        <is>
          <t>BANKINDIA</t>
        </is>
      </c>
      <c r="C32" s="14" t="n">
        <v>143.1</v>
      </c>
      <c r="D32" s="14" t="n">
        <v>142.96</v>
      </c>
      <c r="E32" s="14" t="n">
        <v>142.61</v>
      </c>
      <c r="F32" s="14" t="n">
        <v>139.86</v>
      </c>
      <c r="G32" s="15">
        <f>HYPERLINK("https://www.tradingview.com/chart/?symbol=NSE:BANKINDIA","Chart 📈")</f>
        <v/>
      </c>
    </row>
    <row r="33" ht="16" customHeight="1">
      <c r="A33" s="16" t="inlineStr">
        <is>
          <t>NIFTY PSU BANK</t>
        </is>
      </c>
      <c r="B33" s="13" t="inlineStr">
        <is>
          <t>INDIANB</t>
        </is>
      </c>
      <c r="C33" s="14" t="n">
        <v>878.8</v>
      </c>
      <c r="D33" s="14" t="n">
        <v>876.25</v>
      </c>
      <c r="E33" s="14" t="n">
        <v>861.02</v>
      </c>
      <c r="F33" s="14" t="n">
        <v>831.23</v>
      </c>
      <c r="G33" s="15">
        <f>HYPERLINK("https://www.tradingview.com/chart/?symbol=NSE:INDIANB","Chart 📈")</f>
        <v/>
      </c>
    </row>
    <row r="34" ht="16" customHeight="1">
      <c r="A34" s="16" t="inlineStr">
        <is>
          <t>NIFTY PSU BANK</t>
        </is>
      </c>
      <c r="B34" s="13" t="inlineStr">
        <is>
          <t>MAHABANK</t>
        </is>
      </c>
      <c r="C34" s="14" t="n">
        <v>82.40000000000001</v>
      </c>
      <c r="D34" s="14" t="n">
        <v>81.79000000000001</v>
      </c>
      <c r="E34" s="14" t="n">
        <v>81.42</v>
      </c>
      <c r="F34" s="14" t="n">
        <v>73.47</v>
      </c>
      <c r="G34" s="15">
        <f>HYPERLINK("https://www.tradingview.com/chart/?symbol=NSE:MAHABANK","Chart 📈")</f>
        <v/>
      </c>
    </row>
    <row r="35" ht="16" customHeight="1">
      <c r="A35" s="16" t="inlineStr">
        <is>
          <t>NIFTY PSU BANK</t>
        </is>
      </c>
      <c r="B35" s="13" t="inlineStr">
        <is>
          <t>PNB</t>
        </is>
      </c>
      <c r="C35" s="14" t="n">
        <v>117</v>
      </c>
      <c r="D35" s="14" t="n">
        <v>115.31</v>
      </c>
      <c r="E35" s="14" t="n">
        <v>112.61</v>
      </c>
      <c r="F35" s="14" t="n">
        <v>110.25</v>
      </c>
      <c r="G35" s="15">
        <f>HYPERLINK("https://www.tradingview.com/chart/?symbol=NSE:PNB","Chart 📈")</f>
        <v/>
      </c>
    </row>
    <row r="36" ht="16" customHeight="1">
      <c r="A36" s="16" t="inlineStr">
        <is>
          <t>NIFTY PSU BANK</t>
        </is>
      </c>
      <c r="B36" s="13" t="inlineStr">
        <is>
          <t>UNIONBANK</t>
        </is>
      </c>
      <c r="C36" s="14" t="n">
        <v>186.86</v>
      </c>
      <c r="D36" s="14" t="n">
        <v>183.82</v>
      </c>
      <c r="E36" s="14" t="n">
        <v>177.95</v>
      </c>
      <c r="F36" s="14" t="n">
        <v>165.59</v>
      </c>
      <c r="G36" s="15">
        <f>HYPERLINK("https://www.tradingview.com/chart/?symbol=NSE:UNIONBANK","Chart 📈")</f>
        <v/>
      </c>
    </row>
    <row r="37" ht="16" customHeight="1">
      <c r="A37" s="8" t="inlineStr">
        <is>
          <t>NIFTY AUTO</t>
        </is>
      </c>
      <c r="B37" s="17" t="inlineStr">
        <is>
          <t>BAJAJ-AUTO</t>
        </is>
      </c>
      <c r="C37" s="18" t="n">
        <v>12130</v>
      </c>
      <c r="D37" s="18" t="n">
        <v>11773.58</v>
      </c>
      <c r="E37" s="18" t="n">
        <v>11260.63</v>
      </c>
      <c r="F37" s="18" t="n">
        <v>10155.23</v>
      </c>
      <c r="G37" s="19">
        <f>HYPERLINK("https://www.tradingview.com/chart/?symbol=NSE:BAJAJ-AUTO","Chart 📈")</f>
        <v/>
      </c>
    </row>
    <row r="38" ht="16" customHeight="1">
      <c r="A38" s="20" t="inlineStr">
        <is>
          <t>NIFTY AUTO</t>
        </is>
      </c>
      <c r="B38" s="17" t="inlineStr">
        <is>
          <t>BOSCHLTD</t>
        </is>
      </c>
      <c r="C38" s="18" t="n">
        <v>47250</v>
      </c>
      <c r="D38" s="18" t="n">
        <v>47056.78</v>
      </c>
      <c r="E38" s="18" t="n">
        <v>44146.51</v>
      </c>
      <c r="F38" s="18" t="n">
        <v>39668.6</v>
      </c>
      <c r="G38" s="19">
        <f>HYPERLINK("https://www.tradingview.com/chart/?symbol=NSE:BOSCHLTD","Chart 📈")</f>
        <v/>
      </c>
    </row>
    <row r="39" ht="16" customHeight="1">
      <c r="A39" s="12" t="inlineStr">
        <is>
          <t>NIFTY OIL &amp; GAS</t>
        </is>
      </c>
      <c r="B39" s="13" t="inlineStr">
        <is>
          <t>BPCL</t>
        </is>
      </c>
      <c r="C39" s="14" t="n">
        <v>319.6</v>
      </c>
      <c r="D39" s="14" t="n">
        <v>316.99</v>
      </c>
      <c r="E39" s="14" t="n">
        <v>314.42</v>
      </c>
      <c r="F39" s="14" t="n">
        <v>316.95</v>
      </c>
      <c r="G39" s="15">
        <f>HYPERLINK("https://www.tradingview.com/chart/?symbol=NSE:BPCL","Chart 📈")</f>
        <v/>
      </c>
    </row>
    <row r="40" ht="16" customHeight="1">
      <c r="A40" s="16" t="inlineStr">
        <is>
          <t>NIFTY OIL &amp; GAS</t>
        </is>
      </c>
      <c r="B40" s="13" t="inlineStr">
        <is>
          <t>CASTROLIND</t>
        </is>
      </c>
      <c r="C40" s="14" t="n">
        <v>186.08</v>
      </c>
      <c r="D40" s="14" t="n">
        <v>185.56</v>
      </c>
      <c r="E40" s="14" t="n">
        <v>183.11</v>
      </c>
      <c r="F40" s="14" t="n">
        <v>180.42</v>
      </c>
      <c r="G40" s="15">
        <f>HYPERLINK("https://www.tradingview.com/chart/?symbol=NSE:CASTROLIND","Chart 📈")</f>
        <v/>
      </c>
    </row>
    <row r="41" ht="16" customHeight="1">
      <c r="A41" s="16" t="inlineStr">
        <is>
          <t>NIFTY OIL &amp; GAS</t>
        </is>
      </c>
      <c r="B41" s="13" t="inlineStr">
        <is>
          <t>OIL</t>
        </is>
      </c>
      <c r="C41" s="14" t="n">
        <v>498.15</v>
      </c>
      <c r="D41" s="14" t="n">
        <v>473.49</v>
      </c>
      <c r="E41" s="14" t="n">
        <v>461.89</v>
      </c>
      <c r="F41" s="14" t="n">
        <v>449.14</v>
      </c>
      <c r="G41" s="15">
        <f>HYPERLINK("https://www.tradingview.com/chart/?symbol=NSE:OIL","Chart 📈")</f>
        <v/>
      </c>
    </row>
    <row r="42" ht="16" customHeight="1">
      <c r="A42" s="16" t="inlineStr">
        <is>
          <t>NIFTY OIL &amp; GAS</t>
        </is>
      </c>
      <c r="B42" s="13" t="inlineStr">
        <is>
          <t>PETRONET</t>
        </is>
      </c>
      <c r="C42" s="14" t="n">
        <v>289.2</v>
      </c>
      <c r="D42" s="14" t="n">
        <v>288.32</v>
      </c>
      <c r="E42" s="14" t="n">
        <v>283.24</v>
      </c>
      <c r="F42" s="14" t="n">
        <v>277.23</v>
      </c>
      <c r="G42" s="15">
        <f>HYPERLINK("https://www.tradingview.com/chart/?symbol=NSE:PETRONET","Chart 📈")</f>
        <v/>
      </c>
    </row>
    <row r="43" ht="16" customHeight="1">
      <c r="A43" s="8" t="inlineStr">
        <is>
          <t>NIFTY CONSUMER DURABLES</t>
        </is>
      </c>
      <c r="B43" s="17" t="inlineStr">
        <is>
          <t>DIXON</t>
        </is>
      </c>
      <c r="C43" s="18" t="n">
        <v>14590</v>
      </c>
      <c r="D43" s="18" t="n">
        <v>14446.23</v>
      </c>
      <c r="E43" s="18" t="n">
        <v>13822.44</v>
      </c>
      <c r="F43" s="18" t="n">
        <v>13181.53</v>
      </c>
      <c r="G43" s="19">
        <f>HYPERLINK("https://www.tradingview.com/chart/?symbol=NSE:DIXON","Chart 📈")</f>
        <v/>
      </c>
    </row>
    <row r="44" ht="16" customHeight="1">
      <c r="A44" s="20" t="inlineStr">
        <is>
          <t>NIFTY CONSUMER DURABLES</t>
        </is>
      </c>
      <c r="B44" s="17" t="inlineStr">
        <is>
          <t>KAJARIACER</t>
        </is>
      </c>
      <c r="C44" s="18" t="n">
        <v>1261.1</v>
      </c>
      <c r="D44" s="18" t="n">
        <v>1222.42</v>
      </c>
      <c r="E44" s="18" t="n">
        <v>1203.15</v>
      </c>
      <c r="F44" s="18" t="n">
        <v>1136.99</v>
      </c>
      <c r="G44" s="19">
        <f>HYPERLINK("https://www.tradingview.com/chart/?symbol=NSE:KAJARIACER","Chart 📈")</f>
        <v/>
      </c>
    </row>
    <row r="45" ht="16" customHeight="1">
      <c r="A45" s="20" t="inlineStr">
        <is>
          <t>NIFTY CONSUMER DURABLES</t>
        </is>
      </c>
      <c r="B45" s="17" t="inlineStr">
        <is>
          <t>TITAN</t>
        </is>
      </c>
      <c r="C45" s="18" t="n">
        <v>5074</v>
      </c>
      <c r="D45" s="18" t="n">
        <v>5041.79</v>
      </c>
      <c r="E45" s="18" t="n">
        <v>4841.89</v>
      </c>
      <c r="F45" s="18" t="n">
        <v>4360.43</v>
      </c>
      <c r="G45" s="19">
        <f>HYPERLINK("https://www.tradingview.com/chart/?symbol=NSE:TITAN","Chart 📈")</f>
        <v/>
      </c>
    </row>
    <row r="46" ht="16" customHeight="1">
      <c r="A46" s="20" t="inlineStr">
        <is>
          <t>NIFTY CONSUMER DURABLES</t>
        </is>
      </c>
      <c r="B46" s="17" t="inlineStr">
        <is>
          <t>VGUARD</t>
        </is>
      </c>
      <c r="C46" s="18" t="n">
        <v>341.2</v>
      </c>
      <c r="D46" s="18" t="n">
        <v>330.94</v>
      </c>
      <c r="E46" s="18" t="n">
        <v>320.92</v>
      </c>
      <c r="F46" s="18" t="n">
        <v>323.05</v>
      </c>
      <c r="G46" s="19">
        <f>HYPERLINK("https://www.tradingview.com/chart/?symbol=NSE:VGUARD","Chart 📈")</f>
        <v/>
      </c>
    </row>
    <row r="47" ht="16" customHeight="1">
      <c r="A47" s="12" t="inlineStr">
        <is>
          <t>NIFTY IT</t>
        </is>
      </c>
      <c r="B47" s="13" t="inlineStr">
        <is>
          <t>HCLTECH</t>
        </is>
      </c>
      <c r="C47" s="14" t="n">
        <v>1331.5</v>
      </c>
      <c r="D47" s="14" t="n">
        <v>1317.27</v>
      </c>
      <c r="E47" s="14" t="n">
        <v>1280.13</v>
      </c>
      <c r="F47" s="14" t="n">
        <v>1310.73</v>
      </c>
      <c r="G47" s="15">
        <f>HYPERLINK("https://www.tradingview.com/chart/?symbol=NSE:HCLTECH","Chart 📈")</f>
        <v/>
      </c>
    </row>
    <row r="48" ht="16" customHeight="1">
      <c r="A48" s="16" t="inlineStr">
        <is>
          <t>NIFTY IT</t>
        </is>
      </c>
      <c r="B48" s="13" t="inlineStr">
        <is>
          <t>TECHM</t>
        </is>
      </c>
      <c r="C48" s="14" t="n">
        <v>1623</v>
      </c>
      <c r="D48" s="14" t="n">
        <v>1607.68</v>
      </c>
      <c r="E48" s="14" t="n">
        <v>1565.13</v>
      </c>
      <c r="F48" s="14" t="n">
        <v>1489.26</v>
      </c>
      <c r="G48" s="15">
        <f>HYPERLINK("https://www.tradingview.com/chart/?symbol=NSE:TECHM","Chart 📈")</f>
        <v/>
      </c>
    </row>
    <row r="49" ht="16" customHeight="1">
      <c r="A49" s="8" t="inlineStr">
        <is>
          <t>NIFTY FINANCIAL SERVICES</t>
        </is>
      </c>
      <c r="B49" s="17" t="inlineStr">
        <is>
          <t>KOTAKBANK</t>
        </is>
      </c>
      <c r="C49" s="18" t="n">
        <v>423.5</v>
      </c>
      <c r="D49" s="18" t="n">
        <v>406.8</v>
      </c>
      <c r="E49" s="18" t="n">
        <v>397.7</v>
      </c>
      <c r="F49" s="18" t="n">
        <v>395.65</v>
      </c>
      <c r="G49" s="19">
        <f>HYPERLINK("https://www.tradingview.com/chart/?symbol=NSE:KOTAKBANK","Chart 📈")</f>
        <v/>
      </c>
    </row>
    <row r="50" ht="16" customHeight="1">
      <c r="A50" s="20" t="inlineStr">
        <is>
          <t>NIFTY FINANCIAL SERVICES</t>
        </is>
      </c>
      <c r="B50" s="17" t="inlineStr">
        <is>
          <t>LICHSGFIN</t>
        </is>
      </c>
      <c r="C50" s="18" t="n">
        <v>541.25</v>
      </c>
      <c r="D50" s="18" t="n">
        <v>517.1799999999999</v>
      </c>
      <c r="E50" s="18" t="n">
        <v>519.51</v>
      </c>
      <c r="F50" s="18" t="n">
        <v>527.3099999999999</v>
      </c>
      <c r="G50" s="19">
        <f>HYPERLINK("https://www.tradingview.com/chart/?symbol=NSE:LICHSGFIN","Chart 📈")</f>
        <v/>
      </c>
    </row>
    <row r="51" ht="16" customHeight="1">
      <c r="A51" s="20" t="inlineStr">
        <is>
          <t>NIFTY FINANCIAL SERVICES</t>
        </is>
      </c>
      <c r="B51" s="17" t="inlineStr">
        <is>
          <t>MCX</t>
        </is>
      </c>
      <c r="C51" s="18" t="n">
        <v>3286</v>
      </c>
      <c r="D51" s="18" t="n">
        <v>3122.51</v>
      </c>
      <c r="E51" s="18" t="n">
        <v>2971.57</v>
      </c>
      <c r="F51" s="18" t="n">
        <v>2624.4</v>
      </c>
      <c r="G51" s="19">
        <f>HYPERLINK("https://www.tradingview.com/chart/?symbol=NSE:MCX","Chart 📈")</f>
        <v/>
      </c>
    </row>
    <row r="52" ht="16" customHeight="1">
      <c r="A52" s="12" t="inlineStr">
        <is>
          <t>NIFTY MEDIA</t>
        </is>
      </c>
      <c r="B52" s="13" t="inlineStr">
        <is>
          <t>NAZARA</t>
        </is>
      </c>
      <c r="C52" s="14" t="n">
        <v>366</v>
      </c>
      <c r="D52" s="14" t="n">
        <v>354.59</v>
      </c>
      <c r="E52" s="14" t="n">
        <v>333.57</v>
      </c>
      <c r="F52" s="14" t="n">
        <v>295.16</v>
      </c>
      <c r="G52" s="15">
        <f>HYPERLINK("https://www.tradingview.com/chart/?symbol=NSE:NAZARA","Chart 📈")</f>
        <v/>
      </c>
    </row>
    <row r="53" ht="16" customHeight="1">
      <c r="A53" s="16" t="inlineStr">
        <is>
          <t>NIFTY MEDIA</t>
        </is>
      </c>
      <c r="B53" s="13" t="inlineStr">
        <is>
          <t>PVRINOX</t>
        </is>
      </c>
      <c r="C53" s="14" t="n">
        <v>1210</v>
      </c>
      <c r="D53" s="14" t="n">
        <v>1194.75</v>
      </c>
      <c r="E53" s="14" t="n">
        <v>1128.97</v>
      </c>
      <c r="F53" s="14" t="n">
        <v>1062.21</v>
      </c>
      <c r="G53" s="15">
        <f>HYPERLINK("https://www.tradingview.com/chart/?symbol=NSE:PVRINOX","Chart 📈")</f>
        <v/>
      </c>
    </row>
    <row r="54" ht="16" customHeight="1">
      <c r="A54" s="8" t="inlineStr">
        <is>
          <t>NIFTY BANK</t>
        </is>
      </c>
      <c r="B54" s="17" t="inlineStr">
        <is>
          <t>FEDERALBNK</t>
        </is>
      </c>
      <c r="C54" s="18" t="n">
        <v>353.35</v>
      </c>
      <c r="D54" s="18" t="n">
        <v>351.65</v>
      </c>
      <c r="E54" s="18" t="n">
        <v>342.98</v>
      </c>
      <c r="F54" s="18" t="n">
        <v>298.18</v>
      </c>
      <c r="G54" s="19">
        <f>HYPERLINK("https://www.tradingview.com/chart/?symbol=NSE:FEDERALBNK","Chart 📈")</f>
        <v/>
      </c>
    </row>
    <row r="55" ht="16" customHeight="1">
      <c r="A55" s="20" t="inlineStr">
        <is>
          <t>NIFTY BANK</t>
        </is>
      </c>
      <c r="B55" s="17" t="inlineStr">
        <is>
          <t>IDFCFIRSTB</t>
        </is>
      </c>
      <c r="C55" s="18" t="n">
        <v>85.09</v>
      </c>
      <c r="D55" s="18" t="n">
        <v>84.72</v>
      </c>
      <c r="E55" s="18" t="n">
        <v>82.40000000000001</v>
      </c>
      <c r="F55" s="18" t="n">
        <v>76.88</v>
      </c>
      <c r="G55" s="19">
        <f>HYPERLINK("https://www.tradingview.com/chart/?symbol=NSE:IDFCFIRSTB","Chart 📈")</f>
        <v/>
      </c>
    </row>
    <row r="56" ht="16" customHeight="1">
      <c r="A56" s="12" t="inlineStr">
        <is>
          <t>NIFTY FMCG</t>
        </is>
      </c>
      <c r="B56" s="13" t="inlineStr">
        <is>
          <t>BALRAMCHIN</t>
        </is>
      </c>
      <c r="C56" s="14" t="n">
        <v>669.75</v>
      </c>
      <c r="D56" s="14" t="n">
        <v>660.83</v>
      </c>
      <c r="E56" s="14" t="n">
        <v>625.41</v>
      </c>
      <c r="F56" s="14" t="n">
        <v>550.6</v>
      </c>
      <c r="G56" s="15">
        <f>HYPERLINK("https://www.tradingview.com/chart/?symbol=NSE:BALRAMCHIN","Chart 📈")</f>
        <v/>
      </c>
    </row>
    <row r="57" ht="16" customHeight="1">
      <c r="A57" s="8" t="inlineStr">
        <is>
          <t>NIFTY ENERGY</t>
        </is>
      </c>
      <c r="B57" s="17" t="inlineStr">
        <is>
          <t>BHEL</t>
        </is>
      </c>
      <c r="C57" s="18" t="n">
        <v>427.5</v>
      </c>
      <c r="D57" s="18" t="n">
        <v>421.49</v>
      </c>
      <c r="E57" s="18" t="n">
        <v>410.63</v>
      </c>
      <c r="F57" s="18" t="n">
        <v>347.01</v>
      </c>
      <c r="G57" s="19">
        <f>HYPERLINK("https://www.tradingview.com/chart/?symbol=NSE:BHEL","Chart 📈")</f>
        <v/>
      </c>
    </row>
    <row r="58" ht="16" customHeight="1">
      <c r="A58" s="20" t="inlineStr">
        <is>
          <t>NIFTY ENERGY</t>
        </is>
      </c>
      <c r="B58" s="17" t="inlineStr">
        <is>
          <t>SIEMENS</t>
        </is>
      </c>
      <c r="C58" s="18" t="n">
        <v>4018.9</v>
      </c>
      <c r="D58" s="18" t="n">
        <v>3974.84</v>
      </c>
      <c r="E58" s="18" t="n">
        <v>3842.39</v>
      </c>
      <c r="F58" s="18" t="n">
        <v>3534.6</v>
      </c>
      <c r="G58" s="19">
        <f>HYPERLINK("https://www.tradingview.com/chart/?symbol=NSE:SIEMENS","Chart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2026-09-02T15:07:36Z</dcterms:created>
  <dcterms:modified xmlns:dcterms="http://purl.org/dc/terms/" xmlns:xsi="http://www.w3.org/2001/XMLSchema-instance" xsi:type="dcterms:W3CDTF">2026-09-02T15:07:36Z</dcterms:modified>
</cp:coreProperties>
</file>