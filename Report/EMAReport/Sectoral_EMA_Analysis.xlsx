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31-Aug-2026  18:03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5</v>
      </c>
      <c r="D4" s="5" t="n">
        <v>7</v>
      </c>
      <c r="E4" s="5" t="n">
        <v>9</v>
      </c>
      <c r="F4" s="6" t="n">
        <v>0.5</v>
      </c>
      <c r="G4" s="6" t="n">
        <v>0.7</v>
      </c>
      <c r="H4" s="6" t="n">
        <v>0.9</v>
      </c>
      <c r="I4" s="7" t="n">
        <v>0.7</v>
      </c>
    </row>
    <row r="5" ht="17" customHeight="1">
      <c r="A5" s="8" t="inlineStr">
        <is>
          <t>NIFTY METAL</t>
        </is>
      </c>
      <c r="B5" s="9" t="n">
        <v>15</v>
      </c>
      <c r="C5" s="9" t="n">
        <v>9</v>
      </c>
      <c r="D5" s="9" t="n">
        <v>10</v>
      </c>
      <c r="E5" s="9" t="n">
        <v>12</v>
      </c>
      <c r="F5" s="10" t="n">
        <v>0.6</v>
      </c>
      <c r="G5" s="10" t="n">
        <v>0.667</v>
      </c>
      <c r="H5" s="10" t="n">
        <v>0.8</v>
      </c>
      <c r="I5" s="11" t="n">
        <v>0.6890000000000001</v>
      </c>
    </row>
    <row r="6" ht="17" customHeight="1">
      <c r="A6" s="4" t="inlineStr">
        <is>
          <t>NIFTY AUTO</t>
        </is>
      </c>
      <c r="B6" s="5" t="n">
        <v>15</v>
      </c>
      <c r="C6" s="5" t="n">
        <v>7</v>
      </c>
      <c r="D6" s="5" t="n">
        <v>11</v>
      </c>
      <c r="E6" s="5" t="n">
        <v>11</v>
      </c>
      <c r="F6" s="6" t="n">
        <v>0.467</v>
      </c>
      <c r="G6" s="6" t="n">
        <v>0.733</v>
      </c>
      <c r="H6" s="6" t="n">
        <v>0.733</v>
      </c>
      <c r="I6" s="7" t="n">
        <v>0.6443000000000001</v>
      </c>
    </row>
    <row r="7" ht="17" customHeight="1">
      <c r="A7" s="8" t="inlineStr">
        <is>
          <t>NIFTY PHARMA</t>
        </is>
      </c>
      <c r="B7" s="9" t="n">
        <v>20</v>
      </c>
      <c r="C7" s="9" t="n">
        <v>12</v>
      </c>
      <c r="D7" s="9" t="n">
        <v>11</v>
      </c>
      <c r="E7" s="9" t="n">
        <v>14</v>
      </c>
      <c r="F7" s="10" t="n">
        <v>0.6</v>
      </c>
      <c r="G7" s="10" t="n">
        <v>0.55</v>
      </c>
      <c r="H7" s="10" t="n">
        <v>0.7</v>
      </c>
      <c r="I7" s="11" t="n">
        <v>0.6167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11</v>
      </c>
      <c r="D8" s="5" t="n">
        <v>11</v>
      </c>
      <c r="E8" s="5" t="n">
        <v>12</v>
      </c>
      <c r="F8" s="6" t="n">
        <v>0.55</v>
      </c>
      <c r="G8" s="6" t="n">
        <v>0.55</v>
      </c>
      <c r="H8" s="6" t="n">
        <v>0.6</v>
      </c>
      <c r="I8" s="7" t="n">
        <v>0.5667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9</v>
      </c>
      <c r="D9" s="9" t="n">
        <v>12</v>
      </c>
      <c r="E9" s="9" t="n">
        <v>10</v>
      </c>
      <c r="F9" s="10" t="n">
        <v>0.45</v>
      </c>
      <c r="G9" s="10" t="n">
        <v>0.6</v>
      </c>
      <c r="H9" s="10" t="n">
        <v>0.5</v>
      </c>
      <c r="I9" s="11" t="n">
        <v>0.5167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7</v>
      </c>
      <c r="D10" s="5" t="n">
        <v>8</v>
      </c>
      <c r="E10" s="5" t="n">
        <v>7</v>
      </c>
      <c r="F10" s="6" t="n">
        <v>0.467</v>
      </c>
      <c r="G10" s="6" t="n">
        <v>0.5329999999999999</v>
      </c>
      <c r="H10" s="6" t="n">
        <v>0.467</v>
      </c>
      <c r="I10" s="7" t="n">
        <v>0.489</v>
      </c>
    </row>
    <row r="11" ht="17" customHeight="1">
      <c r="A11" s="8" t="inlineStr">
        <is>
          <t>NIFTY PSU BANK</t>
        </is>
      </c>
      <c r="B11" s="9" t="n">
        <v>12</v>
      </c>
      <c r="C11" s="9" t="n">
        <v>4</v>
      </c>
      <c r="D11" s="9" t="n">
        <v>5</v>
      </c>
      <c r="E11" s="9" t="n">
        <v>6</v>
      </c>
      <c r="F11" s="10" t="n">
        <v>0.333</v>
      </c>
      <c r="G11" s="10" t="n">
        <v>0.417</v>
      </c>
      <c r="H11" s="10" t="n">
        <v>0.5</v>
      </c>
      <c r="I11" s="11" t="n">
        <v>0.4167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6</v>
      </c>
      <c r="D12" s="5" t="n">
        <v>6</v>
      </c>
      <c r="E12" s="5" t="n">
        <v>6</v>
      </c>
      <c r="F12" s="6" t="n">
        <v>0.4</v>
      </c>
      <c r="G12" s="6" t="n">
        <v>0.4</v>
      </c>
      <c r="H12" s="6" t="n">
        <v>0.4</v>
      </c>
      <c r="I12" s="7" t="n">
        <v>0.4</v>
      </c>
    </row>
    <row r="13" ht="17" customHeight="1">
      <c r="A13" s="8" t="inlineStr">
        <is>
          <t>NIFTY IT</t>
        </is>
      </c>
      <c r="B13" s="9" t="n">
        <v>10</v>
      </c>
      <c r="C13" s="9" t="n">
        <v>4</v>
      </c>
      <c r="D13" s="9" t="n">
        <v>5</v>
      </c>
      <c r="E13" s="9" t="n">
        <v>2</v>
      </c>
      <c r="F13" s="10" t="n">
        <v>0.4</v>
      </c>
      <c r="G13" s="10" t="n">
        <v>0.5</v>
      </c>
      <c r="H13" s="10" t="n">
        <v>0.2</v>
      </c>
      <c r="I13" s="11" t="n">
        <v>0.3667</v>
      </c>
    </row>
    <row r="14" ht="17" customHeight="1">
      <c r="A14" s="4" t="inlineStr">
        <is>
          <t>NIFTY MEDIA</t>
        </is>
      </c>
      <c r="B14" s="5" t="n">
        <v>10</v>
      </c>
      <c r="C14" s="5" t="n">
        <v>3</v>
      </c>
      <c r="D14" s="5" t="n">
        <v>3</v>
      </c>
      <c r="E14" s="5" t="n">
        <v>4</v>
      </c>
      <c r="F14" s="6" t="n">
        <v>0.3</v>
      </c>
      <c r="G14" s="6" t="n">
        <v>0.3</v>
      </c>
      <c r="H14" s="6" t="n">
        <v>0.4</v>
      </c>
      <c r="I14" s="7" t="n">
        <v>0.3333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FMCG</t>
        </is>
      </c>
      <c r="B16" s="5" t="n">
        <v>15</v>
      </c>
      <c r="C16" s="5" t="n">
        <v>2</v>
      </c>
      <c r="D16" s="5" t="n">
        <v>4</v>
      </c>
      <c r="E16" s="5" t="n">
        <v>5</v>
      </c>
      <c r="F16" s="6" t="n">
        <v>0.133</v>
      </c>
      <c r="G16" s="6" t="n">
        <v>0.267</v>
      </c>
      <c r="H16" s="6" t="n">
        <v>0.333</v>
      </c>
      <c r="I16" s="7" t="n">
        <v>0.2443</v>
      </c>
    </row>
    <row r="17" ht="17" customHeight="1">
      <c r="A17" s="8" t="inlineStr">
        <is>
          <t>NIFTY ENERGY</t>
        </is>
      </c>
      <c r="B17" s="9" t="n">
        <v>40</v>
      </c>
      <c r="C17" s="9" t="n">
        <v>6</v>
      </c>
      <c r="D17" s="9" t="n">
        <v>6</v>
      </c>
      <c r="E17" s="9" t="n">
        <v>10</v>
      </c>
      <c r="F17" s="10" t="n">
        <v>0.15</v>
      </c>
      <c r="G17" s="10" t="n">
        <v>0.15</v>
      </c>
      <c r="H17" s="10" t="n">
        <v>0.25</v>
      </c>
      <c r="I17" s="11" t="n">
        <v>0.1833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BRIGADE</t>
        </is>
      </c>
      <c r="C3" s="14" t="n">
        <v>655.85</v>
      </c>
      <c r="D3" s="14" t="n">
        <v>617.7</v>
      </c>
      <c r="E3" s="14" t="n">
        <v>583.13</v>
      </c>
      <c r="F3" s="14" t="n">
        <v>581.54</v>
      </c>
      <c r="G3" s="15">
        <f>HYPERLINK("https://www.tradingview.com/chart/?symbol=NSE:BRIGADE","Chart 📈")</f>
        <v/>
      </c>
    </row>
    <row r="4" ht="16" customHeight="1">
      <c r="A4" s="16" t="inlineStr">
        <is>
          <t>NIFTY REALTY</t>
        </is>
      </c>
      <c r="B4" s="13" t="inlineStr">
        <is>
          <t>DLF</t>
        </is>
      </c>
      <c r="C4" s="14" t="n">
        <v>691.05</v>
      </c>
      <c r="D4" s="14" t="n">
        <v>670.53</v>
      </c>
      <c r="E4" s="14" t="n">
        <v>652.09</v>
      </c>
      <c r="F4" s="14" t="n">
        <v>641.6799999999999</v>
      </c>
      <c r="G4" s="15">
        <f>HYPERLINK("https://www.tradingview.com/chart/?symbol=NSE:DLF","Chart 📈")</f>
        <v/>
      </c>
    </row>
    <row r="5" ht="16" customHeight="1">
      <c r="A5" s="16" t="inlineStr">
        <is>
          <t>NIFTY REALTY</t>
        </is>
      </c>
      <c r="B5" s="13" t="inlineStr">
        <is>
          <t>OBEROIRLTY</t>
        </is>
      </c>
      <c r="C5" s="14" t="n">
        <v>1868</v>
      </c>
      <c r="D5" s="14" t="n">
        <v>1858.21</v>
      </c>
      <c r="E5" s="14" t="n">
        <v>1822.55</v>
      </c>
      <c r="F5" s="14" t="n">
        <v>1707.93</v>
      </c>
      <c r="G5" s="15">
        <f>HYPERLINK("https://www.tradingview.com/chart/?symbol=NSE:OBEROIRLTY","Chart 📈")</f>
        <v/>
      </c>
    </row>
    <row r="6" ht="16" customHeight="1">
      <c r="A6" s="16" t="inlineStr">
        <is>
          <t>NIFTY REALTY</t>
        </is>
      </c>
      <c r="B6" s="13" t="inlineStr">
        <is>
          <t>PRESTIGE</t>
        </is>
      </c>
      <c r="C6" s="14" t="n">
        <v>1633</v>
      </c>
      <c r="D6" s="14" t="n">
        <v>1611.47</v>
      </c>
      <c r="E6" s="14" t="n">
        <v>1589.39</v>
      </c>
      <c r="F6" s="14" t="n">
        <v>1526.28</v>
      </c>
      <c r="G6" s="15">
        <f>HYPERLINK("https://www.tradingview.com/chart/?symbol=NSE:PRESTIGE","Chart 📈")</f>
        <v/>
      </c>
    </row>
    <row r="7" ht="16" customHeight="1">
      <c r="A7" s="16" t="inlineStr">
        <is>
          <t>NIFTY REALTY</t>
        </is>
      </c>
      <c r="B7" s="13" t="inlineStr">
        <is>
          <t>RAYMOND</t>
        </is>
      </c>
      <c r="C7" s="14" t="n">
        <v>631.85</v>
      </c>
      <c r="D7" s="14" t="n">
        <v>625.0700000000001</v>
      </c>
      <c r="E7" s="14" t="n">
        <v>604.4</v>
      </c>
      <c r="F7" s="14" t="n">
        <v>537.85</v>
      </c>
      <c r="G7" s="15">
        <f>HYPERLINK("https://www.tradingview.com/chart/?symbol=NSE:RAYMOND","Chart 📈")</f>
        <v/>
      </c>
    </row>
    <row r="8" ht="16" customHeight="1">
      <c r="A8" s="8" t="inlineStr">
        <is>
          <t>NIFTY METAL</t>
        </is>
      </c>
      <c r="B8" s="17" t="inlineStr">
        <is>
          <t>APLAPOLLO</t>
        </is>
      </c>
      <c r="C8" s="18" t="n">
        <v>2223.4</v>
      </c>
      <c r="D8" s="18" t="n">
        <v>2093.91</v>
      </c>
      <c r="E8" s="18" t="n">
        <v>1988.47</v>
      </c>
      <c r="F8" s="18" t="n">
        <v>1906.61</v>
      </c>
      <c r="G8" s="19">
        <f>HYPERLINK("https://www.tradingview.com/chart/?symbol=NSE:APLAPOLLO","Chart 📈")</f>
        <v/>
      </c>
    </row>
    <row r="9" ht="16" customHeight="1">
      <c r="A9" s="20" t="inlineStr">
        <is>
          <t>NIFTY METAL</t>
        </is>
      </c>
      <c r="B9" s="17" t="inlineStr">
        <is>
          <t>HINDZINC</t>
        </is>
      </c>
      <c r="C9" s="18" t="n">
        <v>595.45</v>
      </c>
      <c r="D9" s="18" t="n">
        <v>585.75</v>
      </c>
      <c r="E9" s="18" t="n">
        <v>571.9299999999999</v>
      </c>
      <c r="F9" s="18" t="n">
        <v>555.09</v>
      </c>
      <c r="G9" s="19">
        <f>HYPERLINK("https://www.tradingview.com/chart/?symbol=NSE:HINDZINC","Chart 📈")</f>
        <v/>
      </c>
    </row>
    <row r="10" ht="16" customHeight="1">
      <c r="A10" s="20" t="inlineStr">
        <is>
          <t>NIFTY METAL</t>
        </is>
      </c>
      <c r="B10" s="17" t="inlineStr">
        <is>
          <t>JINDALSTEL</t>
        </is>
      </c>
      <c r="C10" s="18" t="n">
        <v>1192.9</v>
      </c>
      <c r="D10" s="18" t="n">
        <v>1132.11</v>
      </c>
      <c r="E10" s="18" t="n">
        <v>1115.1</v>
      </c>
      <c r="F10" s="18" t="n">
        <v>1110.49</v>
      </c>
      <c r="G10" s="19">
        <f>HYPERLINK("https://www.tradingview.com/chart/?symbol=NSE:JINDALSTEL","Chart 📈")</f>
        <v/>
      </c>
    </row>
    <row r="11" ht="16" customHeight="1">
      <c r="A11" s="20" t="inlineStr">
        <is>
          <t>NIFTY METAL</t>
        </is>
      </c>
      <c r="B11" s="17" t="inlineStr">
        <is>
          <t>JSWSTEEL</t>
        </is>
      </c>
      <c r="C11" s="18" t="n">
        <v>1307.7</v>
      </c>
      <c r="D11" s="18" t="n">
        <v>1301.22</v>
      </c>
      <c r="E11" s="18" t="n">
        <v>1280.19</v>
      </c>
      <c r="F11" s="18" t="n">
        <v>1220.97</v>
      </c>
      <c r="G11" s="19">
        <f>HYPERLINK("https://www.tradingview.com/chart/?symbol=NSE:JSWSTEEL","Chart 📈")</f>
        <v/>
      </c>
    </row>
    <row r="12" ht="16" customHeight="1">
      <c r="A12" s="20" t="inlineStr">
        <is>
          <t>NIFTY METAL</t>
        </is>
      </c>
      <c r="B12" s="17" t="inlineStr">
        <is>
          <t>NMDC</t>
        </is>
      </c>
      <c r="C12" s="18" t="n">
        <v>88.2</v>
      </c>
      <c r="D12" s="18" t="n">
        <v>85.68000000000001</v>
      </c>
      <c r="E12" s="18" t="n">
        <v>85.62</v>
      </c>
      <c r="F12" s="18" t="n">
        <v>82.61</v>
      </c>
      <c r="G12" s="19">
        <f>HYPERLINK("https://www.tradingview.com/chart/?symbol=NSE:NMDC","Chart 📈")</f>
        <v/>
      </c>
    </row>
    <row r="13" ht="16" customHeight="1">
      <c r="A13" s="20" t="inlineStr">
        <is>
          <t>NIFTY METAL</t>
        </is>
      </c>
      <c r="B13" s="17" t="inlineStr">
        <is>
          <t>RATNAMANI</t>
        </is>
      </c>
      <c r="C13" s="18" t="n">
        <v>2649.7</v>
      </c>
      <c r="D13" s="18" t="n">
        <v>2489.12</v>
      </c>
      <c r="E13" s="18" t="n">
        <v>2477.52</v>
      </c>
      <c r="F13" s="18" t="n">
        <v>2443.9</v>
      </c>
      <c r="G13" s="19">
        <f>HYPERLINK("https://www.tradingview.com/chart/?symbol=NSE:RATNAMANI","Chart 📈")</f>
        <v/>
      </c>
    </row>
    <row r="14" ht="16" customHeight="1">
      <c r="A14" s="20" t="inlineStr">
        <is>
          <t>NIFTY METAL</t>
        </is>
      </c>
      <c r="B14" s="17" t="inlineStr">
        <is>
          <t>SAIL</t>
        </is>
      </c>
      <c r="C14" s="18" t="n">
        <v>195</v>
      </c>
      <c r="D14" s="18" t="n">
        <v>180.8</v>
      </c>
      <c r="E14" s="18" t="n">
        <v>176.34</v>
      </c>
      <c r="F14" s="18" t="n">
        <v>164.51</v>
      </c>
      <c r="G14" s="19">
        <f>HYPERLINK("https://www.tradingview.com/chart/?symbol=NSE:SAIL","Chart 📈")</f>
        <v/>
      </c>
    </row>
    <row r="15" ht="16" customHeight="1">
      <c r="A15" s="20" t="inlineStr">
        <is>
          <t>NIFTY METAL</t>
        </is>
      </c>
      <c r="B15" s="17" t="inlineStr">
        <is>
          <t>WELCORP</t>
        </is>
      </c>
      <c r="C15" s="18" t="n">
        <v>2391</v>
      </c>
      <c r="D15" s="18" t="n">
        <v>2093.31</v>
      </c>
      <c r="E15" s="18" t="n">
        <v>1826.67</v>
      </c>
      <c r="F15" s="18" t="n">
        <v>1323.63</v>
      </c>
      <c r="G15" s="19">
        <f>HYPERLINK("https://www.tradingview.com/chart/?symbol=NSE:WELCORP","Chart 📈")</f>
        <v/>
      </c>
    </row>
    <row r="16" ht="16" customHeight="1">
      <c r="A16" s="12" t="inlineStr">
        <is>
          <t>NIFTY AUTO</t>
        </is>
      </c>
      <c r="B16" s="13" t="inlineStr">
        <is>
          <t>ASHOKLEY</t>
        </is>
      </c>
      <c r="C16" s="14" t="n">
        <v>175.64</v>
      </c>
      <c r="D16" s="14" t="n">
        <v>173.18</v>
      </c>
      <c r="E16" s="14" t="n">
        <v>167.58</v>
      </c>
      <c r="F16" s="14" t="n">
        <v>161.6</v>
      </c>
      <c r="G16" s="15">
        <f>HYPERLINK("https://www.tradingview.com/chart/?symbol=NSE:ASHOKLEY","Chart 📈")</f>
        <v/>
      </c>
    </row>
    <row r="17" ht="16" customHeight="1">
      <c r="A17" s="16" t="inlineStr">
        <is>
          <t>NIFTY AUTO</t>
        </is>
      </c>
      <c r="B17" s="13" t="inlineStr">
        <is>
          <t>BAJAJ-AUTO</t>
        </is>
      </c>
      <c r="C17" s="14" t="n">
        <v>12130</v>
      </c>
      <c r="D17" s="14" t="n">
        <v>11670.28</v>
      </c>
      <c r="E17" s="14" t="n">
        <v>11178.78</v>
      </c>
      <c r="F17" s="14" t="n">
        <v>10107.87</v>
      </c>
      <c r="G17" s="15">
        <f>HYPERLINK("https://www.tradingview.com/chart/?symbol=NSE:BAJAJ-AUTO","Chart 📈")</f>
        <v/>
      </c>
    </row>
    <row r="18" ht="16" customHeight="1">
      <c r="A18" s="16" t="inlineStr">
        <is>
          <t>NIFTY AUTO</t>
        </is>
      </c>
      <c r="B18" s="13" t="inlineStr">
        <is>
          <t>BHARATFORG</t>
        </is>
      </c>
      <c r="C18" s="14" t="n">
        <v>2104.9</v>
      </c>
      <c r="D18" s="14" t="n">
        <v>2085.26</v>
      </c>
      <c r="E18" s="14" t="n">
        <v>2084.03</v>
      </c>
      <c r="F18" s="14" t="n">
        <v>1826.8</v>
      </c>
      <c r="G18" s="15">
        <f>HYPERLINK("https://www.tradingview.com/chart/?symbol=NSE:BHARATFORG","Chart 📈")</f>
        <v/>
      </c>
    </row>
    <row r="19" ht="16" customHeight="1">
      <c r="A19" s="16" t="inlineStr">
        <is>
          <t>NIFTY AUTO</t>
        </is>
      </c>
      <c r="B19" s="13" t="inlineStr">
        <is>
          <t>BOSCHLTD</t>
        </is>
      </c>
      <c r="C19" s="14" t="n">
        <v>50000</v>
      </c>
      <c r="D19" s="14" t="n">
        <v>46877.11</v>
      </c>
      <c r="E19" s="14" t="n">
        <v>43834.91</v>
      </c>
      <c r="F19" s="14" t="n">
        <v>39458.72</v>
      </c>
      <c r="G19" s="15">
        <f>HYPERLINK("https://www.tradingview.com/chart/?symbol=NSE:BOSCHLTD","Chart 📈")</f>
        <v/>
      </c>
    </row>
    <row r="20" ht="16" customHeight="1">
      <c r="A20" s="16" t="inlineStr">
        <is>
          <t>NIFTY AUTO</t>
        </is>
      </c>
      <c r="B20" s="13" t="inlineStr">
        <is>
          <t>MOTHERSON</t>
        </is>
      </c>
      <c r="C20" s="14" t="n">
        <v>170.68</v>
      </c>
      <c r="D20" s="14" t="n">
        <v>164.48</v>
      </c>
      <c r="E20" s="14" t="n">
        <v>155.97</v>
      </c>
      <c r="F20" s="14" t="n">
        <v>134.11</v>
      </c>
      <c r="G20" s="15">
        <f>HYPERLINK("https://www.tradingview.com/chart/?symbol=NSE:MOTHERSON","Chart 📈")</f>
        <v/>
      </c>
    </row>
    <row r="21" ht="16" customHeight="1">
      <c r="A21" s="16" t="inlineStr">
        <is>
          <t>NIFTY AUTO</t>
        </is>
      </c>
      <c r="B21" s="13" t="inlineStr">
        <is>
          <t>TVSMOTOR</t>
        </is>
      </c>
      <c r="C21" s="14" t="n">
        <v>4341.3</v>
      </c>
      <c r="D21" s="14" t="n">
        <v>4315.05</v>
      </c>
      <c r="E21" s="14" t="n">
        <v>4078.9</v>
      </c>
      <c r="F21" s="14" t="n">
        <v>3727.37</v>
      </c>
      <c r="G21" s="15">
        <f>HYPERLINK("https://www.tradingview.com/chart/?symbol=NSE:TVSMOTOR","Chart 📈")</f>
        <v/>
      </c>
    </row>
    <row r="22" ht="16" customHeight="1">
      <c r="A22" s="8" t="inlineStr">
        <is>
          <t>NIFTY PHARMA</t>
        </is>
      </c>
      <c r="B22" s="17" t="inlineStr">
        <is>
          <t>AJANTPHARM</t>
        </is>
      </c>
      <c r="C22" s="18" t="n">
        <v>3601.9</v>
      </c>
      <c r="D22" s="18" t="n">
        <v>3559.46</v>
      </c>
      <c r="E22" s="18" t="n">
        <v>3433.87</v>
      </c>
      <c r="F22" s="18" t="n">
        <v>3044.7</v>
      </c>
      <c r="G22" s="19">
        <f>HYPERLINK("https://www.tradingview.com/chart/?symbol=NSE:AJANTPHARM","Chart 📈")</f>
        <v/>
      </c>
    </row>
    <row r="23" ht="16" customHeight="1">
      <c r="A23" s="20" t="inlineStr">
        <is>
          <t>NIFTY PHARMA</t>
        </is>
      </c>
      <c r="B23" s="17" t="inlineStr">
        <is>
          <t>AUROPHARMA</t>
        </is>
      </c>
      <c r="C23" s="18" t="n">
        <v>1717</v>
      </c>
      <c r="D23" s="18" t="n">
        <v>1627.77</v>
      </c>
      <c r="E23" s="18" t="n">
        <v>1583.45</v>
      </c>
      <c r="F23" s="18" t="n">
        <v>1400.49</v>
      </c>
      <c r="G23" s="19">
        <f>HYPERLINK("https://www.tradingview.com/chart/?symbol=NSE:AUROPHARMA","Chart 📈")</f>
        <v/>
      </c>
    </row>
    <row r="24" ht="16" customHeight="1">
      <c r="A24" s="20" t="inlineStr">
        <is>
          <t>NIFTY PHARMA</t>
        </is>
      </c>
      <c r="B24" s="17" t="inlineStr">
        <is>
          <t>DIVISLAB</t>
        </is>
      </c>
      <c r="C24" s="18" t="n">
        <v>9467</v>
      </c>
      <c r="D24" s="18" t="n">
        <v>8611.18</v>
      </c>
      <c r="E24" s="18" t="n">
        <v>7956.28</v>
      </c>
      <c r="F24" s="18" t="n">
        <v>6933.21</v>
      </c>
      <c r="G24" s="19">
        <f>HYPERLINK("https://www.tradingview.com/chart/?symbol=NSE:DIVISLAB","Chart 📈")</f>
        <v/>
      </c>
    </row>
    <row r="25" ht="16" customHeight="1">
      <c r="A25" s="20" t="inlineStr">
        <is>
          <t>NIFTY PHARMA</t>
        </is>
      </c>
      <c r="B25" s="17" t="inlineStr">
        <is>
          <t>GLAND</t>
        </is>
      </c>
      <c r="C25" s="18" t="n">
        <v>2885.8</v>
      </c>
      <c r="D25" s="18" t="n">
        <v>2788.75</v>
      </c>
      <c r="E25" s="18" t="n">
        <v>2601.13</v>
      </c>
      <c r="F25" s="18" t="n">
        <v>2170.3</v>
      </c>
      <c r="G25" s="19">
        <f>HYPERLINK("https://www.tradingview.com/chart/?symbol=NSE:GLAND","Chart 📈")</f>
        <v/>
      </c>
    </row>
    <row r="26" ht="16" customHeight="1">
      <c r="A26" s="20" t="inlineStr">
        <is>
          <t>NIFTY PHARMA</t>
        </is>
      </c>
      <c r="B26" s="17" t="inlineStr">
        <is>
          <t>GLENMARK</t>
        </is>
      </c>
      <c r="C26" s="18" t="n">
        <v>2480</v>
      </c>
      <c r="D26" s="18" t="n">
        <v>2355.46</v>
      </c>
      <c r="E26" s="18" t="n">
        <v>2294.01</v>
      </c>
      <c r="F26" s="18" t="n">
        <v>2173.74</v>
      </c>
      <c r="G26" s="19">
        <f>HYPERLINK("https://www.tradingview.com/chart/?symbol=NSE:GLENMARK","Chart 📈")</f>
        <v/>
      </c>
    </row>
    <row r="27" ht="16" customHeight="1">
      <c r="A27" s="20" t="inlineStr">
        <is>
          <t>NIFTY PHARMA</t>
        </is>
      </c>
      <c r="B27" s="17" t="inlineStr">
        <is>
          <t>IPCALAB</t>
        </is>
      </c>
      <c r="C27" s="18" t="n">
        <v>1974.9</v>
      </c>
      <c r="D27" s="18" t="n">
        <v>1872.4</v>
      </c>
      <c r="E27" s="18" t="n">
        <v>1789.93</v>
      </c>
      <c r="F27" s="18" t="n">
        <v>1603.98</v>
      </c>
      <c r="G27" s="19">
        <f>HYPERLINK("https://www.tradingview.com/chart/?symbol=NSE:IPCALAB","Chart 📈")</f>
        <v/>
      </c>
    </row>
    <row r="28" ht="16" customHeight="1">
      <c r="A28" s="20" t="inlineStr">
        <is>
          <t>NIFTY PHARMA</t>
        </is>
      </c>
      <c r="B28" s="17" t="inlineStr">
        <is>
          <t>JBCHEPHARM</t>
        </is>
      </c>
      <c r="C28" s="18" t="n">
        <v>2408.9</v>
      </c>
      <c r="D28" s="18" t="n">
        <v>2383.66</v>
      </c>
      <c r="E28" s="18" t="n">
        <v>2287.69</v>
      </c>
      <c r="F28" s="18" t="n">
        <v>2043.12</v>
      </c>
      <c r="G28" s="19">
        <f>HYPERLINK("https://www.tradingview.com/chart/?symbol=NSE:JBCHEPHARM","Chart 📈")</f>
        <v/>
      </c>
    </row>
    <row r="29" ht="16" customHeight="1">
      <c r="A29" s="20" t="inlineStr">
        <is>
          <t>NIFTY PHARMA</t>
        </is>
      </c>
      <c r="B29" s="17" t="inlineStr">
        <is>
          <t>LAURUSLABS</t>
        </is>
      </c>
      <c r="C29" s="18" t="n">
        <v>1915</v>
      </c>
      <c r="D29" s="18" t="n">
        <v>1832.34</v>
      </c>
      <c r="E29" s="18" t="n">
        <v>1700.69</v>
      </c>
      <c r="F29" s="18" t="n">
        <v>1337.93</v>
      </c>
      <c r="G29" s="19">
        <f>HYPERLINK("https://www.tradingview.com/chart/?symbol=NSE:LAURUSLABS","Chart 📈")</f>
        <v/>
      </c>
    </row>
    <row r="30" ht="16" customHeight="1">
      <c r="A30" s="20" t="inlineStr">
        <is>
          <t>NIFTY PHARMA</t>
        </is>
      </c>
      <c r="B30" s="17" t="inlineStr">
        <is>
          <t>SUNPHARMA</t>
        </is>
      </c>
      <c r="C30" s="18" t="n">
        <v>1984.8</v>
      </c>
      <c r="D30" s="18" t="n">
        <v>1926.22</v>
      </c>
      <c r="E30" s="18" t="n">
        <v>1910.93</v>
      </c>
      <c r="F30" s="18" t="n">
        <v>1803.22</v>
      </c>
      <c r="G30" s="19">
        <f>HYPERLINK("https://www.tradingview.com/chart/?symbol=NSE:SUNPHARMA","Chart 📈")</f>
        <v/>
      </c>
    </row>
    <row r="31" ht="16" customHeight="1">
      <c r="A31" s="20" t="inlineStr">
        <is>
          <t>NIFTY PHARMA</t>
        </is>
      </c>
      <c r="B31" s="17" t="inlineStr">
        <is>
          <t>TORNTPHARM</t>
        </is>
      </c>
      <c r="C31" s="18" t="n">
        <v>5066</v>
      </c>
      <c r="D31" s="18" t="n">
        <v>4955.41</v>
      </c>
      <c r="E31" s="18" t="n">
        <v>4855.67</v>
      </c>
      <c r="F31" s="18" t="n">
        <v>4393</v>
      </c>
      <c r="G31" s="19">
        <f>HYPERLINK("https://www.tradingview.com/chart/?symbol=NSE:TORNTPHARM","Chart 📈")</f>
        <v/>
      </c>
    </row>
    <row r="32" ht="16" customHeight="1">
      <c r="A32" s="20" t="inlineStr">
        <is>
          <t>NIFTY PHARMA</t>
        </is>
      </c>
      <c r="B32" s="17" t="inlineStr">
        <is>
          <t>ZYDUSLIFE</t>
        </is>
      </c>
      <c r="C32" s="18" t="n">
        <v>1161.3</v>
      </c>
      <c r="D32" s="18" t="n">
        <v>1141.7</v>
      </c>
      <c r="E32" s="18" t="n">
        <v>1120.51</v>
      </c>
      <c r="F32" s="18" t="n">
        <v>1032.22</v>
      </c>
      <c r="G32" s="19">
        <f>HYPERLINK("https://www.tradingview.com/chart/?symbol=NSE:ZYDUSLIFE","Chart 📈")</f>
        <v/>
      </c>
    </row>
    <row r="33" ht="16" customHeight="1">
      <c r="A33" s="12" t="inlineStr">
        <is>
          <t>NIFTY MIDSMALL IT &amp; TELECOM</t>
        </is>
      </c>
      <c r="B33" s="13" t="inlineStr">
        <is>
          <t>COFORGE</t>
        </is>
      </c>
      <c r="C33" s="14" t="n">
        <v>1985.3</v>
      </c>
      <c r="D33" s="14" t="n">
        <v>1838.05</v>
      </c>
      <c r="E33" s="14" t="n">
        <v>1693.24</v>
      </c>
      <c r="F33" s="14" t="n">
        <v>1554.05</v>
      </c>
      <c r="G33" s="15">
        <f>HYPERLINK("https://www.tradingview.com/chart/?symbol=NSE:COFORGE","Chart 📈")</f>
        <v/>
      </c>
    </row>
    <row r="34" ht="16" customHeight="1">
      <c r="A34" s="16" t="inlineStr">
        <is>
          <t>NIFTY MIDSMALL IT &amp; TELECOM</t>
        </is>
      </c>
      <c r="B34" s="13" t="inlineStr">
        <is>
          <t>CYIENT</t>
        </is>
      </c>
      <c r="C34" s="14" t="n">
        <v>1174.8</v>
      </c>
      <c r="D34" s="14" t="n">
        <v>954.35</v>
      </c>
      <c r="E34" s="14" t="n">
        <v>906.86</v>
      </c>
      <c r="F34" s="14" t="n">
        <v>956.8200000000001</v>
      </c>
      <c r="G34" s="15">
        <f>HYPERLINK("https://www.tradingview.com/chart/?symbol=NSE:CYIENT","Chart 📈")</f>
        <v/>
      </c>
    </row>
    <row r="35" ht="16" customHeight="1">
      <c r="A35" s="16" t="inlineStr">
        <is>
          <t>NIFTY MIDSMALL IT &amp; TELECOM</t>
        </is>
      </c>
      <c r="B35" s="13" t="inlineStr">
        <is>
          <t>HFCL</t>
        </is>
      </c>
      <c r="C35" s="14" t="n">
        <v>249.09</v>
      </c>
      <c r="D35" s="14" t="n">
        <v>228.9</v>
      </c>
      <c r="E35" s="14" t="n">
        <v>211.73</v>
      </c>
      <c r="F35" s="14" t="n">
        <v>147.79</v>
      </c>
      <c r="G35" s="15">
        <f>HYPERLINK("https://www.tradingview.com/chart/?symbol=NSE:HFCL","Chart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IDEA</t>
        </is>
      </c>
      <c r="C36" s="14" t="n">
        <v>14.33</v>
      </c>
      <c r="D36" s="14" t="n">
        <v>14.08</v>
      </c>
      <c r="E36" s="14" t="n">
        <v>13.72</v>
      </c>
      <c r="F36" s="14" t="n">
        <v>11.89</v>
      </c>
      <c r="G36" s="15">
        <f>HYPERLINK("https://www.tradingview.com/chart/?symbol=NSE:IDEA","Chart 📈")</f>
        <v/>
      </c>
    </row>
    <row r="37" ht="16" customHeight="1">
      <c r="A37" s="16" t="inlineStr">
        <is>
          <t>NIFTY MIDSMALL IT &amp; TELECOM</t>
        </is>
      </c>
      <c r="B37" s="13" t="inlineStr">
        <is>
          <t>INDUSTOWER</t>
        </is>
      </c>
      <c r="C37" s="14" t="n">
        <v>388.8</v>
      </c>
      <c r="D37" s="14" t="n">
        <v>378.83</v>
      </c>
      <c r="E37" s="14" t="n">
        <v>382.3</v>
      </c>
      <c r="F37" s="14" t="n">
        <v>387.98</v>
      </c>
      <c r="G37" s="15">
        <f>HYPERLINK("https://www.tradingview.com/chart/?symbol=NSE:INDUSTOWER","Chart 📈")</f>
        <v/>
      </c>
    </row>
    <row r="38" ht="16" customHeight="1">
      <c r="A38" s="16" t="inlineStr">
        <is>
          <t>NIFTY MIDSMALL IT &amp; TELECOM</t>
        </is>
      </c>
      <c r="B38" s="13" t="inlineStr">
        <is>
          <t>OFSS</t>
        </is>
      </c>
      <c r="C38" s="14" t="n">
        <v>12540</v>
      </c>
      <c r="D38" s="14" t="n">
        <v>11775.97</v>
      </c>
      <c r="E38" s="14" t="n">
        <v>11266.28</v>
      </c>
      <c r="F38" s="14" t="n">
        <v>9494.01</v>
      </c>
      <c r="G38" s="15">
        <f>HYPERLINK("https://www.tradingview.com/chart/?symbol=NSE:OFSS","Chart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PERSISTENT</t>
        </is>
      </c>
      <c r="C39" s="14" t="n">
        <v>5594.5</v>
      </c>
      <c r="D39" s="14" t="n">
        <v>5561.86</v>
      </c>
      <c r="E39" s="14" t="n">
        <v>5356.94</v>
      </c>
      <c r="F39" s="14" t="n">
        <v>5302.23</v>
      </c>
      <c r="G39" s="15">
        <f>HYPERLINK("https://www.tradingview.com/chart/?symbol=NSE:PERSISTENT","Chart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TATATECH</t>
        </is>
      </c>
      <c r="C40" s="14" t="n">
        <v>831.05</v>
      </c>
      <c r="D40" s="14" t="n">
        <v>810.67</v>
      </c>
      <c r="E40" s="14" t="n">
        <v>775.52</v>
      </c>
      <c r="F40" s="14" t="n">
        <v>693.5599999999999</v>
      </c>
      <c r="G40" s="15">
        <f>HYPERLINK("https://www.tradingview.com/chart/?symbol=NSE:TATATECH","Chart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TEJASNET</t>
        </is>
      </c>
      <c r="C41" s="14" t="n">
        <v>559.75</v>
      </c>
      <c r="D41" s="14" t="n">
        <v>524.95</v>
      </c>
      <c r="E41" s="14" t="n">
        <v>527.9400000000001</v>
      </c>
      <c r="F41" s="14" t="n">
        <v>506.2</v>
      </c>
      <c r="G41" s="15">
        <f>HYPERLINK("https://www.tradingview.com/chart/?symbol=NSE:TEJASNET","Chart 📈")</f>
        <v/>
      </c>
    </row>
    <row r="42" ht="16" customHeight="1">
      <c r="A42" s="8" t="inlineStr">
        <is>
          <t>NIFTY FINANCIAL SERVICES</t>
        </is>
      </c>
      <c r="B42" s="17" t="inlineStr">
        <is>
          <t>AXISBANK</t>
        </is>
      </c>
      <c r="C42" s="18" t="n">
        <v>1300</v>
      </c>
      <c r="D42" s="18" t="n">
        <v>1252.9</v>
      </c>
      <c r="E42" s="18" t="n">
        <v>1266.55</v>
      </c>
      <c r="F42" s="18" t="n">
        <v>1260.75</v>
      </c>
      <c r="G42" s="19">
        <f>HYPERLINK("https://www.tradingview.com/chart/?symbol=NSE:AXISBANK","Chart 📈")</f>
        <v/>
      </c>
    </row>
    <row r="43" ht="16" customHeight="1">
      <c r="A43" s="20" t="inlineStr">
        <is>
          <t>NIFTY FINANCIAL SERVICES</t>
        </is>
      </c>
      <c r="B43" s="17" t="inlineStr">
        <is>
          <t>BAJAJFINSV</t>
        </is>
      </c>
      <c r="C43" s="18" t="n">
        <v>2021</v>
      </c>
      <c r="D43" s="18" t="n">
        <v>2002.73</v>
      </c>
      <c r="E43" s="18" t="n">
        <v>1945.93</v>
      </c>
      <c r="F43" s="18" t="n">
        <v>1903.21</v>
      </c>
      <c r="G43" s="19">
        <f>HYPERLINK("https://www.tradingview.com/chart/?symbol=NSE:BAJAJFINSV","Chart 📈")</f>
        <v/>
      </c>
    </row>
    <row r="44" ht="16" customHeight="1">
      <c r="A44" s="20" t="inlineStr">
        <is>
          <t>NIFTY FINANCIAL SERVICES</t>
        </is>
      </c>
      <c r="B44" s="17" t="inlineStr">
        <is>
          <t>HDFCAMC</t>
        </is>
      </c>
      <c r="C44" s="18" t="n">
        <v>2622.1</v>
      </c>
      <c r="D44" s="18" t="n">
        <v>2588.47</v>
      </c>
      <c r="E44" s="18" t="n">
        <v>2594.26</v>
      </c>
      <c r="F44" s="18" t="n">
        <v>2608.74</v>
      </c>
      <c r="G44" s="19">
        <f>HYPERLINK("https://www.tradingview.com/chart/?symbol=NSE:HDFCAMC","Chart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ICICIBANK</t>
        </is>
      </c>
      <c r="C45" s="18" t="n">
        <v>1454</v>
      </c>
      <c r="D45" s="18" t="n">
        <v>1425.43</v>
      </c>
      <c r="E45" s="18" t="n">
        <v>1402.41</v>
      </c>
      <c r="F45" s="18" t="n">
        <v>1359.57</v>
      </c>
      <c r="G45" s="19">
        <f>HYPERLINK("https://www.tradingview.com/chart/?symbol=NSE:ICICIBANK","Chart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KOTAKBANK</t>
        </is>
      </c>
      <c r="C46" s="18" t="n">
        <v>419.4</v>
      </c>
      <c r="D46" s="18" t="n">
        <v>402.94</v>
      </c>
      <c r="E46" s="18" t="n">
        <v>395.49</v>
      </c>
      <c r="F46" s="18" t="n">
        <v>395.5</v>
      </c>
      <c r="G46" s="19">
        <f>HYPERLINK("https://www.tradingview.com/chart/?symbol=NSE:KOTAKBANK","Chart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LICHSGFIN</t>
        </is>
      </c>
      <c r="C47" s="18" t="n">
        <v>538.4</v>
      </c>
      <c r="D47" s="18" t="n">
        <v>512.51</v>
      </c>
      <c r="E47" s="18" t="n">
        <v>517.95</v>
      </c>
      <c r="F47" s="18" t="n">
        <v>527.65</v>
      </c>
      <c r="G47" s="19">
        <f>HYPERLINK("https://www.tradingview.com/chart/?symbol=NSE:LICHSGFIN","Chart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MCX</t>
        </is>
      </c>
      <c r="C48" s="18" t="n">
        <v>3400</v>
      </c>
      <c r="D48" s="18" t="n">
        <v>3084.49</v>
      </c>
      <c r="E48" s="18" t="n">
        <v>2944.69</v>
      </c>
      <c r="F48" s="18" t="n">
        <v>2613.28</v>
      </c>
      <c r="G48" s="19">
        <f>HYPERLINK("https://www.tradingview.com/chart/?symbol=NSE:MCX","Chart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SHRIRAMFIN</t>
        </is>
      </c>
      <c r="C49" s="18" t="n">
        <v>1109.9</v>
      </c>
      <c r="D49" s="18" t="n">
        <v>1105.33</v>
      </c>
      <c r="E49" s="18" t="n">
        <v>1071.17</v>
      </c>
      <c r="F49" s="18" t="n">
        <v>960.13</v>
      </c>
      <c r="G49" s="19">
        <f>HYPERLINK("https://www.tradingview.com/chart/?symbol=NSE:SHRIRAMFIN","Chart 📈")</f>
        <v/>
      </c>
    </row>
    <row r="50" ht="16" customHeight="1">
      <c r="A50" s="12" t="inlineStr">
        <is>
          <t>NIFTY CONSUMER DURABLES</t>
        </is>
      </c>
      <c r="B50" s="13" t="inlineStr">
        <is>
          <t>AMBER</t>
        </is>
      </c>
      <c r="C50" s="14" t="n">
        <v>7620</v>
      </c>
      <c r="D50" s="14" t="n">
        <v>7432.84</v>
      </c>
      <c r="E50" s="14" t="n">
        <v>7467.5</v>
      </c>
      <c r="F50" s="14" t="n">
        <v>7447.07</v>
      </c>
      <c r="G50" s="15">
        <f>HYPERLINK("https://www.tradingview.com/chart/?symbol=NSE:AMBER","Chart 📈")</f>
        <v/>
      </c>
    </row>
    <row r="51" ht="16" customHeight="1">
      <c r="A51" s="16" t="inlineStr">
        <is>
          <t>NIFTY CONSUMER DURABLES</t>
        </is>
      </c>
      <c r="B51" s="13" t="inlineStr">
        <is>
          <t>DIXON</t>
        </is>
      </c>
      <c r="C51" s="14" t="n">
        <v>14850</v>
      </c>
      <c r="D51" s="14" t="n">
        <v>14427.94</v>
      </c>
      <c r="E51" s="14" t="n">
        <v>13763.77</v>
      </c>
      <c r="F51" s="14" t="n">
        <v>13156.76</v>
      </c>
      <c r="G51" s="15">
        <f>HYPERLINK("https://www.tradingview.com/chart/?symbol=NSE:DIXON","Chart 📈")</f>
        <v/>
      </c>
    </row>
    <row r="52" ht="16" customHeight="1">
      <c r="A52" s="16" t="inlineStr">
        <is>
          <t>NIFTY CONSUMER DURABLES</t>
        </is>
      </c>
      <c r="B52" s="13" t="inlineStr">
        <is>
          <t>KAJARIACER</t>
        </is>
      </c>
      <c r="C52" s="14" t="n">
        <v>1244.8</v>
      </c>
      <c r="D52" s="14" t="n">
        <v>1217.23</v>
      </c>
      <c r="E52" s="14" t="n">
        <v>1199.63</v>
      </c>
      <c r="F52" s="14" t="n">
        <v>1136.1</v>
      </c>
      <c r="G52" s="15">
        <f>HYPERLINK("https://www.tradingview.com/chart/?symbol=NSE:KAJARIACER","Chart 📈")</f>
        <v/>
      </c>
    </row>
    <row r="53" ht="16" customHeight="1">
      <c r="A53" s="16" t="inlineStr">
        <is>
          <t>NIFTY CONSUMER DURABLES</t>
        </is>
      </c>
      <c r="B53" s="13" t="inlineStr">
        <is>
          <t>KALYANKJIL</t>
        </is>
      </c>
      <c r="C53" s="14" t="n">
        <v>601</v>
      </c>
      <c r="D53" s="14" t="n">
        <v>599.47</v>
      </c>
      <c r="E53" s="14" t="n">
        <v>548.1799999999999</v>
      </c>
      <c r="F53" s="14" t="n">
        <v>473.61</v>
      </c>
      <c r="G53" s="15">
        <f>HYPERLINK("https://www.tradingview.com/chart/?symbol=NSE:KALYANKJIL","Chart 📈")</f>
        <v/>
      </c>
    </row>
    <row r="54" ht="16" customHeight="1">
      <c r="A54" s="16" t="inlineStr">
        <is>
          <t>NIFTY CONSUMER DURABLES</t>
        </is>
      </c>
      <c r="B54" s="13" t="inlineStr">
        <is>
          <t>TITAN</t>
        </is>
      </c>
      <c r="C54" s="14" t="n">
        <v>5102.4</v>
      </c>
      <c r="D54" s="14" t="n">
        <v>5037.18</v>
      </c>
      <c r="E54" s="14" t="n">
        <v>4823.53</v>
      </c>
      <c r="F54" s="14" t="n">
        <v>4346.09</v>
      </c>
      <c r="G54" s="15">
        <f>HYPERLINK("https://www.tradingview.com/chart/?symbol=NSE:TITAN","Chart 📈")</f>
        <v/>
      </c>
    </row>
    <row r="55" ht="16" customHeight="1">
      <c r="A55" s="16" t="inlineStr">
        <is>
          <t>NIFTY CONSUMER DURABLES</t>
        </is>
      </c>
      <c r="B55" s="13" t="inlineStr">
        <is>
          <t>VGUARD</t>
        </is>
      </c>
      <c r="C55" s="14" t="n">
        <v>346.35</v>
      </c>
      <c r="D55" s="14" t="n">
        <v>328.47</v>
      </c>
      <c r="E55" s="14" t="n">
        <v>319.16</v>
      </c>
      <c r="F55" s="14" t="n">
        <v>322.9</v>
      </c>
      <c r="G55" s="15">
        <f>HYPERLINK("https://www.tradingview.com/chart/?symbol=NSE:VGUARD","Chart 📈")</f>
        <v/>
      </c>
    </row>
    <row r="56" ht="16" customHeight="1">
      <c r="A56" s="8" t="inlineStr">
        <is>
          <t>NIFTY PSU BANK</t>
        </is>
      </c>
      <c r="B56" s="17" t="inlineStr">
        <is>
          <t>INDIANB</t>
        </is>
      </c>
      <c r="C56" s="18" t="n">
        <v>898.75</v>
      </c>
      <c r="D56" s="18" t="n">
        <v>875.37</v>
      </c>
      <c r="E56" s="18" t="n">
        <v>859.41</v>
      </c>
      <c r="F56" s="18" t="n">
        <v>830.59</v>
      </c>
      <c r="G56" s="19">
        <f>HYPERLINK("https://www.tradingview.com/chart/?symbol=NSE:INDIANB","Chart 📈")</f>
        <v/>
      </c>
    </row>
    <row r="57" ht="16" customHeight="1">
      <c r="A57" s="20" t="inlineStr">
        <is>
          <t>NIFTY PSU BANK</t>
        </is>
      </c>
      <c r="B57" s="17" t="inlineStr">
        <is>
          <t>MAHABANK</t>
        </is>
      </c>
      <c r="C57" s="18" t="n">
        <v>82.06999999999999</v>
      </c>
      <c r="D57" s="18" t="n">
        <v>81.63</v>
      </c>
      <c r="E57" s="18" t="n">
        <v>81.33</v>
      </c>
      <c r="F57" s="18" t="n">
        <v>73.25</v>
      </c>
      <c r="G57" s="19">
        <f>HYPERLINK("https://www.tradingview.com/chart/?symbol=NSE:MAHABANK","Chart 📈")</f>
        <v/>
      </c>
    </row>
    <row r="58" ht="16" customHeight="1">
      <c r="A58" s="20" t="inlineStr">
        <is>
          <t>NIFTY PSU BANK</t>
        </is>
      </c>
      <c r="B58" s="17" t="inlineStr">
        <is>
          <t>SBIN</t>
        </is>
      </c>
      <c r="C58" s="18" t="n">
        <v>1060</v>
      </c>
      <c r="D58" s="18" t="n">
        <v>1051.51</v>
      </c>
      <c r="E58" s="18" t="n">
        <v>1042.86</v>
      </c>
      <c r="F58" s="18" t="n">
        <v>1005.24</v>
      </c>
      <c r="G58" s="19">
        <f>HYPERLINK("https://www.tradingview.com/chart/?symbol=NSE:SBIN","Chart 📈")</f>
        <v/>
      </c>
    </row>
    <row r="59" ht="16" customHeight="1">
      <c r="A59" s="20" t="inlineStr">
        <is>
          <t>NIFTY PSU BANK</t>
        </is>
      </c>
      <c r="B59" s="17" t="inlineStr">
        <is>
          <t>UNIONBANK</t>
        </is>
      </c>
      <c r="C59" s="18" t="n">
        <v>188.63</v>
      </c>
      <c r="D59" s="18" t="n">
        <v>183.35</v>
      </c>
      <c r="E59" s="18" t="n">
        <v>177.28</v>
      </c>
      <c r="F59" s="18" t="n">
        <v>165.22</v>
      </c>
      <c r="G59" s="19">
        <f>HYPERLINK("https://www.tradingview.com/chart/?symbol=NSE:UNIONBANK","Chart 📈")</f>
        <v/>
      </c>
    </row>
    <row r="60" ht="16" customHeight="1">
      <c r="A60" s="12" t="inlineStr">
        <is>
          <t>NIFTY OIL &amp; GAS</t>
        </is>
      </c>
      <c r="B60" s="13" t="inlineStr">
        <is>
          <t>BPCL</t>
        </is>
      </c>
      <c r="C60" s="14" t="n">
        <v>324.05</v>
      </c>
      <c r="D60" s="14" t="n">
        <v>316.61</v>
      </c>
      <c r="E60" s="14" t="n">
        <v>314.07</v>
      </c>
      <c r="F60" s="14" t="n">
        <v>316.9</v>
      </c>
      <c r="G60" s="15">
        <f>HYPERLINK("https://www.tradingview.com/chart/?symbol=NSE:BPCL","Chart 📈")</f>
        <v/>
      </c>
    </row>
    <row r="61" ht="16" customHeight="1">
      <c r="A61" s="16" t="inlineStr">
        <is>
          <t>NIFTY OIL &amp; GAS</t>
        </is>
      </c>
      <c r="B61" s="13" t="inlineStr">
        <is>
          <t>GAIL</t>
        </is>
      </c>
      <c r="C61" s="14" t="n">
        <v>177.5</v>
      </c>
      <c r="D61" s="14" t="n">
        <v>174.01</v>
      </c>
      <c r="E61" s="14" t="n">
        <v>172.81</v>
      </c>
      <c r="F61" s="14" t="n">
        <v>168.04</v>
      </c>
      <c r="G61" s="15">
        <f>HYPERLINK("https://www.tradingview.com/chart/?symbol=NSE:GAIL","Chart 📈")</f>
        <v/>
      </c>
    </row>
    <row r="62" ht="16" customHeight="1">
      <c r="A62" s="16" t="inlineStr">
        <is>
          <t>NIFTY OIL &amp; GAS</t>
        </is>
      </c>
      <c r="B62" s="13" t="inlineStr">
        <is>
          <t>OIL</t>
        </is>
      </c>
      <c r="C62" s="14" t="n">
        <v>483.15</v>
      </c>
      <c r="D62" s="14" t="n">
        <v>468.89</v>
      </c>
      <c r="E62" s="14" t="n">
        <v>459.21</v>
      </c>
      <c r="F62" s="14" t="n">
        <v>448.07</v>
      </c>
      <c r="G62" s="15">
        <f>HYPERLINK("https://www.tradingview.com/chart/?symbol=NSE:OIL","Chart 📈")</f>
        <v/>
      </c>
    </row>
    <row r="63" ht="16" customHeight="1">
      <c r="A63" s="16" t="inlineStr">
        <is>
          <t>NIFTY OIL &amp; GAS</t>
        </is>
      </c>
      <c r="B63" s="13" t="inlineStr">
        <is>
          <t>PETRONET</t>
        </is>
      </c>
      <c r="C63" s="14" t="n">
        <v>300.6</v>
      </c>
      <c r="D63" s="14" t="n">
        <v>287.8</v>
      </c>
      <c r="E63" s="14" t="n">
        <v>282.62</v>
      </c>
      <c r="F63" s="14" t="n">
        <v>276.95</v>
      </c>
      <c r="G63" s="15">
        <f>HYPERLINK("https://www.tradingview.com/chart/?symbol=NSE:PETRONET","Chart 📈")</f>
        <v/>
      </c>
    </row>
    <row r="64" ht="16" customHeight="1">
      <c r="A64" s="8" t="inlineStr">
        <is>
          <t>NIFTY IT</t>
        </is>
      </c>
      <c r="B64" s="17" t="inlineStr">
        <is>
          <t>HCLTECH</t>
        </is>
      </c>
      <c r="C64" s="18" t="n">
        <v>1312.2</v>
      </c>
      <c r="D64" s="18" t="n">
        <v>1312.03</v>
      </c>
      <c r="E64" s="18" t="n">
        <v>1275.04</v>
      </c>
      <c r="F64" s="18" t="n">
        <v>1310.33</v>
      </c>
      <c r="G64" s="19">
        <f>HYPERLINK("https://www.tradingview.com/chart/?symbol=NSE:HCLTECH","Chart 📈")</f>
        <v/>
      </c>
    </row>
    <row r="65" ht="16" customHeight="1">
      <c r="A65" s="20" t="inlineStr">
        <is>
          <t>NIFTY IT</t>
        </is>
      </c>
      <c r="B65" s="17" t="inlineStr">
        <is>
          <t>TECHM</t>
        </is>
      </c>
      <c r="C65" s="18" t="n">
        <v>1628</v>
      </c>
      <c r="D65" s="18" t="n">
        <v>1602.71</v>
      </c>
      <c r="E65" s="18" t="n">
        <v>1559.7</v>
      </c>
      <c r="F65" s="18" t="n">
        <v>1485.83</v>
      </c>
      <c r="G65" s="19">
        <f>HYPERLINK("https://www.tradingview.com/chart/?symbol=NSE:TECHM","Chart 📈")</f>
        <v/>
      </c>
    </row>
    <row r="66" ht="16" customHeight="1">
      <c r="A66" s="12" t="inlineStr">
        <is>
          <t>NIFTY MEDIA</t>
        </is>
      </c>
      <c r="B66" s="13" t="inlineStr">
        <is>
          <t>NAZARA</t>
        </is>
      </c>
      <c r="C66" s="14" t="n">
        <v>372.7</v>
      </c>
      <c r="D66" s="14" t="n">
        <v>351.89</v>
      </c>
      <c r="E66" s="14" t="n">
        <v>330.81</v>
      </c>
      <c r="F66" s="14" t="n">
        <v>293.75</v>
      </c>
      <c r="G66" s="15">
        <f>HYPERLINK("https://www.tradingview.com/chart/?symbol=NSE:NAZARA","Chart 📈")</f>
        <v/>
      </c>
    </row>
    <row r="67" ht="16" customHeight="1">
      <c r="A67" s="16" t="inlineStr">
        <is>
          <t>NIFTY MEDIA</t>
        </is>
      </c>
      <c r="B67" s="13" t="inlineStr">
        <is>
          <t>PVRINOX</t>
        </is>
      </c>
      <c r="C67" s="14" t="n">
        <v>1207.7</v>
      </c>
      <c r="D67" s="14" t="n">
        <v>1189.45</v>
      </c>
      <c r="E67" s="14" t="n">
        <v>1121.48</v>
      </c>
      <c r="F67" s="14" t="n">
        <v>1059.04</v>
      </c>
      <c r="G67" s="15">
        <f>HYPERLINK("https://www.tradingview.com/chart/?symbol=NSE:PVRINOX","Chart 📈")</f>
        <v/>
      </c>
    </row>
    <row r="68" ht="16" customHeight="1">
      <c r="A68" s="8" t="inlineStr">
        <is>
          <t>NIFTY BANK</t>
        </is>
      </c>
      <c r="B68" s="17" t="inlineStr">
        <is>
          <t>AUBANK</t>
        </is>
      </c>
      <c r="C68" s="18" t="n">
        <v>1086.2</v>
      </c>
      <c r="D68" s="18" t="n">
        <v>1082.87</v>
      </c>
      <c r="E68" s="18" t="n">
        <v>1058.04</v>
      </c>
      <c r="F68" s="18" t="n">
        <v>979.29</v>
      </c>
      <c r="G68" s="19">
        <f>HYPERLINK("https://www.tradingview.com/chart/?symbol=NSE:AUBANK","Chart 📈")</f>
        <v/>
      </c>
    </row>
    <row r="69" ht="16" customHeight="1">
      <c r="A69" s="20" t="inlineStr">
        <is>
          <t>NIFTY BANK</t>
        </is>
      </c>
      <c r="B69" s="17" t="inlineStr">
        <is>
          <t>FEDERALBNK</t>
        </is>
      </c>
      <c r="C69" s="18" t="n">
        <v>356.7</v>
      </c>
      <c r="D69" s="18" t="n">
        <v>351.7</v>
      </c>
      <c r="E69" s="18" t="n">
        <v>342.28</v>
      </c>
      <c r="F69" s="18" t="n">
        <v>297.11</v>
      </c>
      <c r="G69" s="19">
        <f>HYPERLINK("https://www.tradingview.com/chart/?symbol=NSE:FEDERALBNK","Chart 📈")</f>
        <v/>
      </c>
    </row>
    <row r="70" ht="16" customHeight="1">
      <c r="A70" s="20" t="inlineStr">
        <is>
          <t>NIFTY BANK</t>
        </is>
      </c>
      <c r="B70" s="17" t="inlineStr">
        <is>
          <t>IDFCFIRSTB</t>
        </is>
      </c>
      <c r="C70" s="18" t="n">
        <v>85.97</v>
      </c>
      <c r="D70" s="18" t="n">
        <v>84.66</v>
      </c>
      <c r="E70" s="18" t="n">
        <v>82.18000000000001</v>
      </c>
      <c r="F70" s="18" t="n">
        <v>76.67</v>
      </c>
      <c r="G70" s="19">
        <f>HYPERLINK("https://www.tradingview.com/chart/?symbol=NSE:IDFCFIRSTB","Chart 📈")</f>
        <v/>
      </c>
    </row>
    <row r="71" ht="16" customHeight="1">
      <c r="A71" s="20" t="inlineStr">
        <is>
          <t>NIFTY BANK</t>
        </is>
      </c>
      <c r="B71" s="17" t="inlineStr">
        <is>
          <t>INDUSINDBK</t>
        </is>
      </c>
      <c r="C71" s="18" t="n">
        <v>1016.6</v>
      </c>
      <c r="D71" s="18" t="n">
        <v>1010.69</v>
      </c>
      <c r="E71" s="18" t="n">
        <v>994.27</v>
      </c>
      <c r="F71" s="18" t="n">
        <v>914.96</v>
      </c>
      <c r="G71" s="19">
        <f>HYPERLINK("https://www.tradingview.com/chart/?symbol=NSE:INDUSINDBK","Chart 📈")</f>
        <v/>
      </c>
    </row>
    <row r="72" ht="16" customHeight="1">
      <c r="A72" s="12" t="inlineStr">
        <is>
          <t>NIFTY FMCG</t>
        </is>
      </c>
      <c r="B72" s="13" t="inlineStr">
        <is>
          <t>BALRAMCHIN</t>
        </is>
      </c>
      <c r="C72" s="14" t="n">
        <v>693.5</v>
      </c>
      <c r="D72" s="14" t="n">
        <v>658.9400000000001</v>
      </c>
      <c r="E72" s="14" t="n">
        <v>621.75</v>
      </c>
      <c r="F72" s="14" t="n">
        <v>546.15</v>
      </c>
      <c r="G72" s="15">
        <f>HYPERLINK("https://www.tradingview.com/chart/?symbol=NSE:BALRAMCHIN","Chart 📈")</f>
        <v/>
      </c>
    </row>
    <row r="73" ht="16" customHeight="1">
      <c r="A73" s="16" t="inlineStr">
        <is>
          <t>NIFTY FMCG</t>
        </is>
      </c>
      <c r="B73" s="13" t="inlineStr">
        <is>
          <t>NESTLEIND</t>
        </is>
      </c>
      <c r="C73" s="14" t="n">
        <v>1496.5</v>
      </c>
      <c r="D73" s="14" t="n">
        <v>1476.72</v>
      </c>
      <c r="E73" s="14" t="n">
        <v>1461.69</v>
      </c>
      <c r="F73" s="14" t="n">
        <v>1363.13</v>
      </c>
      <c r="G73" s="15">
        <f>HYPERLINK("https://www.tradingview.com/chart/?symbol=NSE:NESTLEIND","Chart 📈")</f>
        <v/>
      </c>
    </row>
    <row r="74" ht="16" customHeight="1">
      <c r="A74" s="8" t="inlineStr">
        <is>
          <t>NIFTY ENERGY</t>
        </is>
      </c>
      <c r="B74" s="17" t="inlineStr">
        <is>
          <t>ABB</t>
        </is>
      </c>
      <c r="C74" s="18" t="n">
        <v>7638.5</v>
      </c>
      <c r="D74" s="18" t="n">
        <v>7518.45</v>
      </c>
      <c r="E74" s="18" t="n">
        <v>7331.66</v>
      </c>
      <c r="F74" s="18" t="n">
        <v>6512.46</v>
      </c>
      <c r="G74" s="19">
        <f>HYPERLINK("https://www.tradingview.com/chart/?symbol=NSE:ABB","Chart 📈")</f>
        <v/>
      </c>
    </row>
    <row r="75" ht="16" customHeight="1">
      <c r="A75" s="20" t="inlineStr">
        <is>
          <t>NIFTY ENERGY</t>
        </is>
      </c>
      <c r="B75" s="17" t="inlineStr">
        <is>
          <t>BHEL</t>
        </is>
      </c>
      <c r="C75" s="18" t="n">
        <v>442.65</v>
      </c>
      <c r="D75" s="18" t="n">
        <v>420.26</v>
      </c>
      <c r="E75" s="18" t="n">
        <v>409.26</v>
      </c>
      <c r="F75" s="18" t="n">
        <v>345.16</v>
      </c>
      <c r="G75" s="19">
        <f>HYPERLINK("https://www.tradingview.com/chart/?symbol=NSE:BHEL","Chart 📈")</f>
        <v/>
      </c>
    </row>
    <row r="76" ht="16" customHeight="1">
      <c r="A76" s="20" t="inlineStr">
        <is>
          <t>NIFTY ENERGY</t>
        </is>
      </c>
      <c r="B76" s="17" t="inlineStr">
        <is>
          <t>CGPOWER</t>
        </is>
      </c>
      <c r="C76" s="18" t="n">
        <v>916</v>
      </c>
      <c r="D76" s="18" t="n">
        <v>884.86</v>
      </c>
      <c r="E76" s="18" t="n">
        <v>885.15</v>
      </c>
      <c r="F76" s="18" t="n">
        <v>814.62</v>
      </c>
      <c r="G76" s="19">
        <f>HYPERLINK("https://www.tradingview.com/chart/?symbol=NSE:CGPOWER","Chart 📈")</f>
        <v/>
      </c>
    </row>
    <row r="77" ht="16" customHeight="1">
      <c r="A77" s="20" t="inlineStr">
        <is>
          <t>NIFTY ENERGY</t>
        </is>
      </c>
      <c r="B77" s="17" t="inlineStr">
        <is>
          <t>GVT&amp;D</t>
        </is>
      </c>
      <c r="C77" s="18" t="n">
        <v>4445.2</v>
      </c>
      <c r="D77" s="18" t="n">
        <v>4301.63</v>
      </c>
      <c r="E77" s="18" t="n">
        <v>4394.08</v>
      </c>
      <c r="F77" s="18" t="n">
        <v>4033.81</v>
      </c>
      <c r="G77" s="19">
        <f>HYPERLINK("https://www.tradingview.com/chart/?symbol=NSE:GVT&amp;D","Chart 📈")</f>
        <v/>
      </c>
    </row>
    <row r="78" ht="16" customHeight="1">
      <c r="A78" s="20" t="inlineStr">
        <is>
          <t>NIFTY ENERGY</t>
        </is>
      </c>
      <c r="B78" s="17" t="inlineStr">
        <is>
          <t>POWERINDIA</t>
        </is>
      </c>
      <c r="C78" s="18" t="n">
        <v>33760</v>
      </c>
      <c r="D78" s="18" t="n">
        <v>33723.62</v>
      </c>
      <c r="E78" s="18" t="n">
        <v>33406.39</v>
      </c>
      <c r="F78" s="18" t="n">
        <v>28900.9</v>
      </c>
      <c r="G78" s="19">
        <f>HYPERLINK("https://www.tradingview.com/chart/?symbol=NSE:POWERINDIA","Chart 📈")</f>
        <v/>
      </c>
    </row>
    <row r="79" ht="16" customHeight="1">
      <c r="A79" s="20" t="inlineStr">
        <is>
          <t>NIFTY ENERGY</t>
        </is>
      </c>
      <c r="B79" s="17" t="inlineStr">
        <is>
          <t>SIEMENS</t>
        </is>
      </c>
      <c r="C79" s="18" t="n">
        <v>4030</v>
      </c>
      <c r="D79" s="18" t="n">
        <v>3963.9</v>
      </c>
      <c r="E79" s="18" t="n">
        <v>3827.23</v>
      </c>
      <c r="F79" s="18" t="n">
        <v>3520.47</v>
      </c>
      <c r="G79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2026-08-31T18:03:34Z</dcterms:created>
  <dcterms:modified xmlns:dcterms="http://purl.org/dc/terms/" xmlns:xsi="http://www.w3.org/2001/XMLSchema-instance" xsi:type="dcterms:W3CDTF">2026-08-31T18:03:34Z</dcterms:modified>
</cp:coreProperties>
</file>