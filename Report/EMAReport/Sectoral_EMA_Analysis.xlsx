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15-Oct-2026  15:41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15</v>
      </c>
      <c r="D4" s="5" t="n">
        <v>12</v>
      </c>
      <c r="E4" s="5" t="n">
        <v>11</v>
      </c>
      <c r="F4" s="6" t="n">
        <v>0.75</v>
      </c>
      <c r="G4" s="6" t="n">
        <v>0.6</v>
      </c>
      <c r="H4" s="6" t="n">
        <v>0.55</v>
      </c>
      <c r="I4" s="7" t="n">
        <v>0.6333</v>
      </c>
    </row>
    <row r="5" ht="17" customHeight="1">
      <c r="A5" s="8" t="inlineStr">
        <is>
          <t>NIFTY MEDIA</t>
        </is>
      </c>
      <c r="B5" s="9" t="n">
        <v>10</v>
      </c>
      <c r="C5" s="9" t="n">
        <v>6</v>
      </c>
      <c r="D5" s="9" t="n">
        <v>4</v>
      </c>
      <c r="E5" s="9" t="n">
        <v>5</v>
      </c>
      <c r="F5" s="10" t="n">
        <v>0.6</v>
      </c>
      <c r="G5" s="10" t="n">
        <v>0.4</v>
      </c>
      <c r="H5" s="10" t="n">
        <v>0.5</v>
      </c>
      <c r="I5" s="11" t="n">
        <v>0.5</v>
      </c>
    </row>
    <row r="6" ht="17" customHeight="1">
      <c r="A6" s="4" t="inlineStr">
        <is>
          <t>NIFTY IT</t>
        </is>
      </c>
      <c r="B6" s="5" t="n">
        <v>10</v>
      </c>
      <c r="C6" s="5" t="n">
        <v>5</v>
      </c>
      <c r="D6" s="5" t="n">
        <v>5</v>
      </c>
      <c r="E6" s="5" t="n">
        <v>2</v>
      </c>
      <c r="F6" s="6" t="n">
        <v>0.5</v>
      </c>
      <c r="G6" s="6" t="n">
        <v>0.5</v>
      </c>
      <c r="H6" s="6" t="n">
        <v>0.2</v>
      </c>
      <c r="I6" s="7" t="n">
        <v>0.4</v>
      </c>
    </row>
    <row r="7" ht="17" customHeight="1">
      <c r="A7" s="8" t="inlineStr">
        <is>
          <t>NIFTY FINANCIAL SERVICES</t>
        </is>
      </c>
      <c r="B7" s="9" t="n">
        <v>20</v>
      </c>
      <c r="C7" s="9" t="n">
        <v>9</v>
      </c>
      <c r="D7" s="9" t="n">
        <v>7</v>
      </c>
      <c r="E7" s="9" t="n">
        <v>5</v>
      </c>
      <c r="F7" s="10" t="n">
        <v>0.45</v>
      </c>
      <c r="G7" s="10" t="n">
        <v>0.35</v>
      </c>
      <c r="H7" s="10" t="n">
        <v>0.25</v>
      </c>
      <c r="I7" s="11" t="n">
        <v>0.35</v>
      </c>
    </row>
    <row r="8" ht="17" customHeight="1">
      <c r="A8" s="4" t="inlineStr">
        <is>
          <t>NIFTY PHARMA</t>
        </is>
      </c>
      <c r="B8" s="5" t="n">
        <v>20</v>
      </c>
      <c r="C8" s="5" t="n">
        <v>3</v>
      </c>
      <c r="D8" s="5" t="n">
        <v>7</v>
      </c>
      <c r="E8" s="5" t="n">
        <v>10</v>
      </c>
      <c r="F8" s="6" t="n">
        <v>0.15</v>
      </c>
      <c r="G8" s="6" t="n">
        <v>0.35</v>
      </c>
      <c r="H8" s="6" t="n">
        <v>0.5</v>
      </c>
      <c r="I8" s="7" t="n">
        <v>0.3333</v>
      </c>
    </row>
    <row r="9" ht="17" customHeight="1">
      <c r="A9" s="8" t="inlineStr">
        <is>
          <t>NIFTY REALTY</t>
        </is>
      </c>
      <c r="B9" s="9" t="n">
        <v>10</v>
      </c>
      <c r="C9" s="9" t="n">
        <v>4</v>
      </c>
      <c r="D9" s="9" t="n">
        <v>3</v>
      </c>
      <c r="E9" s="9" t="n">
        <v>3</v>
      </c>
      <c r="F9" s="10" t="n">
        <v>0.4</v>
      </c>
      <c r="G9" s="10" t="n">
        <v>0.3</v>
      </c>
      <c r="H9" s="10" t="n">
        <v>0.3</v>
      </c>
      <c r="I9" s="11" t="n">
        <v>0.3333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6</v>
      </c>
      <c r="D10" s="5" t="n">
        <v>3</v>
      </c>
      <c r="E10" s="5" t="n">
        <v>4</v>
      </c>
      <c r="F10" s="6" t="n">
        <v>0.4</v>
      </c>
      <c r="G10" s="6" t="n">
        <v>0.2</v>
      </c>
      <c r="H10" s="6" t="n">
        <v>0.267</v>
      </c>
      <c r="I10" s="7" t="n">
        <v>0.289</v>
      </c>
    </row>
    <row r="11" ht="17" customHeight="1">
      <c r="A11" s="8" t="inlineStr">
        <is>
          <t>NIFTY FMCG</t>
        </is>
      </c>
      <c r="B11" s="9" t="n">
        <v>15</v>
      </c>
      <c r="C11" s="9" t="n">
        <v>7</v>
      </c>
      <c r="D11" s="9" t="n">
        <v>2</v>
      </c>
      <c r="E11" s="9" t="n">
        <v>3</v>
      </c>
      <c r="F11" s="10" t="n">
        <v>0.467</v>
      </c>
      <c r="G11" s="10" t="n">
        <v>0.133</v>
      </c>
      <c r="H11" s="10" t="n">
        <v>0.2</v>
      </c>
      <c r="I11" s="11" t="n">
        <v>0.2667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4</v>
      </c>
      <c r="D12" s="5" t="n">
        <v>3</v>
      </c>
      <c r="E12" s="5" t="n">
        <v>3</v>
      </c>
      <c r="F12" s="6" t="n">
        <v>0.267</v>
      </c>
      <c r="G12" s="6" t="n">
        <v>0.2</v>
      </c>
      <c r="H12" s="6" t="n">
        <v>0.2</v>
      </c>
      <c r="I12" s="7" t="n">
        <v>0.2223</v>
      </c>
    </row>
    <row r="13" ht="17" customHeight="1">
      <c r="A13" s="8" t="inlineStr">
        <is>
          <t>NIFTY AUTO</t>
        </is>
      </c>
      <c r="B13" s="9" t="n">
        <v>15</v>
      </c>
      <c r="C13" s="9" t="n">
        <v>4</v>
      </c>
      <c r="D13" s="9" t="n">
        <v>1</v>
      </c>
      <c r="E13" s="9" t="n">
        <v>4</v>
      </c>
      <c r="F13" s="10" t="n">
        <v>0.267</v>
      </c>
      <c r="G13" s="10" t="n">
        <v>0.067</v>
      </c>
      <c r="H13" s="10" t="n">
        <v>0.267</v>
      </c>
      <c r="I13" s="11" t="n">
        <v>0.2003</v>
      </c>
    </row>
    <row r="14" ht="17" customHeight="1">
      <c r="A14" s="4" t="inlineStr">
        <is>
          <t>NIFTY PSU BANK</t>
        </is>
      </c>
      <c r="B14" s="5" t="n">
        <v>12</v>
      </c>
      <c r="C14" s="5" t="n">
        <v>2</v>
      </c>
      <c r="D14" s="5" t="n">
        <v>1</v>
      </c>
      <c r="E14" s="5" t="n">
        <v>3</v>
      </c>
      <c r="F14" s="6" t="n">
        <v>0.167</v>
      </c>
      <c r="G14" s="6" t="n">
        <v>0.083</v>
      </c>
      <c r="H14" s="6" t="n">
        <v>0.25</v>
      </c>
      <c r="I14" s="7" t="n">
        <v>0.1667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1</v>
      </c>
      <c r="E15" s="9" t="n">
        <v>3</v>
      </c>
      <c r="F15" s="10" t="n">
        <v>0.083</v>
      </c>
      <c r="G15" s="10" t="n">
        <v>0.083</v>
      </c>
      <c r="H15" s="10" t="n">
        <v>0.25</v>
      </c>
      <c r="I15" s="11" t="n">
        <v>0.1387</v>
      </c>
    </row>
    <row r="16" ht="17" customHeight="1">
      <c r="A16" s="4" t="inlineStr">
        <is>
          <t>NIFTY ENERGY</t>
        </is>
      </c>
      <c r="B16" s="5" t="n">
        <v>40</v>
      </c>
      <c r="C16" s="5" t="n">
        <v>6</v>
      </c>
      <c r="D16" s="5" t="n">
        <v>2</v>
      </c>
      <c r="E16" s="5" t="n">
        <v>8</v>
      </c>
      <c r="F16" s="6" t="n">
        <v>0.15</v>
      </c>
      <c r="G16" s="6" t="n">
        <v>0.05</v>
      </c>
      <c r="H16" s="6" t="n">
        <v>0.2</v>
      </c>
      <c r="I16" s="7" t="n">
        <v>0.1333</v>
      </c>
    </row>
    <row r="17" ht="17" customHeight="1">
      <c r="A17" s="8" t="inlineStr">
        <is>
          <t>NIFTY METAL</t>
        </is>
      </c>
      <c r="B17" s="9" t="n">
        <v>15</v>
      </c>
      <c r="C17" s="9" t="n">
        <v>0</v>
      </c>
      <c r="D17" s="9" t="n">
        <v>2</v>
      </c>
      <c r="E17" s="9" t="n">
        <v>4</v>
      </c>
      <c r="F17" s="10" t="n">
        <v>0</v>
      </c>
      <c r="G17" s="10" t="n">
        <v>0.133</v>
      </c>
      <c r="H17" s="10" t="n">
        <v>0.267</v>
      </c>
      <c r="I17" s="11" t="n">
        <v>0.1333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1934.3</v>
      </c>
      <c r="D3" s="14" t="n">
        <v>1851.95</v>
      </c>
      <c r="E3" s="14" t="n">
        <v>1802.46</v>
      </c>
      <c r="F3" s="14" t="n">
        <v>1637.64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1189.8</v>
      </c>
      <c r="D4" s="14" t="n">
        <v>1119.46</v>
      </c>
      <c r="E4" s="14" t="n">
        <v>1052.56</v>
      </c>
      <c r="F4" s="14" t="n">
        <v>992.41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HFCL</t>
        </is>
      </c>
      <c r="C5" s="14" t="n">
        <v>243.82</v>
      </c>
      <c r="D5" s="14" t="n">
        <v>243.74</v>
      </c>
      <c r="E5" s="14" t="n">
        <v>230.4</v>
      </c>
      <c r="F5" s="14" t="n">
        <v>170.53</v>
      </c>
      <c r="G5" s="15">
        <f>HYPERLINK("https://www.tradingview.com/chart/?symbol=NSE:HFCL","Chart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LTTS</t>
        </is>
      </c>
      <c r="C6" s="14" t="n">
        <v>3686.8</v>
      </c>
      <c r="D6" s="14" t="n">
        <v>3358.9</v>
      </c>
      <c r="E6" s="14" t="n">
        <v>3379.7</v>
      </c>
      <c r="F6" s="14" t="n">
        <v>3534.62</v>
      </c>
      <c r="G6" s="15">
        <f>HYPERLINK("https://www.tradingview.com/chart/?symbol=NSE:LTTS","Chart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MPHASIS</t>
        </is>
      </c>
      <c r="C7" s="14" t="n">
        <v>2453.2</v>
      </c>
      <c r="D7" s="14" t="n">
        <v>2340.12</v>
      </c>
      <c r="E7" s="14" t="n">
        <v>2340.67</v>
      </c>
      <c r="F7" s="14" t="n">
        <v>2381.45</v>
      </c>
      <c r="G7" s="15">
        <f>HYPERLINK("https://www.tradingview.com/chart/?symbol=NSE:MPHASIS","Chart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5840</v>
      </c>
      <c r="D8" s="14" t="n">
        <v>5601.55</v>
      </c>
      <c r="E8" s="14" t="n">
        <v>5492.09</v>
      </c>
      <c r="F8" s="14" t="n">
        <v>5397.2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549.85</v>
      </c>
      <c r="D9" s="14" t="n">
        <v>513.11</v>
      </c>
      <c r="E9" s="14" t="n">
        <v>522.66</v>
      </c>
      <c r="F9" s="14" t="n">
        <v>538.99</v>
      </c>
      <c r="G9" s="15">
        <f>HYPERLINK("https://www.tradingview.com/chart/?symbol=NSE:TANLA","Chart 📈")</f>
        <v/>
      </c>
    </row>
    <row r="10" ht="16" customHeight="1">
      <c r="A10" s="16" t="inlineStr">
        <is>
          <t>NIFTY MIDSMALL IT &amp; TELECOM</t>
        </is>
      </c>
      <c r="B10" s="13" t="inlineStr">
        <is>
          <t>TATACOMM</t>
        </is>
      </c>
      <c r="C10" s="14" t="n">
        <v>1763.7</v>
      </c>
      <c r="D10" s="14" t="n">
        <v>1691.9</v>
      </c>
      <c r="E10" s="14" t="n">
        <v>1717.17</v>
      </c>
      <c r="F10" s="14" t="n">
        <v>1743.78</v>
      </c>
      <c r="G10" s="15">
        <f>HYPERLINK("https://www.tradingview.com/chart/?symbol=NSE:TATACOMM","Chart 📈")</f>
        <v/>
      </c>
    </row>
    <row r="11" ht="16" customHeight="1">
      <c r="A11" s="8" t="inlineStr">
        <is>
          <t>NIFTY MEDIA</t>
        </is>
      </c>
      <c r="B11" s="17" t="inlineStr">
        <is>
          <t>NAZARA</t>
        </is>
      </c>
      <c r="C11" s="18" t="n">
        <v>406.7</v>
      </c>
      <c r="D11" s="18" t="n">
        <v>384.96</v>
      </c>
      <c r="E11" s="18" t="n">
        <v>366.37</v>
      </c>
      <c r="F11" s="18" t="n">
        <v>314.05</v>
      </c>
      <c r="G11" s="19">
        <f>HYPERLINK("https://www.tradingview.com/chart/?symbol=NSE:NAZARA","Chart 📈")</f>
        <v/>
      </c>
    </row>
    <row r="12" ht="16" customHeight="1">
      <c r="A12" s="20" t="inlineStr">
        <is>
          <t>NIFTY MEDIA</t>
        </is>
      </c>
      <c r="B12" s="17" t="inlineStr">
        <is>
          <t>PVRINOX</t>
        </is>
      </c>
      <c r="C12" s="18" t="n">
        <v>1381.9</v>
      </c>
      <c r="D12" s="18" t="n">
        <v>1305.95</v>
      </c>
      <c r="E12" s="18" t="n">
        <v>1239.69</v>
      </c>
      <c r="F12" s="18" t="n">
        <v>1115.85</v>
      </c>
      <c r="G12" s="19">
        <f>HYPERLINK("https://www.tradingview.com/chart/?symbol=NSE:PVRINOX","Chart 📈")</f>
        <v/>
      </c>
    </row>
    <row r="13" ht="16" customHeight="1">
      <c r="A13" s="20" t="inlineStr">
        <is>
          <t>NIFTY MEDIA</t>
        </is>
      </c>
      <c r="B13" s="17" t="inlineStr">
        <is>
          <t>SUNTV</t>
        </is>
      </c>
      <c r="C13" s="18" t="n">
        <v>629.15</v>
      </c>
      <c r="D13" s="18" t="n">
        <v>582.83</v>
      </c>
      <c r="E13" s="18" t="n">
        <v>536.39</v>
      </c>
      <c r="F13" s="18" t="n">
        <v>530.13</v>
      </c>
      <c r="G13" s="19">
        <f>HYPERLINK("https://www.tradingview.com/chart/?symbol=NSE:SUNTV","Chart 📈")</f>
        <v/>
      </c>
    </row>
    <row r="14" ht="16" customHeight="1">
      <c r="A14" s="20" t="inlineStr">
        <is>
          <t>NIFTY MEDIA</t>
        </is>
      </c>
      <c r="B14" s="17" t="inlineStr">
        <is>
          <t>TIPSMUSIC</t>
        </is>
      </c>
      <c r="C14" s="18" t="n">
        <v>684.4</v>
      </c>
      <c r="D14" s="18" t="n">
        <v>664.8200000000001</v>
      </c>
      <c r="E14" s="18" t="n">
        <v>660.0599999999999</v>
      </c>
      <c r="F14" s="18" t="n">
        <v>619.38</v>
      </c>
      <c r="G14" s="19">
        <f>HYPERLINK("https://www.tradingview.com/chart/?symbol=NSE:TIPSMUSIC","Chart 📈")</f>
        <v/>
      </c>
    </row>
    <row r="15" ht="16" customHeight="1">
      <c r="A15" s="12" t="inlineStr">
        <is>
          <t>NIFTY IT</t>
        </is>
      </c>
      <c r="B15" s="13" t="inlineStr">
        <is>
          <t>HCLTECH</t>
        </is>
      </c>
      <c r="C15" s="14" t="n">
        <v>1360</v>
      </c>
      <c r="D15" s="14" t="n">
        <v>1260.48</v>
      </c>
      <c r="E15" s="14" t="n">
        <v>1261.33</v>
      </c>
      <c r="F15" s="14" t="n">
        <v>1301.5</v>
      </c>
      <c r="G15" s="15">
        <f>HYPERLINK("https://www.tradingview.com/chart/?symbol=NSE:HCLTECH","Chart 📈")</f>
        <v/>
      </c>
    </row>
    <row r="16" ht="16" customHeight="1">
      <c r="A16" s="16" t="inlineStr">
        <is>
          <t>NIFTY IT</t>
        </is>
      </c>
      <c r="B16" s="13" t="inlineStr">
        <is>
          <t>TECHM</t>
        </is>
      </c>
      <c r="C16" s="14" t="n">
        <v>1650</v>
      </c>
      <c r="D16" s="14" t="n">
        <v>1545.04</v>
      </c>
      <c r="E16" s="14" t="n">
        <v>1548.9</v>
      </c>
      <c r="F16" s="14" t="n">
        <v>1499.61</v>
      </c>
      <c r="G16" s="15">
        <f>HYPERLINK("https://www.tradingview.com/chart/?symbol=NSE:TECHM","Chart 📈")</f>
        <v/>
      </c>
    </row>
    <row r="17" ht="16" customHeight="1">
      <c r="A17" s="8" t="inlineStr">
        <is>
          <t>NIFTY FINANCIAL SERVICES</t>
        </is>
      </c>
      <c r="B17" s="17" t="inlineStr">
        <is>
          <t>AXISBANK</t>
        </is>
      </c>
      <c r="C17" s="18" t="n">
        <v>1288</v>
      </c>
      <c r="D17" s="18" t="n">
        <v>1248.05</v>
      </c>
      <c r="E17" s="18" t="n">
        <v>1250.56</v>
      </c>
      <c r="F17" s="18" t="n">
        <v>1262.77</v>
      </c>
      <c r="G17" s="19">
        <f>HYPERLINK("https://www.tradingview.com/chart/?symbol=NSE:AXISBANK","Chart 📈")</f>
        <v/>
      </c>
    </row>
    <row r="18" ht="16" customHeight="1">
      <c r="A18" s="20" t="inlineStr">
        <is>
          <t>NIFTY FINANCIAL SERVICES</t>
        </is>
      </c>
      <c r="B18" s="17" t="inlineStr">
        <is>
          <t>ICICIBANK</t>
        </is>
      </c>
      <c r="C18" s="18" t="n">
        <v>1389.4</v>
      </c>
      <c r="D18" s="18" t="n">
        <v>1352.17</v>
      </c>
      <c r="E18" s="18" t="n">
        <v>1367.23</v>
      </c>
      <c r="F18" s="18" t="n">
        <v>1358.97</v>
      </c>
      <c r="G18" s="19">
        <f>HYPERLINK("https://www.tradingview.com/chart/?symbol=NSE:ICICIBANK","Chart 📈")</f>
        <v/>
      </c>
    </row>
    <row r="19" ht="16" customHeight="1">
      <c r="A19" s="20" t="inlineStr">
        <is>
          <t>NIFTY FINANCIAL SERVICES</t>
        </is>
      </c>
      <c r="B19" s="17" t="inlineStr">
        <is>
          <t>KOTAKBANK</t>
        </is>
      </c>
      <c r="C19" s="18" t="n">
        <v>447.95</v>
      </c>
      <c r="D19" s="18" t="n">
        <v>427.58</v>
      </c>
      <c r="E19" s="18" t="n">
        <v>415.72</v>
      </c>
      <c r="F19" s="18" t="n">
        <v>405.32</v>
      </c>
      <c r="G19" s="19">
        <f>HYPERLINK("https://www.tradingview.com/chart/?symbol=NSE:KOTAKBANK","Chart 📈")</f>
        <v/>
      </c>
    </row>
    <row r="20" ht="16" customHeight="1">
      <c r="A20" s="12" t="inlineStr">
        <is>
          <t>NIFTY PHARMA</t>
        </is>
      </c>
      <c r="B20" s="13" t="inlineStr">
        <is>
          <t>GLAND</t>
        </is>
      </c>
      <c r="C20" s="14" t="n">
        <v>3066.3</v>
      </c>
      <c r="D20" s="14" t="n">
        <v>2996.85</v>
      </c>
      <c r="E20" s="14" t="n">
        <v>2868.41</v>
      </c>
      <c r="F20" s="14" t="n">
        <v>2381.95</v>
      </c>
      <c r="G20" s="15">
        <f>HYPERLINK("https://www.tradingview.com/chart/?symbol=NSE:GLAND","Chart 📈")</f>
        <v/>
      </c>
    </row>
    <row r="21" ht="16" customHeight="1">
      <c r="A21" s="16" t="inlineStr">
        <is>
          <t>NIFTY PHARMA</t>
        </is>
      </c>
      <c r="B21" s="13" t="inlineStr">
        <is>
          <t>LAURUSLABS</t>
        </is>
      </c>
      <c r="C21" s="14" t="n">
        <v>2018.5</v>
      </c>
      <c r="D21" s="14" t="n">
        <v>2003.95</v>
      </c>
      <c r="E21" s="14" t="n">
        <v>1907.2</v>
      </c>
      <c r="F21" s="14" t="n">
        <v>1506.27</v>
      </c>
      <c r="G21" s="15">
        <f>HYPERLINK("https://www.tradingview.com/chart/?symbol=NSE:LAURUSLABS","Chart 📈")</f>
        <v/>
      </c>
    </row>
    <row r="22" ht="16" customHeight="1">
      <c r="A22" s="8" t="inlineStr">
        <is>
          <t>NIFTY REALTY</t>
        </is>
      </c>
      <c r="B22" s="17" t="inlineStr">
        <is>
          <t>DLF</t>
        </is>
      </c>
      <c r="C22" s="18" t="n">
        <v>670.5</v>
      </c>
      <c r="D22" s="18" t="n">
        <v>660.87</v>
      </c>
      <c r="E22" s="18" t="n">
        <v>657.9299999999999</v>
      </c>
      <c r="F22" s="18" t="n">
        <v>647.92</v>
      </c>
      <c r="G22" s="19">
        <f>HYPERLINK("https://www.tradingview.com/chart/?symbol=NSE:DLF","Chart 📈")</f>
        <v/>
      </c>
    </row>
    <row r="23" ht="16" customHeight="1">
      <c r="A23" s="20" t="inlineStr">
        <is>
          <t>NIFTY REALTY</t>
        </is>
      </c>
      <c r="B23" s="17" t="inlineStr">
        <is>
          <t>PHOENIXLTD</t>
        </is>
      </c>
      <c r="C23" s="18" t="n">
        <v>1917.2</v>
      </c>
      <c r="D23" s="18" t="n">
        <v>1892.21</v>
      </c>
      <c r="E23" s="18" t="n">
        <v>1905.46</v>
      </c>
      <c r="F23" s="18" t="n">
        <v>1842.12</v>
      </c>
      <c r="G23" s="19">
        <f>HYPERLINK("https://www.tradingview.com/chart/?symbol=NSE:PHOENIXLTD","Chart 📈")</f>
        <v/>
      </c>
    </row>
    <row r="24" ht="16" customHeight="1">
      <c r="A24" s="20" t="inlineStr">
        <is>
          <t>NIFTY REALTY</t>
        </is>
      </c>
      <c r="B24" s="17" t="inlineStr">
        <is>
          <t>RAYMOND</t>
        </is>
      </c>
      <c r="C24" s="18" t="n">
        <v>1142.1</v>
      </c>
      <c r="D24" s="18" t="n">
        <v>1124.58</v>
      </c>
      <c r="E24" s="18" t="n">
        <v>953.97</v>
      </c>
      <c r="F24" s="18" t="n">
        <v>673.74</v>
      </c>
      <c r="G24" s="19">
        <f>HYPERLINK("https://www.tradingview.com/chart/?symbol=NSE:RAYMOND","Chart 📈")</f>
        <v/>
      </c>
    </row>
    <row r="25" ht="16" customHeight="1">
      <c r="A25" s="12" t="inlineStr">
        <is>
          <t>NIFTY OIL &amp; GAS</t>
        </is>
      </c>
      <c r="B25" s="13" t="inlineStr">
        <is>
          <t>AEGISLOG</t>
        </is>
      </c>
      <c r="C25" s="14" t="n">
        <v>1410.6</v>
      </c>
      <c r="D25" s="14" t="n">
        <v>1392.59</v>
      </c>
      <c r="E25" s="14" t="n">
        <v>1337.18</v>
      </c>
      <c r="F25" s="14" t="n">
        <v>1067.55</v>
      </c>
      <c r="G25" s="15">
        <f>HYPERLINK("https://www.tradingview.com/chart/?symbol=NSE:AEGISLOG","Chart 📈")</f>
        <v/>
      </c>
    </row>
    <row r="26" ht="16" customHeight="1">
      <c r="A26" s="16" t="inlineStr">
        <is>
          <t>NIFTY OIL &amp; GAS</t>
        </is>
      </c>
      <c r="B26" s="13" t="inlineStr">
        <is>
          <t>CASTROLIND</t>
        </is>
      </c>
      <c r="C26" s="14" t="n">
        <v>196.23</v>
      </c>
      <c r="D26" s="14" t="n">
        <v>195.46</v>
      </c>
      <c r="E26" s="14" t="n">
        <v>191.41</v>
      </c>
      <c r="F26" s="14" t="n">
        <v>184.24</v>
      </c>
      <c r="G26" s="15">
        <f>HYPERLINK("https://www.tradingview.com/chart/?symbol=NSE:CASTROLIND","Chart 📈")</f>
        <v/>
      </c>
    </row>
    <row r="27" ht="16" customHeight="1">
      <c r="A27" s="16" t="inlineStr">
        <is>
          <t>NIFTY OIL &amp; GAS</t>
        </is>
      </c>
      <c r="B27" s="13" t="inlineStr">
        <is>
          <t>PETRONET</t>
        </is>
      </c>
      <c r="C27" s="14" t="n">
        <v>295.2</v>
      </c>
      <c r="D27" s="14" t="n">
        <v>290.02</v>
      </c>
      <c r="E27" s="14" t="n">
        <v>287.2</v>
      </c>
      <c r="F27" s="14" t="n">
        <v>280.21</v>
      </c>
      <c r="G27" s="15">
        <f>HYPERLINK("https://www.tradingview.com/chart/?symbol=NSE:PETRONET","Chart 📈")</f>
        <v/>
      </c>
    </row>
    <row r="28" ht="16" customHeight="1">
      <c r="A28" s="8" t="inlineStr">
        <is>
          <t>NIFTY FMCG</t>
        </is>
      </c>
      <c r="B28" s="17" t="inlineStr">
        <is>
          <t>BALRAMCHIN</t>
        </is>
      </c>
      <c r="C28" s="18" t="n">
        <v>726</v>
      </c>
      <c r="D28" s="18" t="n">
        <v>690.8099999999999</v>
      </c>
      <c r="E28" s="18" t="n">
        <v>668.6799999999999</v>
      </c>
      <c r="F28" s="18" t="n">
        <v>578.1</v>
      </c>
      <c r="G28" s="19">
        <f>HYPERLINK("https://www.tradingview.com/chart/?symbol=NSE:BALRAMCHIN","Chart 📈")</f>
        <v/>
      </c>
    </row>
    <row r="29" ht="16" customHeight="1">
      <c r="A29" s="12" t="inlineStr">
        <is>
          <t>NIFTY AUTO</t>
        </is>
      </c>
      <c r="B29" s="13" t="inlineStr">
        <is>
          <t>MOTHERSON</t>
        </is>
      </c>
      <c r="C29" s="14" t="n">
        <v>160.66</v>
      </c>
      <c r="D29" s="14" t="n">
        <v>159.64</v>
      </c>
      <c r="E29" s="14" t="n">
        <v>158.96</v>
      </c>
      <c r="F29" s="14" t="n">
        <v>141.44</v>
      </c>
      <c r="G29" s="15">
        <f>HYPERLINK("https://www.tradingview.com/chart/?symbol=NSE:MOTHERSON","Chart 📈")</f>
        <v/>
      </c>
    </row>
    <row r="30" ht="16" customHeight="1">
      <c r="A30" s="8" t="inlineStr">
        <is>
          <t>NIFTY BANK</t>
        </is>
      </c>
      <c r="B30" s="17" t="inlineStr">
        <is>
          <t>FEDERALBNK</t>
        </is>
      </c>
      <c r="C30" s="18" t="n">
        <v>335</v>
      </c>
      <c r="D30" s="18" t="n">
        <v>329.67</v>
      </c>
      <c r="E30" s="18" t="n">
        <v>334.03</v>
      </c>
      <c r="F30" s="18" t="n">
        <v>307.89</v>
      </c>
      <c r="G30" s="19">
        <f>HYPERLINK("https://www.tradingview.com/chart/?symbol=NSE:FEDERALBNK","Chart 📈")</f>
        <v/>
      </c>
    </row>
    <row r="31" ht="16" customHeight="1">
      <c r="A31" s="12" t="inlineStr">
        <is>
          <t>NIFTY ENERGY</t>
        </is>
      </c>
      <c r="B31" s="13" t="inlineStr">
        <is>
          <t>BHEL</t>
        </is>
      </c>
      <c r="C31" s="14" t="n">
        <v>434.25</v>
      </c>
      <c r="D31" s="14" t="n">
        <v>433.63</v>
      </c>
      <c r="E31" s="14" t="n">
        <v>424.51</v>
      </c>
      <c r="F31" s="14" t="n">
        <v>367.91</v>
      </c>
      <c r="G31" s="15">
        <f>HYPERLINK("https://www.tradingview.com/chart/?symbol=NSE:BHEL","Chart 📈")</f>
        <v/>
      </c>
    </row>
    <row r="32" ht="16" customHeight="1">
      <c r="A32" s="16" t="inlineStr">
        <is>
          <t>NIFTY ENERGY</t>
        </is>
      </c>
      <c r="B32" s="13" t="inlineStr">
        <is>
          <t>COALINDIA</t>
        </is>
      </c>
      <c r="C32" s="14" t="n">
        <v>418</v>
      </c>
      <c r="D32" s="14" t="n">
        <v>415.84</v>
      </c>
      <c r="E32" s="14" t="n">
        <v>416.09</v>
      </c>
      <c r="F32" s="14" t="n">
        <v>414.03</v>
      </c>
      <c r="G32" s="15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2026-10-15T15:41:00Z</dcterms:created>
  <dcterms:modified xmlns:dcterms="http://purl.org/dc/terms/" xmlns:xsi="http://www.w3.org/2001/XMLSchema-instance" xsi:type="dcterms:W3CDTF">2026-10-15T15:41:00Z</dcterms:modified>
</cp:coreProperties>
</file>