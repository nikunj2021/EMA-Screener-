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22-Jun-2026  16:01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12</v>
      </c>
      <c r="D4" s="5" t="n">
        <v>12</v>
      </c>
      <c r="E4" s="5" t="n">
        <v>9</v>
      </c>
      <c r="F4" s="6" t="n">
        <v>1</v>
      </c>
      <c r="G4" s="6" t="n">
        <v>1</v>
      </c>
      <c r="H4" s="6" t="n">
        <v>0.75</v>
      </c>
      <c r="I4" s="7" t="n">
        <v>0.9167000000000001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10</v>
      </c>
      <c r="E5" s="9" t="n">
        <v>5</v>
      </c>
      <c r="F5" s="10" t="n">
        <v>1</v>
      </c>
      <c r="G5" s="10" t="n">
        <v>1</v>
      </c>
      <c r="H5" s="10" t="n">
        <v>0.5</v>
      </c>
      <c r="I5" s="11" t="n">
        <v>0.8332999999999999</v>
      </c>
    </row>
    <row r="6" ht="17" customHeight="1">
      <c r="A6" s="4" t="inlineStr">
        <is>
          <t>NIFTY PHARMA</t>
        </is>
      </c>
      <c r="B6" s="5" t="n">
        <v>20</v>
      </c>
      <c r="C6" s="5" t="n">
        <v>16</v>
      </c>
      <c r="D6" s="5" t="n">
        <v>16</v>
      </c>
      <c r="E6" s="5" t="n">
        <v>17</v>
      </c>
      <c r="F6" s="6" t="n">
        <v>0.8</v>
      </c>
      <c r="G6" s="6" t="n">
        <v>0.8</v>
      </c>
      <c r="H6" s="6" t="n">
        <v>0.85</v>
      </c>
      <c r="I6" s="7" t="n">
        <v>0.8167</v>
      </c>
    </row>
    <row r="7" ht="17" customHeight="1">
      <c r="A7" s="8" t="inlineStr">
        <is>
          <t>NIFTY MEDIA</t>
        </is>
      </c>
      <c r="B7" s="9" t="n">
        <v>10</v>
      </c>
      <c r="C7" s="9" t="n">
        <v>9</v>
      </c>
      <c r="D7" s="9" t="n">
        <v>7</v>
      </c>
      <c r="E7" s="9" t="n">
        <v>6</v>
      </c>
      <c r="F7" s="10" t="n">
        <v>0.9</v>
      </c>
      <c r="G7" s="10" t="n">
        <v>0.7</v>
      </c>
      <c r="H7" s="10" t="n">
        <v>0.6</v>
      </c>
      <c r="I7" s="11" t="n">
        <v>0.7333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17</v>
      </c>
      <c r="D8" s="5" t="n">
        <v>14</v>
      </c>
      <c r="E8" s="5" t="n">
        <v>12</v>
      </c>
      <c r="F8" s="6" t="n">
        <v>0.85</v>
      </c>
      <c r="G8" s="6" t="n">
        <v>0.7</v>
      </c>
      <c r="H8" s="6" t="n">
        <v>0.6</v>
      </c>
      <c r="I8" s="7" t="n">
        <v>0.7167</v>
      </c>
    </row>
    <row r="9" ht="17" customHeight="1">
      <c r="A9" s="8" t="inlineStr">
        <is>
          <t>NIFTY AUTO</t>
        </is>
      </c>
      <c r="B9" s="9" t="n">
        <v>15</v>
      </c>
      <c r="C9" s="9" t="n">
        <v>12</v>
      </c>
      <c r="D9" s="9" t="n">
        <v>11</v>
      </c>
      <c r="E9" s="9" t="n">
        <v>7</v>
      </c>
      <c r="F9" s="10" t="n">
        <v>0.8</v>
      </c>
      <c r="G9" s="10" t="n">
        <v>0.733</v>
      </c>
      <c r="H9" s="10" t="n">
        <v>0.467</v>
      </c>
      <c r="I9" s="11" t="n">
        <v>0.6667000000000001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15</v>
      </c>
      <c r="D10" s="5" t="n">
        <v>9</v>
      </c>
      <c r="E10" s="5" t="n">
        <v>5</v>
      </c>
      <c r="F10" s="6" t="n">
        <v>1</v>
      </c>
      <c r="G10" s="6" t="n">
        <v>0.6</v>
      </c>
      <c r="H10" s="6" t="n">
        <v>0.333</v>
      </c>
      <c r="I10" s="7" t="n">
        <v>0.6443000000000001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11</v>
      </c>
      <c r="D11" s="9" t="n">
        <v>10</v>
      </c>
      <c r="E11" s="9" t="n">
        <v>6</v>
      </c>
      <c r="F11" s="10" t="n">
        <v>0.733</v>
      </c>
      <c r="G11" s="10" t="n">
        <v>0.667</v>
      </c>
      <c r="H11" s="10" t="n">
        <v>0.4</v>
      </c>
      <c r="I11" s="11" t="n">
        <v>0.6</v>
      </c>
    </row>
    <row r="12" ht="17" customHeight="1">
      <c r="A12" s="4" t="inlineStr">
        <is>
          <t>NIFTY ENERGY</t>
        </is>
      </c>
      <c r="B12" s="5" t="n">
        <v>40</v>
      </c>
      <c r="C12" s="5" t="n">
        <v>21</v>
      </c>
      <c r="D12" s="5" t="n">
        <v>20</v>
      </c>
      <c r="E12" s="5" t="n">
        <v>22</v>
      </c>
      <c r="F12" s="6" t="n">
        <v>0.525</v>
      </c>
      <c r="G12" s="6" t="n">
        <v>0.5</v>
      </c>
      <c r="H12" s="6" t="n">
        <v>0.55</v>
      </c>
      <c r="I12" s="7" t="n">
        <v>0.525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12</v>
      </c>
      <c r="D13" s="9" t="n">
        <v>11</v>
      </c>
      <c r="E13" s="9" t="n">
        <v>6</v>
      </c>
      <c r="F13" s="10" t="n">
        <v>0.6</v>
      </c>
      <c r="G13" s="10" t="n">
        <v>0.55</v>
      </c>
      <c r="H13" s="10" t="n">
        <v>0.3</v>
      </c>
      <c r="I13" s="11" t="n">
        <v>0.4833</v>
      </c>
    </row>
    <row r="14" ht="17" customHeight="1">
      <c r="A14" s="4" t="inlineStr">
        <is>
          <t>NIFTY METAL</t>
        </is>
      </c>
      <c r="B14" s="5" t="n">
        <v>15</v>
      </c>
      <c r="C14" s="5" t="n">
        <v>5</v>
      </c>
      <c r="D14" s="5" t="n">
        <v>4</v>
      </c>
      <c r="E14" s="5" t="n">
        <v>12</v>
      </c>
      <c r="F14" s="6" t="n">
        <v>0.333</v>
      </c>
      <c r="G14" s="6" t="n">
        <v>0.267</v>
      </c>
      <c r="H14" s="6" t="n">
        <v>0.8</v>
      </c>
      <c r="I14" s="7" t="n">
        <v>0.4667</v>
      </c>
    </row>
    <row r="15" ht="17" customHeight="1">
      <c r="A15" s="8" t="inlineStr">
        <is>
          <t>NIFTY FMCG</t>
        </is>
      </c>
      <c r="B15" s="9" t="n">
        <v>15</v>
      </c>
      <c r="C15" s="9" t="n">
        <v>4</v>
      </c>
      <c r="D15" s="9" t="n">
        <v>6</v>
      </c>
      <c r="E15" s="9" t="n">
        <v>6</v>
      </c>
      <c r="F15" s="10" t="n">
        <v>0.267</v>
      </c>
      <c r="G15" s="10" t="n">
        <v>0.4</v>
      </c>
      <c r="H15" s="10" t="n">
        <v>0.4</v>
      </c>
      <c r="I15" s="11" t="n">
        <v>0.3557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286.05</v>
      </c>
      <c r="D3" s="14" t="n">
        <v>271.47</v>
      </c>
      <c r="E3" s="14" t="n">
        <v>267.55</v>
      </c>
      <c r="F3" s="14" t="n">
        <v>265.09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146.09</v>
      </c>
      <c r="D4" s="14" t="n">
        <v>143.48</v>
      </c>
      <c r="E4" s="14" t="n">
        <v>142.38</v>
      </c>
      <c r="F4" s="14" t="n">
        <v>138.23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134.82</v>
      </c>
      <c r="D5" s="14" t="n">
        <v>131.08</v>
      </c>
      <c r="E5" s="14" t="n">
        <v>131.02</v>
      </c>
      <c r="F5" s="14" t="n">
        <v>130.25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861.1</v>
      </c>
      <c r="D6" s="14" t="n">
        <v>844.21</v>
      </c>
      <c r="E6" s="14" t="n">
        <v>844.6799999999999</v>
      </c>
      <c r="F6" s="14" t="n">
        <v>811.86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89.47</v>
      </c>
      <c r="D7" s="14" t="n">
        <v>84.5</v>
      </c>
      <c r="E7" s="14" t="n">
        <v>79.53</v>
      </c>
      <c r="F7" s="14" t="n">
        <v>67.75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PNB</t>
        </is>
      </c>
      <c r="C8" s="14" t="n">
        <v>109.8</v>
      </c>
      <c r="D8" s="14" t="n">
        <v>105.93</v>
      </c>
      <c r="E8" s="14" t="n">
        <v>105.94</v>
      </c>
      <c r="F8" s="14" t="n">
        <v>109.44</v>
      </c>
      <c r="G8" s="15">
        <f>HYPERLINK("https://www.tradingview.com/chart/?symbol=NSE:PNB","Chart 📈")</f>
        <v/>
      </c>
    </row>
    <row r="9" ht="16" customHeight="1">
      <c r="A9" s="16" t="inlineStr">
        <is>
          <t>NIFTY PSU BANK</t>
        </is>
      </c>
      <c r="B9" s="13" t="inlineStr">
        <is>
          <t>SBIN</t>
        </is>
      </c>
      <c r="C9" s="14" t="n">
        <v>1040.75</v>
      </c>
      <c r="D9" s="14" t="n">
        <v>1006.97</v>
      </c>
      <c r="E9" s="14" t="n">
        <v>1009.91</v>
      </c>
      <c r="F9" s="14" t="n">
        <v>978.78</v>
      </c>
      <c r="G9" s="15">
        <f>HYPERLINK("https://www.tradingview.com/chart/?symbol=NSE:SBIN","Chart 📈")</f>
        <v/>
      </c>
    </row>
    <row r="10" ht="16" customHeight="1">
      <c r="A10" s="16" t="inlineStr">
        <is>
          <t>NIFTY PSU BANK</t>
        </is>
      </c>
      <c r="B10" s="13" t="inlineStr">
        <is>
          <t>UCOBANK</t>
        </is>
      </c>
      <c r="C10" s="14" t="n">
        <v>27.57</v>
      </c>
      <c r="D10" s="14" t="n">
        <v>26.31</v>
      </c>
      <c r="E10" s="14" t="n">
        <v>26.01</v>
      </c>
      <c r="F10" s="14" t="n">
        <v>27.31</v>
      </c>
      <c r="G10" s="15">
        <f>HYPERLINK("https://www.tradingview.com/chart/?symbol=NSE:UCOBANK","Chart 📈")</f>
        <v/>
      </c>
    </row>
    <row r="11" ht="16" customHeight="1">
      <c r="A11" s="16" t="inlineStr">
        <is>
          <t>NIFTY PSU BANK</t>
        </is>
      </c>
      <c r="B11" s="13" t="inlineStr">
        <is>
          <t>UNIONBANK</t>
        </is>
      </c>
      <c r="C11" s="14" t="n">
        <v>176.62</v>
      </c>
      <c r="D11" s="14" t="n">
        <v>170.11</v>
      </c>
      <c r="E11" s="14" t="n">
        <v>170.33</v>
      </c>
      <c r="F11" s="14" t="n">
        <v>164.23</v>
      </c>
      <c r="G11" s="15">
        <f>HYPERLINK("https://www.tradingview.com/chart/?symbol=NSE:UNIONBANK","Chart 📈")</f>
        <v/>
      </c>
    </row>
    <row r="12" ht="16" customHeight="1">
      <c r="A12" s="8" t="inlineStr">
        <is>
          <t>NIFTY REALTY</t>
        </is>
      </c>
      <c r="B12" s="17" t="inlineStr">
        <is>
          <t>MAHLIFE</t>
        </is>
      </c>
      <c r="C12" s="18" t="n">
        <v>360.05</v>
      </c>
      <c r="D12" s="18" t="n">
        <v>339.77</v>
      </c>
      <c r="E12" s="18" t="n">
        <v>338.27</v>
      </c>
      <c r="F12" s="18" t="n">
        <v>353.2</v>
      </c>
      <c r="G12" s="19">
        <f>HYPERLINK("https://www.tradingview.com/chart/?symbol=NSE:MAHLIFE","Chart 📈")</f>
        <v/>
      </c>
    </row>
    <row r="13" ht="16" customHeight="1">
      <c r="A13" s="20" t="inlineStr">
        <is>
          <t>NIFTY REALTY</t>
        </is>
      </c>
      <c r="B13" s="17" t="inlineStr">
        <is>
          <t>OBEROIRLTY</t>
        </is>
      </c>
      <c r="C13" s="18" t="n">
        <v>1691.1</v>
      </c>
      <c r="D13" s="18" t="n">
        <v>1660.87</v>
      </c>
      <c r="E13" s="18" t="n">
        <v>1642.82</v>
      </c>
      <c r="F13" s="18" t="n">
        <v>1649.56</v>
      </c>
      <c r="G13" s="19">
        <f>HYPERLINK("https://www.tradingview.com/chart/?symbol=NSE:OBEROIRLTY","Chart 📈")</f>
        <v/>
      </c>
    </row>
    <row r="14" ht="16" customHeight="1">
      <c r="A14" s="20" t="inlineStr">
        <is>
          <t>NIFTY REALTY</t>
        </is>
      </c>
      <c r="B14" s="17" t="inlineStr">
        <is>
          <t>PHOENIXLTD</t>
        </is>
      </c>
      <c r="C14" s="18" t="n">
        <v>1871.1</v>
      </c>
      <c r="D14" s="18" t="n">
        <v>1803.71</v>
      </c>
      <c r="E14" s="18" t="n">
        <v>1768.19</v>
      </c>
      <c r="F14" s="18" t="n">
        <v>1710.8</v>
      </c>
      <c r="G14" s="19">
        <f>HYPERLINK("https://www.tradingview.com/chart/?symbol=NSE:PHOENIXLTD","Chart 📈")</f>
        <v/>
      </c>
    </row>
    <row r="15" ht="16" customHeight="1">
      <c r="A15" s="20" t="inlineStr">
        <is>
          <t>NIFTY REALTY</t>
        </is>
      </c>
      <c r="B15" s="17" t="inlineStr">
        <is>
          <t>PRESTIGE</t>
        </is>
      </c>
      <c r="C15" s="18" t="n">
        <v>1512.5</v>
      </c>
      <c r="D15" s="18" t="n">
        <v>1431.63</v>
      </c>
      <c r="E15" s="18" t="n">
        <v>1403.3</v>
      </c>
      <c r="F15" s="18" t="n">
        <v>1481.19</v>
      </c>
      <c r="G15" s="19">
        <f>HYPERLINK("https://www.tradingview.com/chart/?symbol=NSE:PRESTIGE","Chart 📈")</f>
        <v/>
      </c>
    </row>
    <row r="16" ht="16" customHeight="1">
      <c r="A16" s="20" t="inlineStr">
        <is>
          <t>NIFTY REALTY</t>
        </is>
      </c>
      <c r="B16" s="17" t="inlineStr">
        <is>
          <t>RAYMOND</t>
        </is>
      </c>
      <c r="C16" s="18" t="n">
        <v>600.45</v>
      </c>
      <c r="D16" s="18" t="n">
        <v>557.09</v>
      </c>
      <c r="E16" s="18" t="n">
        <v>511.73</v>
      </c>
      <c r="F16" s="18" t="n">
        <v>491.24</v>
      </c>
      <c r="G16" s="19">
        <f>HYPERLINK("https://www.tradingview.com/chart/?symbol=NSE:RAYMOND","Chart 📈")</f>
        <v/>
      </c>
    </row>
    <row r="17" ht="16" customHeight="1">
      <c r="A17" s="12" t="inlineStr">
        <is>
          <t>NIFTY PHARMA</t>
        </is>
      </c>
      <c r="B17" s="13" t="inlineStr">
        <is>
          <t>AJANTPHARM</t>
        </is>
      </c>
      <c r="C17" s="14" t="n">
        <v>3189.7</v>
      </c>
      <c r="D17" s="14" t="n">
        <v>3061.67</v>
      </c>
      <c r="E17" s="14" t="n">
        <v>3009.13</v>
      </c>
      <c r="F17" s="14" t="n">
        <v>2823.36</v>
      </c>
      <c r="G17" s="15">
        <f>HYPERLINK("https://www.tradingview.com/chart/?symbol=NSE:AJANTPHARM","Chart 📈")</f>
        <v/>
      </c>
    </row>
    <row r="18" ht="16" customHeight="1">
      <c r="A18" s="16" t="inlineStr">
        <is>
          <t>NIFTY PHARMA</t>
        </is>
      </c>
      <c r="B18" s="13" t="inlineStr">
        <is>
          <t>AUROPHARMA</t>
        </is>
      </c>
      <c r="C18" s="14" t="n">
        <v>1491.9</v>
      </c>
      <c r="D18" s="14" t="n">
        <v>1453.2</v>
      </c>
      <c r="E18" s="14" t="n">
        <v>1425.62</v>
      </c>
      <c r="F18" s="14" t="n">
        <v>1284.75</v>
      </c>
      <c r="G18" s="15">
        <f>HYPERLINK("https://www.tradingview.com/chart/?symbol=NSE:AUROPHARMA","Chart 📈")</f>
        <v/>
      </c>
    </row>
    <row r="19" ht="16" customHeight="1">
      <c r="A19" s="16" t="inlineStr">
        <is>
          <t>NIFTY PHARMA</t>
        </is>
      </c>
      <c r="B19" s="13" t="inlineStr">
        <is>
          <t>BIOCON</t>
        </is>
      </c>
      <c r="C19" s="14" t="n">
        <v>421.1</v>
      </c>
      <c r="D19" s="14" t="n">
        <v>415.5</v>
      </c>
      <c r="E19" s="14" t="n">
        <v>404.31</v>
      </c>
      <c r="F19" s="14" t="n">
        <v>383.94</v>
      </c>
      <c r="G19" s="15">
        <f>HYPERLINK("https://www.tradingview.com/chart/?symbol=NSE:BIOCON","Chart 📈")</f>
        <v/>
      </c>
    </row>
    <row r="20" ht="16" customHeight="1">
      <c r="A20" s="16" t="inlineStr">
        <is>
          <t>NIFTY PHARMA</t>
        </is>
      </c>
      <c r="B20" s="13" t="inlineStr">
        <is>
          <t>CIPLA</t>
        </is>
      </c>
      <c r="C20" s="14" t="n">
        <v>1415.7</v>
      </c>
      <c r="D20" s="14" t="n">
        <v>1374.79</v>
      </c>
      <c r="E20" s="14" t="n">
        <v>1353.06</v>
      </c>
      <c r="F20" s="14" t="n">
        <v>1383.58</v>
      </c>
      <c r="G20" s="15">
        <f>HYPERLINK("https://www.tradingview.com/chart/?symbol=NSE:CIPLA","Chart 📈")</f>
        <v/>
      </c>
    </row>
    <row r="21" ht="16" customHeight="1">
      <c r="A21" s="16" t="inlineStr">
        <is>
          <t>NIFTY PHARMA</t>
        </is>
      </c>
      <c r="B21" s="13" t="inlineStr">
        <is>
          <t>DIVISLAB</t>
        </is>
      </c>
      <c r="C21" s="14" t="n">
        <v>6787.5</v>
      </c>
      <c r="D21" s="14" t="n">
        <v>6685.41</v>
      </c>
      <c r="E21" s="14" t="n">
        <v>6590.15</v>
      </c>
      <c r="F21" s="14" t="n">
        <v>6435.54</v>
      </c>
      <c r="G21" s="15">
        <f>HYPERLINK("https://www.tradingview.com/chart/?symbol=NSE:DIVISLAB","Chart 📈")</f>
        <v/>
      </c>
    </row>
    <row r="22" ht="16" customHeight="1">
      <c r="A22" s="16" t="inlineStr">
        <is>
          <t>NIFTY PHARMA</t>
        </is>
      </c>
      <c r="B22" s="13" t="inlineStr">
        <is>
          <t>DRREDDY</t>
        </is>
      </c>
      <c r="C22" s="14" t="n">
        <v>1290.7</v>
      </c>
      <c r="D22" s="14" t="n">
        <v>1282.06</v>
      </c>
      <c r="E22" s="14" t="n">
        <v>1283.81</v>
      </c>
      <c r="F22" s="14" t="n">
        <v>1274.02</v>
      </c>
      <c r="G22" s="15">
        <f>HYPERLINK("https://www.tradingview.com/chart/?symbol=NSE:DRREDDY","Chart 📈")</f>
        <v/>
      </c>
    </row>
    <row r="23" ht="16" customHeight="1">
      <c r="A23" s="16" t="inlineStr">
        <is>
          <t>NIFTY PHARMA</t>
        </is>
      </c>
      <c r="B23" s="13" t="inlineStr">
        <is>
          <t>GRANULES</t>
        </is>
      </c>
      <c r="C23" s="14" t="n">
        <v>778.4</v>
      </c>
      <c r="D23" s="14" t="n">
        <v>764.5599999999999</v>
      </c>
      <c r="E23" s="14" t="n">
        <v>732.24</v>
      </c>
      <c r="F23" s="14" t="n">
        <v>630.16</v>
      </c>
      <c r="G23" s="15">
        <f>HYPERLINK("https://www.tradingview.com/chart/?symbol=NSE:GRANULES","Chart 📈")</f>
        <v/>
      </c>
    </row>
    <row r="24" ht="16" customHeight="1">
      <c r="A24" s="16" t="inlineStr">
        <is>
          <t>NIFTY PHARMA</t>
        </is>
      </c>
      <c r="B24" s="13" t="inlineStr">
        <is>
          <t>IPCALAB</t>
        </is>
      </c>
      <c r="C24" s="14" t="n">
        <v>1597.3</v>
      </c>
      <c r="D24" s="14" t="n">
        <v>1579.36</v>
      </c>
      <c r="E24" s="14" t="n">
        <v>1561.63</v>
      </c>
      <c r="F24" s="14" t="n">
        <v>1483.12</v>
      </c>
      <c r="G24" s="15">
        <f>HYPERLINK("https://www.tradingview.com/chart/?symbol=NSE:IPCALAB","Chart 📈")</f>
        <v/>
      </c>
    </row>
    <row r="25" ht="16" customHeight="1">
      <c r="A25" s="16" t="inlineStr">
        <is>
          <t>NIFTY PHARMA</t>
        </is>
      </c>
      <c r="B25" s="13" t="inlineStr">
        <is>
          <t>JBCHEPHARM</t>
        </is>
      </c>
      <c r="C25" s="14" t="n">
        <v>2206.2</v>
      </c>
      <c r="D25" s="14" t="n">
        <v>2186.55</v>
      </c>
      <c r="E25" s="14" t="n">
        <v>2135.18</v>
      </c>
      <c r="F25" s="14" t="n">
        <v>1960.65</v>
      </c>
      <c r="G25" s="15">
        <f>HYPERLINK("https://www.tradingview.com/chart/?symbol=NSE:JBCHEPHARM","Chart 📈")</f>
        <v/>
      </c>
    </row>
    <row r="26" ht="16" customHeight="1">
      <c r="A26" s="16" t="inlineStr">
        <is>
          <t>NIFTY PHARMA</t>
        </is>
      </c>
      <c r="B26" s="13" t="inlineStr">
        <is>
          <t>LAURUSLABS</t>
        </is>
      </c>
      <c r="C26" s="14" t="n">
        <v>1435.9</v>
      </c>
      <c r="D26" s="14" t="n">
        <v>1379</v>
      </c>
      <c r="E26" s="14" t="n">
        <v>1294.42</v>
      </c>
      <c r="F26" s="14" t="n">
        <v>1081.46</v>
      </c>
      <c r="G26" s="15">
        <f>HYPERLINK("https://www.tradingview.com/chart/?symbol=NSE:LAURUSLABS","Chart 📈")</f>
        <v/>
      </c>
    </row>
    <row r="27" ht="16" customHeight="1">
      <c r="A27" s="16" t="inlineStr">
        <is>
          <t>NIFTY PHARMA</t>
        </is>
      </c>
      <c r="B27" s="13" t="inlineStr">
        <is>
          <t>LUPIN</t>
        </is>
      </c>
      <c r="C27" s="14" t="n">
        <v>2340</v>
      </c>
      <c r="D27" s="14" t="n">
        <v>2290.72</v>
      </c>
      <c r="E27" s="14" t="n">
        <v>2286.78</v>
      </c>
      <c r="F27" s="14" t="n">
        <v>2183.57</v>
      </c>
      <c r="G27" s="15">
        <f>HYPERLINK("https://www.tradingview.com/chart/?symbol=NSE:LUPIN","Chart 📈")</f>
        <v/>
      </c>
    </row>
    <row r="28" ht="16" customHeight="1">
      <c r="A28" s="16" t="inlineStr">
        <is>
          <t>NIFTY PHARMA</t>
        </is>
      </c>
      <c r="B28" s="13" t="inlineStr">
        <is>
          <t>MANKIND</t>
        </is>
      </c>
      <c r="C28" s="14" t="n">
        <v>2538.3</v>
      </c>
      <c r="D28" s="14" t="n">
        <v>2396.29</v>
      </c>
      <c r="E28" s="14" t="n">
        <v>2342.05</v>
      </c>
      <c r="F28" s="14" t="n">
        <v>2282.96</v>
      </c>
      <c r="G28" s="15">
        <f>HYPERLINK("https://www.tradingview.com/chart/?symbol=NSE:MANKIND","Chart 📈")</f>
        <v/>
      </c>
    </row>
    <row r="29" ht="16" customHeight="1">
      <c r="A29" s="16" t="inlineStr">
        <is>
          <t>NIFTY PHARMA</t>
        </is>
      </c>
      <c r="B29" s="13" t="inlineStr">
        <is>
          <t>SUNPHARMA</t>
        </is>
      </c>
      <c r="C29" s="14" t="n">
        <v>1862.9</v>
      </c>
      <c r="D29" s="14" t="n">
        <v>1816.35</v>
      </c>
      <c r="E29" s="14" t="n">
        <v>1800.62</v>
      </c>
      <c r="F29" s="14" t="n">
        <v>1740.24</v>
      </c>
      <c r="G29" s="15">
        <f>HYPERLINK("https://www.tradingview.com/chart/?symbol=NSE:SUNPHARMA","Chart 📈")</f>
        <v/>
      </c>
    </row>
    <row r="30" ht="16" customHeight="1">
      <c r="A30" s="16" t="inlineStr">
        <is>
          <t>NIFTY PHARMA</t>
        </is>
      </c>
      <c r="B30" s="13" t="inlineStr">
        <is>
          <t>TORNTPHARM</t>
        </is>
      </c>
      <c r="C30" s="14" t="n">
        <v>4457</v>
      </c>
      <c r="D30" s="14" t="n">
        <v>4444.12</v>
      </c>
      <c r="E30" s="14" t="n">
        <v>4370.2</v>
      </c>
      <c r="F30" s="14" t="n">
        <v>4026.16</v>
      </c>
      <c r="G30" s="15">
        <f>HYPERLINK("https://www.tradingview.com/chart/?symbol=NSE:TORNTPHARM","Chart 📈")</f>
        <v/>
      </c>
    </row>
    <row r="31" ht="16" customHeight="1">
      <c r="A31" s="16" t="inlineStr">
        <is>
          <t>NIFTY PHARMA</t>
        </is>
      </c>
      <c r="B31" s="13" t="inlineStr">
        <is>
          <t>ZYDUSLIFE</t>
        </is>
      </c>
      <c r="C31" s="14" t="n">
        <v>1085.5</v>
      </c>
      <c r="D31" s="14" t="n">
        <v>1070.51</v>
      </c>
      <c r="E31" s="14" t="n">
        <v>1022.76</v>
      </c>
      <c r="F31" s="14" t="n">
        <v>962.83</v>
      </c>
      <c r="G31" s="15">
        <f>HYPERLINK("https://www.tradingview.com/chart/?symbol=NSE:ZYDUSLIFE","Chart 📈")</f>
        <v/>
      </c>
    </row>
    <row r="32" ht="16" customHeight="1">
      <c r="A32" s="8" t="inlineStr">
        <is>
          <t>NIFTY MEDIA</t>
        </is>
      </c>
      <c r="B32" s="17" t="inlineStr">
        <is>
          <t>DEN</t>
        </is>
      </c>
      <c r="C32" s="18" t="n">
        <v>32.98</v>
      </c>
      <c r="D32" s="18" t="n">
        <v>28.84</v>
      </c>
      <c r="E32" s="18" t="n">
        <v>28</v>
      </c>
      <c r="F32" s="18" t="n">
        <v>29.82</v>
      </c>
      <c r="G32" s="19">
        <f>HYPERLINK("https://www.tradingview.com/chart/?symbol=NSE:DEN","Chart 📈")</f>
        <v/>
      </c>
    </row>
    <row r="33" ht="16" customHeight="1">
      <c r="A33" s="20" t="inlineStr">
        <is>
          <t>NIFTY MEDIA</t>
        </is>
      </c>
      <c r="B33" s="17" t="inlineStr">
        <is>
          <t>HATHWAY</t>
        </is>
      </c>
      <c r="C33" s="18" t="n">
        <v>12.2</v>
      </c>
      <c r="D33" s="18" t="n">
        <v>11.11</v>
      </c>
      <c r="E33" s="18" t="n">
        <v>10.89</v>
      </c>
      <c r="F33" s="18" t="n">
        <v>11.83</v>
      </c>
      <c r="G33" s="19">
        <f>HYPERLINK("https://www.tradingview.com/chart/?symbol=NSE:HATHWAY","Chart 📈")</f>
        <v/>
      </c>
    </row>
    <row r="34" ht="16" customHeight="1">
      <c r="A34" s="20" t="inlineStr">
        <is>
          <t>NIFTY MEDIA</t>
        </is>
      </c>
      <c r="B34" s="17" t="inlineStr">
        <is>
          <t>NAZARA</t>
        </is>
      </c>
      <c r="C34" s="18" t="n">
        <v>300.55</v>
      </c>
      <c r="D34" s="18" t="n">
        <v>287.47</v>
      </c>
      <c r="E34" s="18" t="n">
        <v>278.15</v>
      </c>
      <c r="F34" s="18" t="n">
        <v>276.26</v>
      </c>
      <c r="G34" s="19">
        <f>HYPERLINK("https://www.tradingview.com/chart/?symbol=NSE:NAZARA","Chart 📈")</f>
        <v/>
      </c>
    </row>
    <row r="35" ht="16" customHeight="1">
      <c r="A35" s="20" t="inlineStr">
        <is>
          <t>NIFTY MEDIA</t>
        </is>
      </c>
      <c r="B35" s="17" t="inlineStr">
        <is>
          <t>SAREGAMA</t>
        </is>
      </c>
      <c r="C35" s="18" t="n">
        <v>477.25</v>
      </c>
      <c r="D35" s="18" t="n">
        <v>445.59</v>
      </c>
      <c r="E35" s="18" t="n">
        <v>410.27</v>
      </c>
      <c r="F35" s="18" t="n">
        <v>397.53</v>
      </c>
      <c r="G35" s="19">
        <f>HYPERLINK("https://www.tradingview.com/chart/?symbol=NSE:SAREGAMA","Chart 📈")</f>
        <v/>
      </c>
    </row>
    <row r="36" ht="16" customHeight="1">
      <c r="A36" s="20" t="inlineStr">
        <is>
          <t>NIFTY MEDIA</t>
        </is>
      </c>
      <c r="B36" s="17" t="inlineStr">
        <is>
          <t>TIPSMUSIC</t>
        </is>
      </c>
      <c r="C36" s="18" t="n">
        <v>652.05</v>
      </c>
      <c r="D36" s="18" t="n">
        <v>650.1799999999999</v>
      </c>
      <c r="E36" s="18" t="n">
        <v>632.97</v>
      </c>
      <c r="F36" s="18" t="n">
        <v>589.55</v>
      </c>
      <c r="G36" s="19">
        <f>HYPERLINK("https://www.tradingview.com/chart/?symbol=NSE:TIPSMUSIC","Chart 📈")</f>
        <v/>
      </c>
    </row>
    <row r="37" ht="16" customHeight="1">
      <c r="A37" s="20" t="inlineStr">
        <is>
          <t>NIFTY MEDIA</t>
        </is>
      </c>
      <c r="B37" s="17" t="inlineStr">
        <is>
          <t>ZEEL</t>
        </is>
      </c>
      <c r="C37" s="18" t="n">
        <v>115.75</v>
      </c>
      <c r="D37" s="18" t="n">
        <v>105.15</v>
      </c>
      <c r="E37" s="18" t="n">
        <v>96.77</v>
      </c>
      <c r="F37" s="18" t="n">
        <v>98.75</v>
      </c>
      <c r="G37" s="19">
        <f>HYPERLINK("https://www.tradingview.com/chart/?symbol=NSE:ZEEL","Chart 📈")</f>
        <v/>
      </c>
    </row>
    <row r="38" ht="16" customHeight="1">
      <c r="A38" s="12" t="inlineStr">
        <is>
          <t>NIFTY FINANCIAL SERVICES</t>
        </is>
      </c>
      <c r="B38" s="13" t="inlineStr">
        <is>
          <t>AXISBANK</t>
        </is>
      </c>
      <c r="C38" s="14" t="n">
        <v>1358.6</v>
      </c>
      <c r="D38" s="14" t="n">
        <v>1321.35</v>
      </c>
      <c r="E38" s="14" t="n">
        <v>1302.55</v>
      </c>
      <c r="F38" s="14" t="n">
        <v>1268.15</v>
      </c>
      <c r="G38" s="15">
        <f>HYPERLINK("https://www.tradingview.com/chart/?symbol=NSE:AXISBANK","Chart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BAJFINANCE</t>
        </is>
      </c>
      <c r="C39" s="14" t="n">
        <v>968.3</v>
      </c>
      <c r="D39" s="14" t="n">
        <v>926.6900000000001</v>
      </c>
      <c r="E39" s="14" t="n">
        <v>921.14</v>
      </c>
      <c r="F39" s="14" t="n">
        <v>939.63</v>
      </c>
      <c r="G39" s="15">
        <f>HYPERLINK("https://www.tradingview.com/chart/?symbol=NSE:BAJFINANCE","Chart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CHOLAFIN</t>
        </is>
      </c>
      <c r="C40" s="14" t="n">
        <v>1718.8</v>
      </c>
      <c r="D40" s="14" t="n">
        <v>1595.03</v>
      </c>
      <c r="E40" s="14" t="n">
        <v>1574.09</v>
      </c>
      <c r="F40" s="14" t="n">
        <v>1597.04</v>
      </c>
      <c r="G40" s="15">
        <f>HYPERLINK("https://www.tradingview.com/chart/?symbol=NSE:CHOLAFIN","Chart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HDFCAMC</t>
        </is>
      </c>
      <c r="C41" s="14" t="n">
        <v>2689.9</v>
      </c>
      <c r="D41" s="14" t="n">
        <v>2605.4</v>
      </c>
      <c r="E41" s="14" t="n">
        <v>2592.35</v>
      </c>
      <c r="F41" s="14" t="n">
        <v>2579.63</v>
      </c>
      <c r="G41" s="15">
        <f>HYPERLINK("https://www.tradingview.com/chart/?symbol=NSE:HDFCAMC","Chart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ICICIBANK</t>
        </is>
      </c>
      <c r="C42" s="14" t="n">
        <v>1352.4</v>
      </c>
      <c r="D42" s="14" t="n">
        <v>1304.88</v>
      </c>
      <c r="E42" s="14" t="n">
        <v>1294</v>
      </c>
      <c r="F42" s="14" t="n">
        <v>1335.72</v>
      </c>
      <c r="G42" s="15">
        <f>HYPERLINK("https://www.tradingview.com/chart/?symbol=NSE:ICICIBANK","Chart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ICICIGI</t>
        </is>
      </c>
      <c r="C43" s="14" t="n">
        <v>1860.2</v>
      </c>
      <c r="D43" s="14" t="n">
        <v>1789.52</v>
      </c>
      <c r="E43" s="14" t="n">
        <v>1794.37</v>
      </c>
      <c r="F43" s="14" t="n">
        <v>1855.42</v>
      </c>
      <c r="G43" s="15">
        <f>HYPERLINK("https://www.tradingview.com/chart/?symbol=NSE:ICICIGI","Chart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KOTAKBANK</t>
        </is>
      </c>
      <c r="C44" s="14" t="n">
        <v>402.15</v>
      </c>
      <c r="D44" s="14" t="n">
        <v>393.39</v>
      </c>
      <c r="E44" s="14" t="n">
        <v>388.55</v>
      </c>
      <c r="F44" s="14" t="n">
        <v>401.91</v>
      </c>
      <c r="G44" s="15">
        <f>HYPERLINK("https://www.tradingview.com/chart/?symbol=NSE:KOTAKBANK","Chart 📈")</f>
        <v/>
      </c>
    </row>
    <row r="45" ht="16" customHeight="1">
      <c r="A45" s="16" t="inlineStr">
        <is>
          <t>NIFTY FINANCIAL SERVICES</t>
        </is>
      </c>
      <c r="B45" s="13" t="inlineStr">
        <is>
          <t>PFC</t>
        </is>
      </c>
      <c r="C45" s="14" t="n">
        <v>440.95</v>
      </c>
      <c r="D45" s="14" t="n">
        <v>430.45</v>
      </c>
      <c r="E45" s="14" t="n">
        <v>430.81</v>
      </c>
      <c r="F45" s="14" t="n">
        <v>408.63</v>
      </c>
      <c r="G45" s="15">
        <f>HYPERLINK("https://www.tradingview.com/chart/?symbol=NSE:PFC","Chart 📈")</f>
        <v/>
      </c>
    </row>
    <row r="46" ht="16" customHeight="1">
      <c r="A46" s="16" t="inlineStr">
        <is>
          <t>NIFTY FINANCIAL SERVICES</t>
        </is>
      </c>
      <c r="B46" s="13" t="inlineStr">
        <is>
          <t>RECLTD</t>
        </is>
      </c>
      <c r="C46" s="14" t="n">
        <v>369.85</v>
      </c>
      <c r="D46" s="14" t="n">
        <v>349.74</v>
      </c>
      <c r="E46" s="14" t="n">
        <v>347.65</v>
      </c>
      <c r="F46" s="14" t="n">
        <v>352.75</v>
      </c>
      <c r="G46" s="15">
        <f>HYPERLINK("https://www.tradingview.com/chart/?symbol=NSE:RECLTD","Chart 📈")</f>
        <v/>
      </c>
    </row>
    <row r="47" ht="16" customHeight="1">
      <c r="A47" s="16" t="inlineStr">
        <is>
          <t>NIFTY FINANCIAL SERVICES</t>
        </is>
      </c>
      <c r="B47" s="13" t="inlineStr">
        <is>
          <t>SHRIRAMFIN</t>
        </is>
      </c>
      <c r="C47" s="14" t="n">
        <v>992.85</v>
      </c>
      <c r="D47" s="14" t="n">
        <v>961.33</v>
      </c>
      <c r="E47" s="14" t="n">
        <v>960.38</v>
      </c>
      <c r="F47" s="14" t="n">
        <v>898.9</v>
      </c>
      <c r="G47" s="15">
        <f>HYPERLINK("https://www.tradingview.com/chart/?symbol=NSE:SHRIRAMFIN","Chart 📈")</f>
        <v/>
      </c>
    </row>
    <row r="48" ht="16" customHeight="1">
      <c r="A48" s="8" t="inlineStr">
        <is>
          <t>NIFTY AUTO</t>
        </is>
      </c>
      <c r="B48" s="17" t="inlineStr">
        <is>
          <t>BAJAJ-AUTO</t>
        </is>
      </c>
      <c r="C48" s="18" t="n">
        <v>10191</v>
      </c>
      <c r="D48" s="18" t="n">
        <v>10151.7</v>
      </c>
      <c r="E48" s="18" t="n">
        <v>10019.24</v>
      </c>
      <c r="F48" s="18" t="n">
        <v>9394.17</v>
      </c>
      <c r="G48" s="19">
        <f>HYPERLINK("https://www.tradingview.com/chart/?symbol=NSE:BAJAJ-AUTO","Chart 📈")</f>
        <v/>
      </c>
    </row>
    <row r="49" ht="16" customHeight="1">
      <c r="A49" s="20" t="inlineStr">
        <is>
          <t>NIFTY AUTO</t>
        </is>
      </c>
      <c r="B49" s="17" t="inlineStr">
        <is>
          <t>BHARATFORG</t>
        </is>
      </c>
      <c r="C49" s="18" t="n">
        <v>2103.8</v>
      </c>
      <c r="D49" s="18" t="n">
        <v>1977.72</v>
      </c>
      <c r="E49" s="18" t="n">
        <v>1912.66</v>
      </c>
      <c r="F49" s="18" t="n">
        <v>1656</v>
      </c>
      <c r="G49" s="19">
        <f>HYPERLINK("https://www.tradingview.com/chart/?symbol=NSE:BHARATFORG","Chart 📈")</f>
        <v/>
      </c>
    </row>
    <row r="50" ht="16" customHeight="1">
      <c r="A50" s="20" t="inlineStr">
        <is>
          <t>NIFTY AUTO</t>
        </is>
      </c>
      <c r="B50" s="17" t="inlineStr">
        <is>
          <t>BOSCHLTD</t>
        </is>
      </c>
      <c r="C50" s="18" t="n">
        <v>40300</v>
      </c>
      <c r="D50" s="18" t="n">
        <v>38324.18</v>
      </c>
      <c r="E50" s="18" t="n">
        <v>37128.97</v>
      </c>
      <c r="F50" s="18" t="n">
        <v>36012.89</v>
      </c>
      <c r="G50" s="19">
        <f>HYPERLINK("https://www.tradingview.com/chart/?symbol=NSE:BOSCHLTD","Chart 📈")</f>
        <v/>
      </c>
    </row>
    <row r="51" ht="16" customHeight="1">
      <c r="A51" s="20" t="inlineStr">
        <is>
          <t>NIFTY AUTO</t>
        </is>
      </c>
      <c r="B51" s="17" t="inlineStr">
        <is>
          <t>EICHERMOT</t>
        </is>
      </c>
      <c r="C51" s="18" t="n">
        <v>7639.5</v>
      </c>
      <c r="D51" s="18" t="n">
        <v>7359.96</v>
      </c>
      <c r="E51" s="18" t="n">
        <v>7253.66</v>
      </c>
      <c r="F51" s="18" t="n">
        <v>6982.52</v>
      </c>
      <c r="G51" s="19">
        <f>HYPERLINK("https://www.tradingview.com/chart/?symbol=NSE:EICHERMOT","Chart 📈")</f>
        <v/>
      </c>
    </row>
    <row r="52" ht="16" customHeight="1">
      <c r="A52" s="20" t="inlineStr">
        <is>
          <t>NIFTY AUTO</t>
        </is>
      </c>
      <c r="B52" s="17" t="inlineStr">
        <is>
          <t>MOTHERSON</t>
        </is>
      </c>
      <c r="C52" s="18" t="n">
        <v>145.85</v>
      </c>
      <c r="D52" s="18" t="n">
        <v>142.35</v>
      </c>
      <c r="E52" s="18" t="n">
        <v>135.37</v>
      </c>
      <c r="F52" s="18" t="n">
        <v>120.81</v>
      </c>
      <c r="G52" s="19">
        <f>HYPERLINK("https://www.tradingview.com/chart/?symbol=NSE:MOTHERSON","Chart 📈")</f>
        <v/>
      </c>
    </row>
    <row r="53" ht="16" customHeight="1">
      <c r="A53" s="20" t="inlineStr">
        <is>
          <t>NIFTY AUTO</t>
        </is>
      </c>
      <c r="B53" s="17" t="inlineStr">
        <is>
          <t>TVSMOTOR</t>
        </is>
      </c>
      <c r="C53" s="18" t="n">
        <v>3488.7</v>
      </c>
      <c r="D53" s="18" t="n">
        <v>3413.35</v>
      </c>
      <c r="E53" s="18" t="n">
        <v>3461.36</v>
      </c>
      <c r="F53" s="18" t="n">
        <v>3454.43</v>
      </c>
      <c r="G53" s="19">
        <f>HYPERLINK("https://www.tradingview.com/chart/?symbol=NSE:TVSMOTOR","Chart 📈")</f>
        <v/>
      </c>
    </row>
    <row r="54" ht="16" customHeight="1">
      <c r="A54" s="12" t="inlineStr">
        <is>
          <t>NIFTY CONSUMER DURABLES</t>
        </is>
      </c>
      <c r="B54" s="13" t="inlineStr">
        <is>
          <t>AMBER</t>
        </is>
      </c>
      <c r="C54" s="14" t="n">
        <v>7906.5</v>
      </c>
      <c r="D54" s="14" t="n">
        <v>7724.01</v>
      </c>
      <c r="E54" s="14" t="n">
        <v>7644.28</v>
      </c>
      <c r="F54" s="14" t="n">
        <v>7338.46</v>
      </c>
      <c r="G54" s="15">
        <f>HYPERLINK("https://www.tradingview.com/chart/?symbol=NSE:AMBER","Chart 📈")</f>
        <v/>
      </c>
    </row>
    <row r="55" ht="16" customHeight="1">
      <c r="A55" s="16" t="inlineStr">
        <is>
          <t>NIFTY CONSUMER DURABLES</t>
        </is>
      </c>
      <c r="B55" s="13" t="inlineStr">
        <is>
          <t>CERA</t>
        </is>
      </c>
      <c r="C55" s="14" t="n">
        <v>6661.5</v>
      </c>
      <c r="D55" s="14" t="n">
        <v>5993.3</v>
      </c>
      <c r="E55" s="14" t="n">
        <v>5690.81</v>
      </c>
      <c r="F55" s="14" t="n">
        <v>5610.04</v>
      </c>
      <c r="G55" s="15">
        <f>HYPERLINK("https://www.tradingview.com/chart/?symbol=NSE:CERA","Chart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CROMPTON</t>
        </is>
      </c>
      <c r="C56" s="14" t="n">
        <v>276.25</v>
      </c>
      <c r="D56" s="14" t="n">
        <v>271.55</v>
      </c>
      <c r="E56" s="14" t="n">
        <v>270.18</v>
      </c>
      <c r="F56" s="14" t="n">
        <v>275.5</v>
      </c>
      <c r="G56" s="15">
        <f>HYPERLINK("https://www.tradingview.com/chart/?symbol=NSE:CROMPTON","Chart 📈")</f>
        <v/>
      </c>
    </row>
    <row r="57" ht="16" customHeight="1">
      <c r="A57" s="16" t="inlineStr">
        <is>
          <t>NIFTY CONSUMER DURABLES</t>
        </is>
      </c>
      <c r="B57" s="13" t="inlineStr">
        <is>
          <t>KAJARIACER</t>
        </is>
      </c>
      <c r="C57" s="14" t="n">
        <v>1165.8</v>
      </c>
      <c r="D57" s="14" t="n">
        <v>1115.37</v>
      </c>
      <c r="E57" s="14" t="n">
        <v>1092.47</v>
      </c>
      <c r="F57" s="14" t="n">
        <v>1069.55</v>
      </c>
      <c r="G57" s="15">
        <f>HYPERLINK("https://www.tradingview.com/chart/?symbol=NSE:KAJARIACER","Chart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TITAN</t>
        </is>
      </c>
      <c r="C58" s="14" t="n">
        <v>4372.5</v>
      </c>
      <c r="D58" s="14" t="n">
        <v>4245.23</v>
      </c>
      <c r="E58" s="14" t="n">
        <v>4224.43</v>
      </c>
      <c r="F58" s="14" t="n">
        <v>4039.59</v>
      </c>
      <c r="G58" s="15">
        <f>HYPERLINK("https://www.tradingview.com/chart/?symbol=NSE:TITAN","Chart 📈")</f>
        <v/>
      </c>
    </row>
    <row r="59" ht="16" customHeight="1">
      <c r="A59" s="8" t="inlineStr">
        <is>
          <t>NIFTY OIL &amp; GAS</t>
        </is>
      </c>
      <c r="B59" s="17" t="inlineStr">
        <is>
          <t>AEGISLOG</t>
        </is>
      </c>
      <c r="C59" s="18" t="n">
        <v>1069.7</v>
      </c>
      <c r="D59" s="18" t="n">
        <v>884.9299999999999</v>
      </c>
      <c r="E59" s="18" t="n">
        <v>790.55</v>
      </c>
      <c r="F59" s="18" t="n">
        <v>737.08</v>
      </c>
      <c r="G59" s="19">
        <f>HYPERLINK("https://www.tradingview.com/chart/?symbol=NSE:AEGISLOG","Chart 📈")</f>
        <v/>
      </c>
    </row>
    <row r="60" ht="16" customHeight="1">
      <c r="A60" s="20" t="inlineStr">
        <is>
          <t>NIFTY OIL &amp; GAS</t>
        </is>
      </c>
      <c r="B60" s="17" t="inlineStr">
        <is>
          <t>ATGL</t>
        </is>
      </c>
      <c r="C60" s="18" t="n">
        <v>733.4</v>
      </c>
      <c r="D60" s="18" t="n">
        <v>716.5599999999999</v>
      </c>
      <c r="E60" s="18" t="n">
        <v>674.36</v>
      </c>
      <c r="F60" s="18" t="n">
        <v>616</v>
      </c>
      <c r="G60" s="19">
        <f>HYPERLINK("https://www.tradingview.com/chart/?symbol=NSE:ATGL","Chart 📈")</f>
        <v/>
      </c>
    </row>
    <row r="61" ht="16" customHeight="1">
      <c r="A61" s="20" t="inlineStr">
        <is>
          <t>NIFTY OIL &amp; GAS</t>
        </is>
      </c>
      <c r="B61" s="17" t="inlineStr">
        <is>
          <t>CASTROLIND</t>
        </is>
      </c>
      <c r="C61" s="18" t="n">
        <v>186.29</v>
      </c>
      <c r="D61" s="18" t="n">
        <v>184.12</v>
      </c>
      <c r="E61" s="18" t="n">
        <v>183.25</v>
      </c>
      <c r="F61" s="18" t="n">
        <v>185.88</v>
      </c>
      <c r="G61" s="19">
        <f>HYPERLINK("https://www.tradingview.com/chart/?symbol=NSE:CASTROLIND","Chart 📈")</f>
        <v/>
      </c>
    </row>
    <row r="62" ht="16" customHeight="1">
      <c r="A62" s="20" t="inlineStr">
        <is>
          <t>NIFTY OIL &amp; GAS</t>
        </is>
      </c>
      <c r="B62" s="17" t="inlineStr">
        <is>
          <t>GAIL</t>
        </is>
      </c>
      <c r="C62" s="18" t="n">
        <v>177.3</v>
      </c>
      <c r="D62" s="18" t="n">
        <v>170.26</v>
      </c>
      <c r="E62" s="18" t="n">
        <v>165.45</v>
      </c>
      <c r="F62" s="18" t="n">
        <v>165.1</v>
      </c>
      <c r="G62" s="19">
        <f>HYPERLINK("https://www.tradingview.com/chart/?symbol=NSE:GAIL","Chart 📈")</f>
        <v/>
      </c>
    </row>
    <row r="63" ht="16" customHeight="1">
      <c r="A63" s="20" t="inlineStr">
        <is>
          <t>NIFTY OIL &amp; GAS</t>
        </is>
      </c>
      <c r="B63" s="17" t="inlineStr">
        <is>
          <t>MGL</t>
        </is>
      </c>
      <c r="C63" s="18" t="n">
        <v>1245.5</v>
      </c>
      <c r="D63" s="18" t="n">
        <v>1137.34</v>
      </c>
      <c r="E63" s="18" t="n">
        <v>1108.57</v>
      </c>
      <c r="F63" s="18" t="n">
        <v>1148.53</v>
      </c>
      <c r="G63" s="19">
        <f>HYPERLINK("https://www.tradingview.com/chart/?symbol=NSE:MGL","Chart 📈")</f>
        <v/>
      </c>
    </row>
    <row r="64" ht="16" customHeight="1">
      <c r="A64" s="20" t="inlineStr">
        <is>
          <t>NIFTY OIL &amp; GAS</t>
        </is>
      </c>
      <c r="B64" s="17" t="inlineStr">
        <is>
          <t>PETRONET</t>
        </is>
      </c>
      <c r="C64" s="18" t="n">
        <v>286.5</v>
      </c>
      <c r="D64" s="18" t="n">
        <v>277.34</v>
      </c>
      <c r="E64" s="18" t="n">
        <v>274.09</v>
      </c>
      <c r="F64" s="18" t="n">
        <v>275.62</v>
      </c>
      <c r="G64" s="19">
        <f>HYPERLINK("https://www.tradingview.com/chart/?symbol=NSE:PETRONET","Chart 📈")</f>
        <v/>
      </c>
    </row>
    <row r="65" ht="16" customHeight="1">
      <c r="A65" s="12" t="inlineStr">
        <is>
          <t>NIFTY ENERGY</t>
        </is>
      </c>
      <c r="B65" s="13" t="inlineStr">
        <is>
          <t>ABB</t>
        </is>
      </c>
      <c r="C65" s="14" t="n">
        <v>7258</v>
      </c>
      <c r="D65" s="14" t="n">
        <v>7021.83</v>
      </c>
      <c r="E65" s="14" t="n">
        <v>6844.81</v>
      </c>
      <c r="F65" s="14" t="n">
        <v>6138.35</v>
      </c>
      <c r="G65" s="15">
        <f>HYPERLINK("https://www.tradingview.com/chart/?symbol=NSE:ABB","Chart 📈")</f>
        <v/>
      </c>
    </row>
    <row r="66" ht="16" customHeight="1">
      <c r="A66" s="16" t="inlineStr">
        <is>
          <t>NIFTY ENERGY</t>
        </is>
      </c>
      <c r="B66" s="13" t="inlineStr">
        <is>
          <t>ADANIENSOL</t>
        </is>
      </c>
      <c r="C66" s="14" t="n">
        <v>1539.4</v>
      </c>
      <c r="D66" s="14" t="n">
        <v>1491.47</v>
      </c>
      <c r="E66" s="14" t="n">
        <v>1392.47</v>
      </c>
      <c r="F66" s="14" t="n">
        <v>1131.17</v>
      </c>
      <c r="G66" s="15">
        <f>HYPERLINK("https://www.tradingview.com/chart/?symbol=NSE:ADANIENSOL","Chart 📈")</f>
        <v/>
      </c>
    </row>
    <row r="67" ht="16" customHeight="1">
      <c r="A67" s="16" t="inlineStr">
        <is>
          <t>NIFTY ENERGY</t>
        </is>
      </c>
      <c r="B67" s="13" t="inlineStr">
        <is>
          <t>ADANIGREEN</t>
        </is>
      </c>
      <c r="C67" s="14" t="n">
        <v>1549.9</v>
      </c>
      <c r="D67" s="14" t="n">
        <v>1467.23</v>
      </c>
      <c r="E67" s="14" t="n">
        <v>1353.15</v>
      </c>
      <c r="F67" s="14" t="n">
        <v>1125.7</v>
      </c>
      <c r="G67" s="15">
        <f>HYPERLINK("https://www.tradingview.com/chart/?symbol=NSE:ADANIGREEN","Chart 📈")</f>
        <v/>
      </c>
    </row>
    <row r="68" ht="16" customHeight="1">
      <c r="A68" s="16" t="inlineStr">
        <is>
          <t>NIFTY ENERGY</t>
        </is>
      </c>
      <c r="B68" s="13" t="inlineStr">
        <is>
          <t>ADANIPOWER</t>
        </is>
      </c>
      <c r="C68" s="14" t="n">
        <v>233.78</v>
      </c>
      <c r="D68" s="14" t="n">
        <v>226.87</v>
      </c>
      <c r="E68" s="14" t="n">
        <v>215.45</v>
      </c>
      <c r="F68" s="14" t="n">
        <v>172.32</v>
      </c>
      <c r="G68" s="15">
        <f>HYPERLINK("https://www.tradingview.com/chart/?symbol=NSE:ADANIPOWER","Chart 📈")</f>
        <v/>
      </c>
    </row>
    <row r="69" ht="16" customHeight="1">
      <c r="A69" s="16" t="inlineStr">
        <is>
          <t>NIFTY ENERGY</t>
        </is>
      </c>
      <c r="B69" s="13" t="inlineStr">
        <is>
          <t>BHEL</t>
        </is>
      </c>
      <c r="C69" s="14" t="n">
        <v>411.5</v>
      </c>
      <c r="D69" s="14" t="n">
        <v>395.45</v>
      </c>
      <c r="E69" s="14" t="n">
        <v>373.44</v>
      </c>
      <c r="F69" s="14" t="n">
        <v>307.92</v>
      </c>
      <c r="G69" s="15">
        <f>HYPERLINK("https://www.tradingview.com/chart/?symbol=NSE:BHEL","Chart 📈")</f>
        <v/>
      </c>
    </row>
    <row r="70" ht="16" customHeight="1">
      <c r="A70" s="16" t="inlineStr">
        <is>
          <t>NIFTY ENERGY</t>
        </is>
      </c>
      <c r="B70" s="13" t="inlineStr">
        <is>
          <t>CESC</t>
        </is>
      </c>
      <c r="C70" s="14" t="n">
        <v>174.22</v>
      </c>
      <c r="D70" s="14" t="n">
        <v>173.91</v>
      </c>
      <c r="E70" s="14" t="n">
        <v>174.03</v>
      </c>
      <c r="F70" s="14" t="n">
        <v>167.15</v>
      </c>
      <c r="G70" s="15">
        <f>HYPERLINK("https://www.tradingview.com/chart/?symbol=NSE:CESC","Chart 📈")</f>
        <v/>
      </c>
    </row>
    <row r="71" ht="16" customHeight="1">
      <c r="A71" s="16" t="inlineStr">
        <is>
          <t>NIFTY ENERGY</t>
        </is>
      </c>
      <c r="B71" s="13" t="inlineStr">
        <is>
          <t>CGPOWER</t>
        </is>
      </c>
      <c r="C71" s="14" t="n">
        <v>962.55</v>
      </c>
      <c r="D71" s="14" t="n">
        <v>921.34</v>
      </c>
      <c r="E71" s="14" t="n">
        <v>865.67</v>
      </c>
      <c r="F71" s="14" t="n">
        <v>757.67</v>
      </c>
      <c r="G71" s="15">
        <f>HYPERLINK("https://www.tradingview.com/chart/?symbol=NSE:CGPOWER","Chart 📈")</f>
        <v/>
      </c>
    </row>
    <row r="72" ht="16" customHeight="1">
      <c r="A72" s="16" t="inlineStr">
        <is>
          <t>NIFTY ENERGY</t>
        </is>
      </c>
      <c r="B72" s="13" t="inlineStr">
        <is>
          <t>GVT&amp;D</t>
        </is>
      </c>
      <c r="C72" s="14" t="n">
        <v>5494.5</v>
      </c>
      <c r="D72" s="14" t="n">
        <v>5002.04</v>
      </c>
      <c r="E72" s="14" t="n">
        <v>4669.03</v>
      </c>
      <c r="F72" s="14" t="n">
        <v>3739.93</v>
      </c>
      <c r="G72" s="15">
        <f>HYPERLINK("https://www.tradingview.com/chart/?symbol=NSE:GVT&amp;D","Chart 📈")</f>
        <v/>
      </c>
    </row>
    <row r="73" ht="16" customHeight="1">
      <c r="A73" s="16" t="inlineStr">
        <is>
          <t>NIFTY ENERGY</t>
        </is>
      </c>
      <c r="B73" s="13" t="inlineStr">
        <is>
          <t>JSWENERGY</t>
        </is>
      </c>
      <c r="C73" s="14" t="n">
        <v>582.05</v>
      </c>
      <c r="D73" s="14" t="n">
        <v>568.47</v>
      </c>
      <c r="E73" s="14" t="n">
        <v>553.41</v>
      </c>
      <c r="F73" s="14" t="n">
        <v>520.95</v>
      </c>
      <c r="G73" s="15">
        <f>HYPERLINK("https://www.tradingview.com/chart/?symbol=NSE:JSWENERGY","Chart 📈")</f>
        <v/>
      </c>
    </row>
    <row r="74" ht="16" customHeight="1">
      <c r="A74" s="16" t="inlineStr">
        <is>
          <t>NIFTY ENERGY</t>
        </is>
      </c>
      <c r="B74" s="13" t="inlineStr">
        <is>
          <t>NLCINDIA</t>
        </is>
      </c>
      <c r="C74" s="14" t="n">
        <v>327.6</v>
      </c>
      <c r="D74" s="14" t="n">
        <v>326.14</v>
      </c>
      <c r="E74" s="14" t="n">
        <v>319.1</v>
      </c>
      <c r="F74" s="14" t="n">
        <v>279.69</v>
      </c>
      <c r="G74" s="15">
        <f>HYPERLINK("https://www.tradingview.com/chart/?symbol=NSE:NLCINDIA","Chart 📈")</f>
        <v/>
      </c>
    </row>
    <row r="75" ht="16" customHeight="1">
      <c r="A75" s="16" t="inlineStr">
        <is>
          <t>NIFTY ENERGY</t>
        </is>
      </c>
      <c r="B75" s="13" t="inlineStr">
        <is>
          <t>POWERINDIA</t>
        </is>
      </c>
      <c r="C75" s="14" t="n">
        <v>36760</v>
      </c>
      <c r="D75" s="14" t="n">
        <v>35337.53</v>
      </c>
      <c r="E75" s="14" t="n">
        <v>33253.06</v>
      </c>
      <c r="F75" s="14" t="n">
        <v>26109.62</v>
      </c>
      <c r="G75" s="15">
        <f>HYPERLINK("https://www.tradingview.com/chart/?symbol=NSE:POWERINDIA","Chart 📈")</f>
        <v/>
      </c>
    </row>
    <row r="76" ht="16" customHeight="1">
      <c r="A76" s="16" t="inlineStr">
        <is>
          <t>NIFTY ENERGY</t>
        </is>
      </c>
      <c r="B76" s="13" t="inlineStr">
        <is>
          <t>SCHNEIDER</t>
        </is>
      </c>
      <c r="C76" s="14" t="n">
        <v>1395.5</v>
      </c>
      <c r="D76" s="14" t="n">
        <v>1234.44</v>
      </c>
      <c r="E76" s="14" t="n">
        <v>1181.09</v>
      </c>
      <c r="F76" s="14" t="n">
        <v>972.01</v>
      </c>
      <c r="G76" s="15">
        <f>HYPERLINK("https://www.tradingview.com/chart/?symbol=NSE:SCHNEIDER","Chart 📈")</f>
        <v/>
      </c>
    </row>
    <row r="77" ht="16" customHeight="1">
      <c r="A77" s="16" t="inlineStr">
        <is>
          <t>NIFTY ENERGY</t>
        </is>
      </c>
      <c r="B77" s="13" t="inlineStr">
        <is>
          <t>SIEMENS</t>
        </is>
      </c>
      <c r="C77" s="14" t="n">
        <v>3767.8</v>
      </c>
      <c r="D77" s="14" t="n">
        <v>3686.28</v>
      </c>
      <c r="E77" s="14" t="n">
        <v>3624.22</v>
      </c>
      <c r="F77" s="14" t="n">
        <v>3362.24</v>
      </c>
      <c r="G77" s="15">
        <f>HYPERLINK("https://www.tradingview.com/chart/?symbol=NSE:SIEMENS","Chart 📈")</f>
        <v/>
      </c>
    </row>
    <row r="78" ht="16" customHeight="1">
      <c r="A78" s="16" t="inlineStr">
        <is>
          <t>NIFTY ENERGY</t>
        </is>
      </c>
      <c r="B78" s="13" t="inlineStr">
        <is>
          <t>SUZLON</t>
        </is>
      </c>
      <c r="C78" s="14" t="n">
        <v>59.31</v>
      </c>
      <c r="D78" s="14" t="n">
        <v>56.27</v>
      </c>
      <c r="E78" s="14" t="n">
        <v>53.84</v>
      </c>
      <c r="F78" s="14" t="n">
        <v>52.92</v>
      </c>
      <c r="G78" s="15">
        <f>HYPERLINK("https://www.tradingview.com/chart/?symbol=NSE:SUZLON","Chart 📈")</f>
        <v/>
      </c>
    </row>
    <row r="79" ht="16" customHeight="1">
      <c r="A79" s="16" t="inlineStr">
        <is>
          <t>NIFTY ENERGY</t>
        </is>
      </c>
      <c r="B79" s="13" t="inlineStr">
        <is>
          <t>THERMAX</t>
        </is>
      </c>
      <c r="C79" s="14" t="n">
        <v>4863.9</v>
      </c>
      <c r="D79" s="14" t="n">
        <v>4692.69</v>
      </c>
      <c r="E79" s="14" t="n">
        <v>4398.21</v>
      </c>
      <c r="F79" s="14" t="n">
        <v>3692.93</v>
      </c>
      <c r="G79" s="15">
        <f>HYPERLINK("https://www.tradingview.com/chart/?symbol=NSE:THERMAX","Chart 📈")</f>
        <v/>
      </c>
    </row>
    <row r="80" ht="16" customHeight="1">
      <c r="A80" s="16" t="inlineStr">
        <is>
          <t>NIFTY ENERGY</t>
        </is>
      </c>
      <c r="B80" s="13" t="inlineStr">
        <is>
          <t>TORNTPOWER</t>
        </is>
      </c>
      <c r="C80" s="14" t="n">
        <v>1475.2</v>
      </c>
      <c r="D80" s="14" t="n">
        <v>1440.55</v>
      </c>
      <c r="E80" s="14" t="n">
        <v>1473.33</v>
      </c>
      <c r="F80" s="14" t="n">
        <v>1423.99</v>
      </c>
      <c r="G80" s="15">
        <f>HYPERLINK("https://www.tradingview.com/chart/?symbol=NSE:TORNTPOWER","Chart 📈")</f>
        <v/>
      </c>
    </row>
    <row r="81" ht="16" customHeight="1">
      <c r="A81" s="16" t="inlineStr">
        <is>
          <t>NIFTY ENERGY</t>
        </is>
      </c>
      <c r="B81" s="13" t="inlineStr">
        <is>
          <t>TRITURBINE</t>
        </is>
      </c>
      <c r="C81" s="14" t="n">
        <v>737.3</v>
      </c>
      <c r="D81" s="14" t="n">
        <v>671.9299999999999</v>
      </c>
      <c r="E81" s="14" t="n">
        <v>627.51</v>
      </c>
      <c r="F81" s="14" t="n">
        <v>562.4299999999999</v>
      </c>
      <c r="G81" s="15">
        <f>HYPERLINK("https://www.tradingview.com/chart/?symbol=NSE:TRITURBINE","Chart 📈")</f>
        <v/>
      </c>
    </row>
    <row r="82" ht="16" customHeight="1">
      <c r="A82" s="8" t="inlineStr">
        <is>
          <t>NIFTY MIDSMALL IT &amp; TELECOM</t>
        </is>
      </c>
      <c r="B82" s="17" t="inlineStr">
        <is>
          <t>HFCL</t>
        </is>
      </c>
      <c r="C82" s="18" t="n">
        <v>209.46</v>
      </c>
      <c r="D82" s="18" t="n">
        <v>181.46</v>
      </c>
      <c r="E82" s="18" t="n">
        <v>153.07</v>
      </c>
      <c r="F82" s="18" t="n">
        <v>104.12</v>
      </c>
      <c r="G82" s="19">
        <f>HYPERLINK("https://www.tradingview.com/chart/?symbol=NSE:HFCL","Chart 📈")</f>
        <v/>
      </c>
    </row>
    <row r="83" ht="16" customHeight="1">
      <c r="A83" s="20" t="inlineStr">
        <is>
          <t>NIFTY MIDSMALL IT &amp; TELECOM</t>
        </is>
      </c>
      <c r="B83" s="17" t="inlineStr">
        <is>
          <t>IDEA</t>
        </is>
      </c>
      <c r="C83" s="18" t="n">
        <v>14.82</v>
      </c>
      <c r="D83" s="18" t="n">
        <v>14.32</v>
      </c>
      <c r="E83" s="18" t="n">
        <v>13.02</v>
      </c>
      <c r="F83" s="18" t="n">
        <v>10.68</v>
      </c>
      <c r="G83" s="19">
        <f>HYPERLINK("https://www.tradingview.com/chart/?symbol=NSE:IDEA","Chart 📈")</f>
        <v/>
      </c>
    </row>
    <row r="84" ht="16" customHeight="1">
      <c r="A84" s="20" t="inlineStr">
        <is>
          <t>NIFTY MIDSMALL IT &amp; TELECOM</t>
        </is>
      </c>
      <c r="B84" s="17" t="inlineStr">
        <is>
          <t>OFSS</t>
        </is>
      </c>
      <c r="C84" s="18" t="n">
        <v>9731.5</v>
      </c>
      <c r="D84" s="18" t="n">
        <v>9583.85</v>
      </c>
      <c r="E84" s="18" t="n">
        <v>9133.110000000001</v>
      </c>
      <c r="F84" s="18" t="n">
        <v>8284</v>
      </c>
      <c r="G84" s="19">
        <f>HYPERLINK("https://www.tradingview.com/chart/?symbol=NSE:OFSS","Chart 📈")</f>
        <v/>
      </c>
    </row>
    <row r="85" ht="16" customHeight="1">
      <c r="A85" s="20" t="inlineStr">
        <is>
          <t>NIFTY MIDSMALL IT &amp; TELECOM</t>
        </is>
      </c>
      <c r="B85" s="17" t="inlineStr">
        <is>
          <t>TATACOMM</t>
        </is>
      </c>
      <c r="C85" s="18" t="n">
        <v>2061.7</v>
      </c>
      <c r="D85" s="18" t="n">
        <v>1911.78</v>
      </c>
      <c r="E85" s="18" t="n">
        <v>1788.98</v>
      </c>
      <c r="F85" s="18" t="n">
        <v>1685.17</v>
      </c>
      <c r="G85" s="19">
        <f>HYPERLINK("https://www.tradingview.com/chart/?symbol=NSE:TATACOMM","Chart 📈")</f>
        <v/>
      </c>
    </row>
    <row r="86" ht="16" customHeight="1">
      <c r="A86" s="20" t="inlineStr">
        <is>
          <t>NIFTY MIDSMALL IT &amp; TELECOM</t>
        </is>
      </c>
      <c r="B86" s="17" t="inlineStr">
        <is>
          <t>TATATECH</t>
        </is>
      </c>
      <c r="C86" s="18" t="n">
        <v>752.1</v>
      </c>
      <c r="D86" s="18" t="n">
        <v>727.38</v>
      </c>
      <c r="E86" s="18" t="n">
        <v>675.6900000000001</v>
      </c>
      <c r="F86" s="18" t="n">
        <v>643.73</v>
      </c>
      <c r="G86" s="19">
        <f>HYPERLINK("https://www.tradingview.com/chart/?symbol=NSE:TATATECH","Chart 📈")</f>
        <v/>
      </c>
    </row>
    <row r="87" ht="16" customHeight="1">
      <c r="A87" s="20" t="inlineStr">
        <is>
          <t>NIFTY MIDSMALL IT &amp; TELECOM</t>
        </is>
      </c>
      <c r="B87" s="17" t="inlineStr">
        <is>
          <t>TEJASNET</t>
        </is>
      </c>
      <c r="C87" s="18" t="n">
        <v>627.4</v>
      </c>
      <c r="D87" s="18" t="n">
        <v>565.13</v>
      </c>
      <c r="E87" s="18" t="n">
        <v>511.7</v>
      </c>
      <c r="F87" s="18" t="n">
        <v>495.89</v>
      </c>
      <c r="G87" s="19">
        <f>HYPERLINK("https://www.tradingview.com/chart/?symbol=NSE:TEJASNET","Chart 📈")</f>
        <v/>
      </c>
    </row>
    <row r="88" ht="16" customHeight="1">
      <c r="A88" s="12" t="inlineStr">
        <is>
          <t>NIFTY METAL</t>
        </is>
      </c>
      <c r="B88" s="13" t="inlineStr">
        <is>
          <t>ADANIENT</t>
        </is>
      </c>
      <c r="C88" s="14" t="n">
        <v>3059.6</v>
      </c>
      <c r="D88" s="14" t="n">
        <v>2921.57</v>
      </c>
      <c r="E88" s="14" t="n">
        <v>2701.75</v>
      </c>
      <c r="F88" s="14" t="n">
        <v>2421.85</v>
      </c>
      <c r="G88" s="15">
        <f>HYPERLINK("https://www.tradingview.com/chart/?symbol=NSE:ADANIENT","Chart 📈")</f>
        <v/>
      </c>
    </row>
    <row r="89" ht="16" customHeight="1">
      <c r="A89" s="16" t="inlineStr">
        <is>
          <t>NIFTY METAL</t>
        </is>
      </c>
      <c r="B89" s="13" t="inlineStr">
        <is>
          <t>RATNAMANI</t>
        </is>
      </c>
      <c r="C89" s="14" t="n">
        <v>2752.2</v>
      </c>
      <c r="D89" s="14" t="n">
        <v>2618.87</v>
      </c>
      <c r="E89" s="14" t="n">
        <v>2568.83</v>
      </c>
      <c r="F89" s="14" t="n">
        <v>2480.22</v>
      </c>
      <c r="G89" s="15">
        <f>HYPERLINK("https://www.tradingview.com/chart/?symbol=NSE:RATNAMANI","Chart 📈")</f>
        <v/>
      </c>
    </row>
    <row r="90" ht="16" customHeight="1">
      <c r="A90" s="16" t="inlineStr">
        <is>
          <t>NIFTY METAL</t>
        </is>
      </c>
      <c r="B90" s="13" t="inlineStr">
        <is>
          <t>WELCORP</t>
        </is>
      </c>
      <c r="C90" s="14" t="n">
        <v>1404.4</v>
      </c>
      <c r="D90" s="14" t="n">
        <v>1374.57</v>
      </c>
      <c r="E90" s="14" t="n">
        <v>1272.28</v>
      </c>
      <c r="F90" s="14" t="n">
        <v>1023.69</v>
      </c>
      <c r="G90" s="15">
        <f>HYPERLINK("https://www.tradingview.com/chart/?symbol=NSE:WELCORP","Chart 📈")</f>
        <v/>
      </c>
    </row>
    <row r="91" ht="16" customHeight="1">
      <c r="A91" s="8" t="inlineStr">
        <is>
          <t>NIFTY FMCG</t>
        </is>
      </c>
      <c r="B91" s="17" t="inlineStr">
        <is>
          <t>RADICO</t>
        </is>
      </c>
      <c r="C91" s="18" t="n">
        <v>3778.6</v>
      </c>
      <c r="D91" s="18" t="n">
        <v>3567.26</v>
      </c>
      <c r="E91" s="18" t="n">
        <v>3405.87</v>
      </c>
      <c r="F91" s="18" t="n">
        <v>3095.72</v>
      </c>
      <c r="G91" s="19">
        <f>HYPERLINK("https://www.tradingview.com/chart/?symbol=NSE:RADICO","Chart 📈")</f>
        <v/>
      </c>
    </row>
    <row r="92" ht="16" customHeight="1">
      <c r="A92" s="20" t="inlineStr">
        <is>
          <t>NIFTY FMCG</t>
        </is>
      </c>
      <c r="B92" s="17" t="inlineStr">
        <is>
          <t>UNITDSPR</t>
        </is>
      </c>
      <c r="C92" s="18" t="n">
        <v>1343.1</v>
      </c>
      <c r="D92" s="18" t="n">
        <v>1292.63</v>
      </c>
      <c r="E92" s="18" t="n">
        <v>1295.94</v>
      </c>
      <c r="F92" s="18" t="n">
        <v>1335.15</v>
      </c>
      <c r="G92" s="19">
        <f>HYPERLINK("https://www.tradingview.com/chart/?symbol=NSE:UNITDSPR","Chart 📈")</f>
        <v/>
      </c>
    </row>
    <row r="93" ht="16" customHeight="1">
      <c r="A93" s="12" t="inlineStr">
        <is>
          <t>NIFTY BANK</t>
        </is>
      </c>
      <c r="B93" s="13" t="inlineStr">
        <is>
          <t>AUBANK</t>
        </is>
      </c>
      <c r="C93" s="14" t="n">
        <v>1045.05</v>
      </c>
      <c r="D93" s="14" t="n">
        <v>1004.16</v>
      </c>
      <c r="E93" s="14" t="n">
        <v>992.17</v>
      </c>
      <c r="F93" s="14" t="n">
        <v>936.91</v>
      </c>
      <c r="G93" s="15">
        <f>HYPERLINK("https://www.tradingview.com/chart/?symbol=NSE:AUBANK","Chart 📈")</f>
        <v/>
      </c>
    </row>
    <row r="94" ht="16" customHeight="1">
      <c r="A94" s="16" t="inlineStr">
        <is>
          <t>NIFTY BANK</t>
        </is>
      </c>
      <c r="B94" s="13" t="inlineStr">
        <is>
          <t>FEDERALBNK</t>
        </is>
      </c>
      <c r="C94" s="14" t="n">
        <v>323.4</v>
      </c>
      <c r="D94" s="14" t="n">
        <v>309.57</v>
      </c>
      <c r="E94" s="14" t="n">
        <v>298.06</v>
      </c>
      <c r="F94" s="14" t="n">
        <v>267.93</v>
      </c>
      <c r="G94" s="15">
        <f>HYPERLINK("https://www.tradingview.com/chart/?symbol=NSE:FEDERALBNK","Chart 📈")</f>
        <v/>
      </c>
    </row>
    <row r="95" ht="16" customHeight="1">
      <c r="A95" s="16" t="inlineStr">
        <is>
          <t>NIFTY BANK</t>
        </is>
      </c>
      <c r="B95" s="13" t="inlineStr">
        <is>
          <t>IDFCFIRSTB</t>
        </is>
      </c>
      <c r="C95" s="14" t="n">
        <v>80.69</v>
      </c>
      <c r="D95" s="14" t="n">
        <v>74.79000000000001</v>
      </c>
      <c r="E95" s="14" t="n">
        <v>72.18000000000001</v>
      </c>
      <c r="F95" s="14" t="n">
        <v>73.16</v>
      </c>
      <c r="G95" s="15">
        <f>HYPERLINK("https://www.tradingview.com/chart/?symbol=NSE:IDFCFIRSTB","Chart 📈")</f>
        <v/>
      </c>
    </row>
    <row r="96" ht="16" customHeight="1">
      <c r="A96" s="16" t="inlineStr">
        <is>
          <t>NIFTY BANK</t>
        </is>
      </c>
      <c r="B96" s="13" t="inlineStr">
        <is>
          <t>INDUSINDBK</t>
        </is>
      </c>
      <c r="C96" s="14" t="n">
        <v>921.05</v>
      </c>
      <c r="D96" s="14" t="n">
        <v>918.04</v>
      </c>
      <c r="E96" s="14" t="n">
        <v>903.34</v>
      </c>
      <c r="F96" s="14" t="n">
        <v>869.6799999999999</v>
      </c>
      <c r="G96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2026-06-22T16:01:26Z</dcterms:created>
  <dcterms:modified xsi:type="dcterms:W3CDTF">2026-06-22T16:01:26Z</dcterms:modified>
</cp:coreProperties>
</file>