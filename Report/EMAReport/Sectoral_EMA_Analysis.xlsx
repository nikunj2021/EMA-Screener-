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08-Oct-2026  17:54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MEDIA</t>
        </is>
      </c>
      <c r="B4" s="5" t="n">
        <v>10</v>
      </c>
      <c r="C4" s="5" t="n">
        <v>3</v>
      </c>
      <c r="D4" s="5" t="n">
        <v>3</v>
      </c>
      <c r="E4" s="5" t="n">
        <v>4</v>
      </c>
      <c r="F4" s="6" t="n">
        <v>0.3</v>
      </c>
      <c r="G4" s="6" t="n">
        <v>0.3</v>
      </c>
      <c r="H4" s="6" t="n">
        <v>0.4</v>
      </c>
      <c r="I4" s="7" t="n">
        <v>0.3333</v>
      </c>
    </row>
    <row r="5" ht="17" customHeight="1">
      <c r="A5" s="8" t="inlineStr">
        <is>
          <t>NIFTY PHARMA</t>
        </is>
      </c>
      <c r="B5" s="9" t="n">
        <v>20</v>
      </c>
      <c r="C5" s="9" t="n">
        <v>3</v>
      </c>
      <c r="D5" s="9" t="n">
        <v>4</v>
      </c>
      <c r="E5" s="9" t="n">
        <v>10</v>
      </c>
      <c r="F5" s="10" t="n">
        <v>0.15</v>
      </c>
      <c r="G5" s="10" t="n">
        <v>0.2</v>
      </c>
      <c r="H5" s="10" t="n">
        <v>0.5</v>
      </c>
      <c r="I5" s="11" t="n">
        <v>0.2833</v>
      </c>
    </row>
    <row r="6" ht="17" customHeight="1">
      <c r="A6" s="4" t="inlineStr">
        <is>
          <t>NIFTY FINANCIAL SERVICES</t>
        </is>
      </c>
      <c r="B6" s="5" t="n">
        <v>20</v>
      </c>
      <c r="C6" s="5" t="n">
        <v>6</v>
      </c>
      <c r="D6" s="5" t="n">
        <v>5</v>
      </c>
      <c r="E6" s="5" t="n">
        <v>3</v>
      </c>
      <c r="F6" s="6" t="n">
        <v>0.3</v>
      </c>
      <c r="G6" s="6" t="n">
        <v>0.25</v>
      </c>
      <c r="H6" s="6" t="n">
        <v>0.15</v>
      </c>
      <c r="I6" s="7" t="n">
        <v>0.2333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4</v>
      </c>
      <c r="D7" s="9" t="n">
        <v>4</v>
      </c>
      <c r="E7" s="9" t="n">
        <v>6</v>
      </c>
      <c r="F7" s="10" t="n">
        <v>0.2</v>
      </c>
      <c r="G7" s="10" t="n">
        <v>0.2</v>
      </c>
      <c r="H7" s="10" t="n">
        <v>0.3</v>
      </c>
      <c r="I7" s="11" t="n">
        <v>0.2333</v>
      </c>
    </row>
    <row r="8" ht="17" customHeight="1">
      <c r="A8" s="4" t="inlineStr">
        <is>
          <t>NIFTY PSU BANK</t>
        </is>
      </c>
      <c r="B8" s="5" t="n">
        <v>12</v>
      </c>
      <c r="C8" s="5" t="n">
        <v>3</v>
      </c>
      <c r="D8" s="5" t="n">
        <v>2</v>
      </c>
      <c r="E8" s="5" t="n">
        <v>3</v>
      </c>
      <c r="F8" s="6" t="n">
        <v>0.25</v>
      </c>
      <c r="G8" s="6" t="n">
        <v>0.167</v>
      </c>
      <c r="H8" s="6" t="n">
        <v>0.25</v>
      </c>
      <c r="I8" s="7" t="n">
        <v>0.2223</v>
      </c>
    </row>
    <row r="9" ht="17" customHeight="1">
      <c r="A9" s="8" t="inlineStr">
        <is>
          <t>NIFTY OIL &amp; GAS</t>
        </is>
      </c>
      <c r="B9" s="9" t="n">
        <v>15</v>
      </c>
      <c r="C9" s="9" t="n">
        <v>2</v>
      </c>
      <c r="D9" s="9" t="n">
        <v>3</v>
      </c>
      <c r="E9" s="9" t="n">
        <v>3</v>
      </c>
      <c r="F9" s="10" t="n">
        <v>0.133</v>
      </c>
      <c r="G9" s="10" t="n">
        <v>0.2</v>
      </c>
      <c r="H9" s="10" t="n">
        <v>0.2</v>
      </c>
      <c r="I9" s="11" t="n">
        <v>0.1777</v>
      </c>
    </row>
    <row r="10" ht="17" customHeight="1">
      <c r="A10" s="4" t="inlineStr">
        <is>
          <t>NIFTY FMCG</t>
        </is>
      </c>
      <c r="B10" s="5" t="n">
        <v>15</v>
      </c>
      <c r="C10" s="5" t="n">
        <v>2</v>
      </c>
      <c r="D10" s="5" t="n">
        <v>2</v>
      </c>
      <c r="E10" s="5" t="n">
        <v>2</v>
      </c>
      <c r="F10" s="6" t="n">
        <v>0.133</v>
      </c>
      <c r="G10" s="6" t="n">
        <v>0.133</v>
      </c>
      <c r="H10" s="6" t="n">
        <v>0.133</v>
      </c>
      <c r="I10" s="7" t="n">
        <v>0.133</v>
      </c>
    </row>
    <row r="11" ht="17" customHeight="1">
      <c r="A11" s="8" t="inlineStr">
        <is>
          <t>NIFTY REALTY</t>
        </is>
      </c>
      <c r="B11" s="9" t="n">
        <v>10</v>
      </c>
      <c r="C11" s="9" t="n">
        <v>1</v>
      </c>
      <c r="D11" s="9" t="n">
        <v>1</v>
      </c>
      <c r="E11" s="9" t="n">
        <v>1</v>
      </c>
      <c r="F11" s="10" t="n">
        <v>0.1</v>
      </c>
      <c r="G11" s="10" t="n">
        <v>0.1</v>
      </c>
      <c r="H11" s="10" t="n">
        <v>0.1</v>
      </c>
      <c r="I11" s="11" t="n">
        <v>0.1</v>
      </c>
    </row>
    <row r="12" ht="17" customHeight="1">
      <c r="A12" s="4" t="inlineStr">
        <is>
          <t>NIFTY METAL</t>
        </is>
      </c>
      <c r="B12" s="5" t="n">
        <v>15</v>
      </c>
      <c r="C12" s="5" t="n">
        <v>1</v>
      </c>
      <c r="D12" s="5" t="n">
        <v>1</v>
      </c>
      <c r="E12" s="5" t="n">
        <v>2</v>
      </c>
      <c r="F12" s="6" t="n">
        <v>0.067</v>
      </c>
      <c r="G12" s="6" t="n">
        <v>0.067</v>
      </c>
      <c r="H12" s="6" t="n">
        <v>0.133</v>
      </c>
      <c r="I12" s="7" t="n">
        <v>0.08900000000000001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0</v>
      </c>
      <c r="D13" s="9" t="n">
        <v>2</v>
      </c>
      <c r="E13" s="9" t="n">
        <v>2</v>
      </c>
      <c r="F13" s="10" t="n">
        <v>0</v>
      </c>
      <c r="G13" s="10" t="n">
        <v>0.133</v>
      </c>
      <c r="H13" s="10" t="n">
        <v>0.133</v>
      </c>
      <c r="I13" s="11" t="n">
        <v>0.08869999999999999</v>
      </c>
    </row>
    <row r="14" ht="17" customHeight="1">
      <c r="A14" s="4" t="inlineStr">
        <is>
          <t>NIFTY ENERGY</t>
        </is>
      </c>
      <c r="B14" s="5" t="n">
        <v>40</v>
      </c>
      <c r="C14" s="5" t="n">
        <v>1</v>
      </c>
      <c r="D14" s="5" t="n">
        <v>1</v>
      </c>
      <c r="E14" s="5" t="n">
        <v>7</v>
      </c>
      <c r="F14" s="6" t="n">
        <v>0.025</v>
      </c>
      <c r="G14" s="6" t="n">
        <v>0.025</v>
      </c>
      <c r="H14" s="6" t="n">
        <v>0.175</v>
      </c>
      <c r="I14" s="7" t="n">
        <v>0.075</v>
      </c>
    </row>
    <row r="15" ht="17" customHeight="1">
      <c r="A15" s="8" t="inlineStr">
        <is>
          <t>NIFTY AUTO</t>
        </is>
      </c>
      <c r="B15" s="9" t="n">
        <v>15</v>
      </c>
      <c r="C15" s="9" t="n">
        <v>0</v>
      </c>
      <c r="D15" s="9" t="n">
        <v>0</v>
      </c>
      <c r="E15" s="9" t="n">
        <v>3</v>
      </c>
      <c r="F15" s="10" t="n">
        <v>0</v>
      </c>
      <c r="G15" s="10" t="n">
        <v>0</v>
      </c>
      <c r="H15" s="10" t="n">
        <v>0.2</v>
      </c>
      <c r="I15" s="11" t="n">
        <v>0.0667</v>
      </c>
    </row>
    <row r="16" ht="17" customHeight="1">
      <c r="A16" s="4" t="inlineStr">
        <is>
          <t>NIFTY BANK</t>
        </is>
      </c>
      <c r="B16" s="5" t="n">
        <v>12</v>
      </c>
      <c r="C16" s="5" t="n">
        <v>0</v>
      </c>
      <c r="D16" s="5" t="n">
        <v>0</v>
      </c>
      <c r="E16" s="5" t="n">
        <v>1</v>
      </c>
      <c r="F16" s="6" t="n">
        <v>0</v>
      </c>
      <c r="G16" s="6" t="n">
        <v>0</v>
      </c>
      <c r="H16" s="6" t="n">
        <v>0.083</v>
      </c>
      <c r="I16" s="7" t="n">
        <v>0.0277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MEDIA</t>
        </is>
      </c>
      <c r="B3" s="13" t="inlineStr">
        <is>
          <t>NAZARA</t>
        </is>
      </c>
      <c r="C3" s="14" t="n">
        <v>376</v>
      </c>
      <c r="D3" s="14" t="n">
        <v>375.29</v>
      </c>
      <c r="E3" s="14" t="n">
        <v>359.67</v>
      </c>
      <c r="F3" s="14" t="n">
        <v>310.87</v>
      </c>
      <c r="G3" s="15">
        <f>HYPERLINK("https://www.tradingview.com/chart/?symbol=NSE:NAZARA","Chart 📈")</f>
        <v/>
      </c>
    </row>
    <row r="4" ht="16" customHeight="1">
      <c r="A4" s="16" t="inlineStr">
        <is>
          <t>NIFTY MEDIA</t>
        </is>
      </c>
      <c r="B4" s="13" t="inlineStr">
        <is>
          <t>PVRINOX</t>
        </is>
      </c>
      <c r="C4" s="14" t="n">
        <v>1309.2</v>
      </c>
      <c r="D4" s="14" t="n">
        <v>1256.14</v>
      </c>
      <c r="E4" s="14" t="n">
        <v>1210.99</v>
      </c>
      <c r="F4" s="14" t="n">
        <v>1103.6</v>
      </c>
      <c r="G4" s="15">
        <f>HYPERLINK("https://www.tradingview.com/chart/?symbol=NSE:PVRINOX","Chart 📈")</f>
        <v/>
      </c>
    </row>
    <row r="5" ht="16" customHeight="1">
      <c r="A5" s="16" t="inlineStr">
        <is>
          <t>NIFTY MEDIA</t>
        </is>
      </c>
      <c r="B5" s="13" t="inlineStr">
        <is>
          <t>SUNTV</t>
        </is>
      </c>
      <c r="C5" s="14" t="n">
        <v>614.2</v>
      </c>
      <c r="D5" s="14" t="n">
        <v>547.9400000000001</v>
      </c>
      <c r="E5" s="14" t="n">
        <v>513.98</v>
      </c>
      <c r="F5" s="14" t="n">
        <v>524.61</v>
      </c>
      <c r="G5" s="15">
        <f>HYPERLINK("https://www.tradingview.com/chart/?symbol=NSE:SUNTV","Chart 📈")</f>
        <v/>
      </c>
    </row>
    <row r="6" ht="16" customHeight="1">
      <c r="A6" s="8" t="inlineStr">
        <is>
          <t>NIFTY PHARMA</t>
        </is>
      </c>
      <c r="B6" s="17" t="inlineStr">
        <is>
          <t>DIVISLAB</t>
        </is>
      </c>
      <c r="C6" s="18" t="n">
        <v>9361</v>
      </c>
      <c r="D6" s="18" t="n">
        <v>9350.66</v>
      </c>
      <c r="E6" s="18" t="n">
        <v>8918.15</v>
      </c>
      <c r="F6" s="18" t="n">
        <v>7533.23</v>
      </c>
      <c r="G6" s="19">
        <f>HYPERLINK("https://www.tradingview.com/chart/?symbol=NSE:DIVISLAB","Chart 📈")</f>
        <v/>
      </c>
    </row>
    <row r="7" ht="16" customHeight="1">
      <c r="A7" s="20" t="inlineStr">
        <is>
          <t>NIFTY PHARMA</t>
        </is>
      </c>
      <c r="B7" s="17" t="inlineStr">
        <is>
          <t>GLAND</t>
        </is>
      </c>
      <c r="C7" s="18" t="n">
        <v>3079.1</v>
      </c>
      <c r="D7" s="18" t="n">
        <v>2948.49</v>
      </c>
      <c r="E7" s="18" t="n">
        <v>2831.75</v>
      </c>
      <c r="F7" s="18" t="n">
        <v>2362.83</v>
      </c>
      <c r="G7" s="19">
        <f>HYPERLINK("https://www.tradingview.com/chart/?symbol=NSE:GLAND","Chart 📈")</f>
        <v/>
      </c>
    </row>
    <row r="8" ht="16" customHeight="1">
      <c r="A8" s="20" t="inlineStr">
        <is>
          <t>NIFTY PHARMA</t>
        </is>
      </c>
      <c r="B8" s="17" t="inlineStr">
        <is>
          <t>LAURUSLABS</t>
        </is>
      </c>
      <c r="C8" s="18" t="n">
        <v>1997.9</v>
      </c>
      <c r="D8" s="18" t="n">
        <v>1981.82</v>
      </c>
      <c r="E8" s="18" t="n">
        <v>1885.83</v>
      </c>
      <c r="F8" s="18" t="n">
        <v>1490.15</v>
      </c>
      <c r="G8" s="19">
        <f>HYPERLINK("https://www.tradingview.com/chart/?symbol=NSE:LAURUSLABS","Chart 📈")</f>
        <v/>
      </c>
    </row>
    <row r="9" ht="16" customHeight="1">
      <c r="A9" s="12" t="inlineStr">
        <is>
          <t>NIFTY FINANCIAL SERVICES</t>
        </is>
      </c>
      <c r="B9" s="13" t="inlineStr">
        <is>
          <t>KOTAKBANK</t>
        </is>
      </c>
      <c r="C9" s="14" t="n">
        <v>435</v>
      </c>
      <c r="D9" s="14" t="n">
        <v>418.7</v>
      </c>
      <c r="E9" s="14" t="n">
        <v>410.67</v>
      </c>
      <c r="F9" s="14" t="n">
        <v>403.11</v>
      </c>
      <c r="G9" s="15">
        <f>HYPERLINK("https://www.tradingview.com/chart/?symbol=NSE:KOTAKBANK","Chart 📈")</f>
        <v/>
      </c>
    </row>
    <row r="10" ht="16" customHeight="1">
      <c r="A10" s="16" t="inlineStr">
        <is>
          <t>NIFTY FINANCIAL SERVICES</t>
        </is>
      </c>
      <c r="B10" s="13" t="inlineStr">
        <is>
          <t>LICHSGFIN</t>
        </is>
      </c>
      <c r="C10" s="14" t="n">
        <v>537</v>
      </c>
      <c r="D10" s="14" t="n">
        <v>534.04</v>
      </c>
      <c r="E10" s="14" t="n">
        <v>533.99</v>
      </c>
      <c r="F10" s="14" t="n">
        <v>531.58</v>
      </c>
      <c r="G10" s="15">
        <f>HYPERLINK("https://www.tradingview.com/chart/?symbol=NSE:LICHSGFIN","Chart 📈")</f>
        <v/>
      </c>
    </row>
    <row r="11" ht="16" customHeight="1">
      <c r="A11" s="8" t="inlineStr">
        <is>
          <t>NIFTY MIDSMALL IT &amp; TELECOM</t>
        </is>
      </c>
      <c r="B11" s="17" t="inlineStr">
        <is>
          <t>HFCL</t>
        </is>
      </c>
      <c r="C11" s="18" t="n">
        <v>258.31</v>
      </c>
      <c r="D11" s="18" t="n">
        <v>236.27</v>
      </c>
      <c r="E11" s="18" t="n">
        <v>225.58</v>
      </c>
      <c r="F11" s="18" t="n">
        <v>168.1</v>
      </c>
      <c r="G11" s="19">
        <f>HYPERLINK("https://www.tradingview.com/chart/?symbol=NSE:HFCL","Chart 📈")</f>
        <v/>
      </c>
    </row>
    <row r="12" ht="16" customHeight="1">
      <c r="A12" s="20" t="inlineStr">
        <is>
          <t>NIFTY MIDSMALL IT &amp; TELECOM</t>
        </is>
      </c>
      <c r="B12" s="17" t="inlineStr">
        <is>
          <t>PERSISTENT</t>
        </is>
      </c>
      <c r="C12" s="18" t="n">
        <v>5468</v>
      </c>
      <c r="D12" s="18" t="n">
        <v>5430.18</v>
      </c>
      <c r="E12" s="18" t="n">
        <v>5411.22</v>
      </c>
      <c r="F12" s="18" t="n">
        <v>5330.16</v>
      </c>
      <c r="G12" s="19">
        <f>HYPERLINK("https://www.tradingview.com/chart/?symbol=NSE:PERSISTENT","Chart 📈")</f>
        <v/>
      </c>
    </row>
    <row r="13" ht="16" customHeight="1">
      <c r="A13" s="12" t="inlineStr">
        <is>
          <t>NIFTY PSU BANK</t>
        </is>
      </c>
      <c r="B13" s="13" t="inlineStr">
        <is>
          <t>MAHABANK</t>
        </is>
      </c>
      <c r="C13" s="14" t="n">
        <v>82.05</v>
      </c>
      <c r="D13" s="14" t="n">
        <v>81.89</v>
      </c>
      <c r="E13" s="14" t="n">
        <v>81.95999999999999</v>
      </c>
      <c r="F13" s="14" t="n">
        <v>75.81999999999999</v>
      </c>
      <c r="G13" s="15">
        <f>HYPERLINK("https://www.tradingview.com/chart/?symbol=NSE:MAHABANK","Chart 📈")</f>
        <v/>
      </c>
    </row>
    <row r="14" ht="16" customHeight="1">
      <c r="A14" s="16" t="inlineStr">
        <is>
          <t>NIFTY PSU BANK</t>
        </is>
      </c>
      <c r="B14" s="13" t="inlineStr">
        <is>
          <t>PNB</t>
        </is>
      </c>
      <c r="C14" s="14" t="n">
        <v>115.29</v>
      </c>
      <c r="D14" s="14" t="n">
        <v>114.19</v>
      </c>
      <c r="E14" s="14" t="n">
        <v>113.97</v>
      </c>
      <c r="F14" s="14" t="n">
        <v>112.03</v>
      </c>
      <c r="G14" s="15">
        <f>HYPERLINK("https://www.tradingview.com/chart/?symbol=NSE:PNB","Chart 📈")</f>
        <v/>
      </c>
    </row>
    <row r="15" ht="16" customHeight="1">
      <c r="A15" s="8" t="inlineStr">
        <is>
          <t>NIFTY OIL &amp; GAS</t>
        </is>
      </c>
      <c r="B15" s="17" t="inlineStr">
        <is>
          <t>AEGISLOG</t>
        </is>
      </c>
      <c r="C15" s="18" t="n">
        <v>1382.3</v>
      </c>
      <c r="D15" s="18" t="n">
        <v>1373.64</v>
      </c>
      <c r="E15" s="18" t="n">
        <v>1323.22</v>
      </c>
      <c r="F15" s="18" t="n">
        <v>1056.93</v>
      </c>
      <c r="G15" s="19">
        <f>HYPERLINK("https://www.tradingview.com/chart/?symbol=NSE:AEGISLOG","Chart 📈")</f>
        <v/>
      </c>
    </row>
    <row r="16" ht="16" customHeight="1">
      <c r="A16" s="20" t="inlineStr">
        <is>
          <t>NIFTY OIL &amp; GAS</t>
        </is>
      </c>
      <c r="B16" s="17" t="inlineStr">
        <is>
          <t>CASTROLIND</t>
        </is>
      </c>
      <c r="C16" s="18" t="n">
        <v>196.08</v>
      </c>
      <c r="D16" s="18" t="n">
        <v>195.9</v>
      </c>
      <c r="E16" s="18" t="n">
        <v>190.98</v>
      </c>
      <c r="F16" s="18" t="n">
        <v>183.63</v>
      </c>
      <c r="G16" s="19">
        <f>HYPERLINK("https://www.tradingview.com/chart/?symbol=NSE:CASTROLIND","Chart 📈")</f>
        <v/>
      </c>
    </row>
    <row r="17" ht="16" customHeight="1">
      <c r="A17" s="12" t="inlineStr">
        <is>
          <t>NIFTY FMCG</t>
        </is>
      </c>
      <c r="B17" s="13" t="inlineStr">
        <is>
          <t>BALRAMCHIN</t>
        </is>
      </c>
      <c r="C17" s="14" t="n">
        <v>689.45</v>
      </c>
      <c r="D17" s="14" t="n">
        <v>677.0599999999999</v>
      </c>
      <c r="E17" s="14" t="n">
        <v>660.59</v>
      </c>
      <c r="F17" s="14" t="n">
        <v>574.78</v>
      </c>
      <c r="G17" s="15">
        <f>HYPERLINK("https://www.tradingview.com/chart/?symbol=NSE:BALRAMCHIN","Chart 📈")</f>
        <v/>
      </c>
    </row>
    <row r="18" ht="16" customHeight="1">
      <c r="A18" s="8" t="inlineStr">
        <is>
          <t>NIFTY REALTY</t>
        </is>
      </c>
      <c r="B18" s="17" t="inlineStr">
        <is>
          <t>RAYMOND</t>
        </is>
      </c>
      <c r="C18" s="18" t="n">
        <v>1167.1</v>
      </c>
      <c r="D18" s="18" t="n">
        <v>1112.98</v>
      </c>
      <c r="E18" s="18" t="n">
        <v>925.37</v>
      </c>
      <c r="F18" s="18" t="n">
        <v>658.28</v>
      </c>
      <c r="G18" s="19">
        <f>HYPERLINK("https://www.tradingview.com/chart/?symbol=NSE:RAYMOND","Chart 📈")</f>
        <v/>
      </c>
    </row>
    <row r="19" ht="16" customHeight="1">
      <c r="A19" s="12" t="inlineStr">
        <is>
          <t>NIFTY METAL</t>
        </is>
      </c>
      <c r="B19" s="13" t="inlineStr">
        <is>
          <t>WELCORP</t>
        </is>
      </c>
      <c r="C19" s="14" t="n">
        <v>2651.3</v>
      </c>
      <c r="D19" s="14" t="n">
        <v>2627.23</v>
      </c>
      <c r="E19" s="14" t="n">
        <v>2384.05</v>
      </c>
      <c r="F19" s="14" t="n">
        <v>1646.92</v>
      </c>
      <c r="G19" s="15">
        <f>HYPERLINK("https://www.tradingview.com/chart/?symbol=NSE:WELCORP","Chart 📈")</f>
        <v/>
      </c>
    </row>
    <row r="20" ht="16" customHeight="1">
      <c r="A20" s="8" t="inlineStr">
        <is>
          <t>NIFTY ENERGY</t>
        </is>
      </c>
      <c r="B20" s="17" t="inlineStr">
        <is>
          <t>BHEL</t>
        </is>
      </c>
      <c r="C20" s="18" t="n">
        <v>429.6</v>
      </c>
      <c r="D20" s="18" t="n">
        <v>427.44</v>
      </c>
      <c r="E20" s="18" t="n">
        <v>421</v>
      </c>
      <c r="F20" s="18" t="n">
        <v>366.79</v>
      </c>
      <c r="G20" s="19">
        <f>HYPERLINK("https://www.tradingview.com/chart/?symbol=NSE:BHEL","Chart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2026-10-08T17:54:55Z</dcterms:created>
  <dcterms:modified xmlns:dcterms="http://purl.org/dc/terms/" xmlns:xsi="http://www.w3.org/2001/XMLSchema-instance" xsi:type="dcterms:W3CDTF">2026-10-08T17:54:55Z</dcterms:modified>
</cp:coreProperties>
</file>