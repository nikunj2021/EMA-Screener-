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16-Jun-2026  16:02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12</v>
      </c>
      <c r="D4" s="5" t="n">
        <v>10</v>
      </c>
      <c r="E4" s="5" t="n">
        <v>7</v>
      </c>
      <c r="F4" s="6" t="n">
        <v>1</v>
      </c>
      <c r="G4" s="6" t="n">
        <v>0.833</v>
      </c>
      <c r="H4" s="6" t="n">
        <v>0.583</v>
      </c>
      <c r="I4" s="7" t="n">
        <v>0.8053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10</v>
      </c>
      <c r="E5" s="9" t="n">
        <v>4</v>
      </c>
      <c r="F5" s="10" t="n">
        <v>1</v>
      </c>
      <c r="G5" s="10" t="n">
        <v>1</v>
      </c>
      <c r="H5" s="10" t="n">
        <v>0.4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14</v>
      </c>
      <c r="D6" s="5" t="n">
        <v>11</v>
      </c>
      <c r="E6" s="5" t="n">
        <v>7</v>
      </c>
      <c r="F6" s="6" t="n">
        <v>0.9329999999999999</v>
      </c>
      <c r="G6" s="6" t="n">
        <v>0.733</v>
      </c>
      <c r="H6" s="6" t="n">
        <v>0.467</v>
      </c>
      <c r="I6" s="7" t="n">
        <v>0.711</v>
      </c>
    </row>
    <row r="7" ht="17" customHeight="1">
      <c r="A7" s="8" t="inlineStr">
        <is>
          <t>NIFTY OIL &amp; GAS</t>
        </is>
      </c>
      <c r="B7" s="9" t="n">
        <v>15</v>
      </c>
      <c r="C7" s="9" t="n">
        <v>12</v>
      </c>
      <c r="D7" s="9" t="n">
        <v>11</v>
      </c>
      <c r="E7" s="9" t="n">
        <v>5</v>
      </c>
      <c r="F7" s="10" t="n">
        <v>0.8</v>
      </c>
      <c r="G7" s="10" t="n">
        <v>0.733</v>
      </c>
      <c r="H7" s="10" t="n">
        <v>0.333</v>
      </c>
      <c r="I7" s="11" t="n">
        <v>0.622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15</v>
      </c>
      <c r="D8" s="5" t="n">
        <v>14</v>
      </c>
      <c r="E8" s="5" t="n">
        <v>8</v>
      </c>
      <c r="F8" s="6" t="n">
        <v>0.75</v>
      </c>
      <c r="G8" s="6" t="n">
        <v>0.7</v>
      </c>
      <c r="H8" s="6" t="n">
        <v>0.4</v>
      </c>
      <c r="I8" s="7" t="n">
        <v>0.6167</v>
      </c>
    </row>
    <row r="9" ht="17" customHeight="1">
      <c r="A9" s="8" t="inlineStr">
        <is>
          <t>NIFTY MEDIA</t>
        </is>
      </c>
      <c r="B9" s="9" t="n">
        <v>10</v>
      </c>
      <c r="C9" s="9" t="n">
        <v>7</v>
      </c>
      <c r="D9" s="9" t="n">
        <v>7</v>
      </c>
      <c r="E9" s="9" t="n">
        <v>4</v>
      </c>
      <c r="F9" s="10" t="n">
        <v>0.7</v>
      </c>
      <c r="G9" s="10" t="n">
        <v>0.7</v>
      </c>
      <c r="H9" s="10" t="n">
        <v>0.4</v>
      </c>
      <c r="I9" s="11" t="n">
        <v>0.6</v>
      </c>
    </row>
    <row r="10" ht="17" customHeight="1">
      <c r="A10" s="4" t="inlineStr">
        <is>
          <t>NIFTY PHARMA</t>
        </is>
      </c>
      <c r="B10" s="5" t="n">
        <v>20</v>
      </c>
      <c r="C10" s="5" t="n">
        <v>8</v>
      </c>
      <c r="D10" s="5" t="n">
        <v>12</v>
      </c>
      <c r="E10" s="5" t="n">
        <v>16</v>
      </c>
      <c r="F10" s="6" t="n">
        <v>0.4</v>
      </c>
      <c r="G10" s="6" t="n">
        <v>0.6</v>
      </c>
      <c r="H10" s="6" t="n">
        <v>0.8</v>
      </c>
      <c r="I10" s="7" t="n">
        <v>0.6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13</v>
      </c>
      <c r="D11" s="9" t="n">
        <v>11</v>
      </c>
      <c r="E11" s="9" t="n">
        <v>10</v>
      </c>
      <c r="F11" s="10" t="n">
        <v>0.65</v>
      </c>
      <c r="G11" s="10" t="n">
        <v>0.55</v>
      </c>
      <c r="H11" s="10" t="n">
        <v>0.5</v>
      </c>
      <c r="I11" s="11" t="n">
        <v>0.5667</v>
      </c>
    </row>
    <row r="12" ht="17" customHeight="1">
      <c r="A12" s="4" t="inlineStr">
        <is>
          <t>NIFTY FMCG</t>
        </is>
      </c>
      <c r="B12" s="5" t="n">
        <v>15</v>
      </c>
      <c r="C12" s="5" t="n">
        <v>9</v>
      </c>
      <c r="D12" s="5" t="n">
        <v>8</v>
      </c>
      <c r="E12" s="5" t="n">
        <v>6</v>
      </c>
      <c r="F12" s="6" t="n">
        <v>0.6</v>
      </c>
      <c r="G12" s="6" t="n">
        <v>0.5329999999999999</v>
      </c>
      <c r="H12" s="6" t="n">
        <v>0.4</v>
      </c>
      <c r="I12" s="7" t="n">
        <v>0.511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10</v>
      </c>
      <c r="D13" s="9" t="n">
        <v>7</v>
      </c>
      <c r="E13" s="9" t="n">
        <v>4</v>
      </c>
      <c r="F13" s="10" t="n">
        <v>0.667</v>
      </c>
      <c r="G13" s="10" t="n">
        <v>0.467</v>
      </c>
      <c r="H13" s="10" t="n">
        <v>0.267</v>
      </c>
      <c r="I13" s="11" t="n">
        <v>0.467</v>
      </c>
    </row>
    <row r="14" ht="17" customHeight="1">
      <c r="A14" s="4" t="inlineStr">
        <is>
          <t>NIFTY METAL</t>
        </is>
      </c>
      <c r="B14" s="5" t="n">
        <v>15</v>
      </c>
      <c r="C14" s="5" t="n">
        <v>5</v>
      </c>
      <c r="D14" s="5" t="n">
        <v>4</v>
      </c>
      <c r="E14" s="5" t="n">
        <v>12</v>
      </c>
      <c r="F14" s="6" t="n">
        <v>0.333</v>
      </c>
      <c r="G14" s="6" t="n">
        <v>0.267</v>
      </c>
      <c r="H14" s="6" t="n">
        <v>0.8</v>
      </c>
      <c r="I14" s="7" t="n">
        <v>0.4667</v>
      </c>
    </row>
    <row r="15" ht="17" customHeight="1">
      <c r="A15" s="8" t="inlineStr">
        <is>
          <t>NIFTY ENERGY</t>
        </is>
      </c>
      <c r="B15" s="9" t="n">
        <v>40</v>
      </c>
      <c r="C15" s="9" t="n">
        <v>10</v>
      </c>
      <c r="D15" s="9" t="n">
        <v>14</v>
      </c>
      <c r="E15" s="9" t="n">
        <v>19</v>
      </c>
      <c r="F15" s="10" t="n">
        <v>0.25</v>
      </c>
      <c r="G15" s="10" t="n">
        <v>0.35</v>
      </c>
      <c r="H15" s="10" t="n">
        <v>0.475</v>
      </c>
      <c r="I15" s="11" t="n">
        <v>0.3583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275.35</v>
      </c>
      <c r="D3" s="14" t="n">
        <v>265.74</v>
      </c>
      <c r="E3" s="14" t="n">
        <v>264.86</v>
      </c>
      <c r="F3" s="14" t="n">
        <v>264.91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145.67</v>
      </c>
      <c r="D4" s="14" t="n">
        <v>141.85</v>
      </c>
      <c r="E4" s="14" t="n">
        <v>141.6</v>
      </c>
      <c r="F4" s="14" t="n">
        <v>138.11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132.83</v>
      </c>
      <c r="D5" s="14" t="n">
        <v>129.32</v>
      </c>
      <c r="E5" s="14" t="n">
        <v>130.39</v>
      </c>
      <c r="F5" s="14" t="n">
        <v>130.34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853.3</v>
      </c>
      <c r="D6" s="14" t="n">
        <v>831.4299999999999</v>
      </c>
      <c r="E6" s="14" t="n">
        <v>840.1900000000001</v>
      </c>
      <c r="F6" s="14" t="n">
        <v>810.73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88.19</v>
      </c>
      <c r="D7" s="14" t="n">
        <v>81.89</v>
      </c>
      <c r="E7" s="14" t="n">
        <v>77.75</v>
      </c>
      <c r="F7" s="14" t="n">
        <v>66.94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SBIN</t>
        </is>
      </c>
      <c r="C8" s="14" t="n">
        <v>1015.3</v>
      </c>
      <c r="D8" s="14" t="n">
        <v>992.35</v>
      </c>
      <c r="E8" s="14" t="n">
        <v>1005.31</v>
      </c>
      <c r="F8" s="14" t="n">
        <v>976.63</v>
      </c>
      <c r="G8" s="15">
        <f>HYPERLINK("https://www.tradingview.com/chart/?symbol=NSE:SBIN","Chart 📈")</f>
        <v/>
      </c>
    </row>
    <row r="9" ht="16" customHeight="1">
      <c r="A9" s="16" t="inlineStr">
        <is>
          <t>NIFTY PSU BANK</t>
        </is>
      </c>
      <c r="B9" s="13" t="inlineStr">
        <is>
          <t>UNIONBANK</t>
        </is>
      </c>
      <c r="C9" s="14" t="n">
        <v>170.56</v>
      </c>
      <c r="D9" s="14" t="n">
        <v>167.38</v>
      </c>
      <c r="E9" s="14" t="n">
        <v>169.41</v>
      </c>
      <c r="F9" s="14" t="n">
        <v>164.1</v>
      </c>
      <c r="G9" s="15">
        <f>HYPERLINK("https://www.tradingview.com/chart/?symbol=NSE:UNIONBANK","Chart 📈")</f>
        <v/>
      </c>
    </row>
    <row r="10" ht="16" customHeight="1">
      <c r="A10" s="8" t="inlineStr">
        <is>
          <t>NIFTY REALTY</t>
        </is>
      </c>
      <c r="B10" s="17" t="inlineStr">
        <is>
          <t>OBEROIRLTY</t>
        </is>
      </c>
      <c r="C10" s="18" t="n">
        <v>1704.8</v>
      </c>
      <c r="D10" s="18" t="n">
        <v>1646.22</v>
      </c>
      <c r="E10" s="18" t="n">
        <v>1634.5</v>
      </c>
      <c r="F10" s="18" t="n">
        <v>1647.16</v>
      </c>
      <c r="G10" s="19">
        <f>HYPERLINK("https://www.tradingview.com/chart/?symbol=NSE:OBEROIRLTY","Chart 📈")</f>
        <v/>
      </c>
    </row>
    <row r="11" ht="16" customHeight="1">
      <c r="A11" s="20" t="inlineStr">
        <is>
          <t>NIFTY REALTY</t>
        </is>
      </c>
      <c r="B11" s="17" t="inlineStr">
        <is>
          <t>PHOENIXLTD</t>
        </is>
      </c>
      <c r="C11" s="18" t="n">
        <v>1868.2</v>
      </c>
      <c r="D11" s="18" t="n">
        <v>1771.47</v>
      </c>
      <c r="E11" s="18" t="n">
        <v>1750.71</v>
      </c>
      <c r="F11" s="18" t="n">
        <v>1703.87</v>
      </c>
      <c r="G11" s="19">
        <f>HYPERLINK("https://www.tradingview.com/chart/?symbol=NSE:PHOENIXLTD","Chart 📈")</f>
        <v/>
      </c>
    </row>
    <row r="12" ht="16" customHeight="1">
      <c r="A12" s="20" t="inlineStr">
        <is>
          <t>NIFTY REALTY</t>
        </is>
      </c>
      <c r="B12" s="17" t="inlineStr">
        <is>
          <t>PRESTIGE</t>
        </is>
      </c>
      <c r="C12" s="18" t="n">
        <v>1521.1</v>
      </c>
      <c r="D12" s="18" t="n">
        <v>1391.05</v>
      </c>
      <c r="E12" s="18" t="n">
        <v>1384.01</v>
      </c>
      <c r="F12" s="18" t="n">
        <v>1478.1</v>
      </c>
      <c r="G12" s="19">
        <f>HYPERLINK("https://www.tradingview.com/chart/?symbol=NSE:PRESTIGE","Chart 📈")</f>
        <v/>
      </c>
    </row>
    <row r="13" ht="16" customHeight="1">
      <c r="A13" s="20" t="inlineStr">
        <is>
          <t>NIFTY REALTY</t>
        </is>
      </c>
      <c r="B13" s="17" t="inlineStr">
        <is>
          <t>RAYMOND</t>
        </is>
      </c>
      <c r="C13" s="18" t="n">
        <v>590.1</v>
      </c>
      <c r="D13" s="18" t="n">
        <v>539.75</v>
      </c>
      <c r="E13" s="18" t="n">
        <v>497.78</v>
      </c>
      <c r="F13" s="18" t="n">
        <v>486.42</v>
      </c>
      <c r="G13" s="19">
        <f>HYPERLINK("https://www.tradingview.com/chart/?symbol=NSE:RAYMOND","Chart 📈")</f>
        <v/>
      </c>
    </row>
    <row r="14" ht="16" customHeight="1">
      <c r="A14" s="12" t="inlineStr">
        <is>
          <t>NIFTY AUTO</t>
        </is>
      </c>
      <c r="B14" s="13" t="inlineStr">
        <is>
          <t>ASHOKLEY</t>
        </is>
      </c>
      <c r="C14" s="14" t="n">
        <v>158.5</v>
      </c>
      <c r="D14" s="14" t="n">
        <v>150.92</v>
      </c>
      <c r="E14" s="14" t="n">
        <v>157.24</v>
      </c>
      <c r="F14" s="14" t="n">
        <v>157.66</v>
      </c>
      <c r="G14" s="15">
        <f>HYPERLINK("https://www.tradingview.com/chart/?symbol=NSE:ASHOKLEY","Chart 📈")</f>
        <v/>
      </c>
    </row>
    <row r="15" ht="16" customHeight="1">
      <c r="A15" s="16" t="inlineStr">
        <is>
          <t>NIFTY AUTO</t>
        </is>
      </c>
      <c r="B15" s="13" t="inlineStr">
        <is>
          <t>BHARATFORG</t>
        </is>
      </c>
      <c r="C15" s="14" t="n">
        <v>2012.3</v>
      </c>
      <c r="D15" s="14" t="n">
        <v>1940.73</v>
      </c>
      <c r="E15" s="14" t="n">
        <v>1888.64</v>
      </c>
      <c r="F15" s="14" t="n">
        <v>1642.04</v>
      </c>
      <c r="G15" s="15">
        <f>HYPERLINK("https://www.tradingview.com/chart/?symbol=NSE:BHARATFORG","Chart 📈")</f>
        <v/>
      </c>
    </row>
    <row r="16" ht="16" customHeight="1">
      <c r="A16" s="16" t="inlineStr">
        <is>
          <t>NIFTY AUTO</t>
        </is>
      </c>
      <c r="B16" s="13" t="inlineStr">
        <is>
          <t>BOSCHLTD</t>
        </is>
      </c>
      <c r="C16" s="14" t="n">
        <v>39045</v>
      </c>
      <c r="D16" s="14" t="n">
        <v>37508.41</v>
      </c>
      <c r="E16" s="14" t="n">
        <v>36638.3</v>
      </c>
      <c r="F16" s="14" t="n">
        <v>35913.2</v>
      </c>
      <c r="G16" s="15">
        <f>HYPERLINK("https://www.tradingview.com/chart/?symbol=NSE:BOSCHLTD","Chart 📈")</f>
        <v/>
      </c>
    </row>
    <row r="17" ht="16" customHeight="1">
      <c r="A17" s="16" t="inlineStr">
        <is>
          <t>NIFTY AUTO</t>
        </is>
      </c>
      <c r="B17" s="13" t="inlineStr">
        <is>
          <t>EICHERMOT</t>
        </is>
      </c>
      <c r="C17" s="14" t="n">
        <v>7560.5</v>
      </c>
      <c r="D17" s="14" t="n">
        <v>7244.21</v>
      </c>
      <c r="E17" s="14" t="n">
        <v>7194.91</v>
      </c>
      <c r="F17" s="14" t="n">
        <v>6941.98</v>
      </c>
      <c r="G17" s="15">
        <f>HYPERLINK("https://www.tradingview.com/chart/?symbol=NSE:EICHERMOT","Chart 📈")</f>
        <v/>
      </c>
    </row>
    <row r="18" ht="16" customHeight="1">
      <c r="A18" s="16" t="inlineStr">
        <is>
          <t>NIFTY AUTO</t>
        </is>
      </c>
      <c r="B18" s="13" t="inlineStr">
        <is>
          <t>EXIDEIND</t>
        </is>
      </c>
      <c r="C18" s="14" t="n">
        <v>388.55</v>
      </c>
      <c r="D18" s="14" t="n">
        <v>382.48</v>
      </c>
      <c r="E18" s="14" t="n">
        <v>364.14</v>
      </c>
      <c r="F18" s="14" t="n">
        <v>358.36</v>
      </c>
      <c r="G18" s="15">
        <f>HYPERLINK("https://www.tradingview.com/chart/?symbol=NSE:EXIDEIND","Chart 📈")</f>
        <v/>
      </c>
    </row>
    <row r="19" ht="16" customHeight="1">
      <c r="A19" s="16" t="inlineStr">
        <is>
          <t>NIFTY AUTO</t>
        </is>
      </c>
      <c r="B19" s="13" t="inlineStr">
        <is>
          <t>MOTHERSON</t>
        </is>
      </c>
      <c r="C19" s="14" t="n">
        <v>147.6</v>
      </c>
      <c r="D19" s="14" t="n">
        <v>140.88</v>
      </c>
      <c r="E19" s="14" t="n">
        <v>133.64</v>
      </c>
      <c r="F19" s="14" t="n">
        <v>120.08</v>
      </c>
      <c r="G19" s="15">
        <f>HYPERLINK("https://www.tradingview.com/chart/?symbol=NSE:MOTHERSON","Chart 📈")</f>
        <v/>
      </c>
    </row>
    <row r="20" ht="16" customHeight="1">
      <c r="A20" s="8" t="inlineStr">
        <is>
          <t>NIFTY OIL &amp; GAS</t>
        </is>
      </c>
      <c r="B20" s="17" t="inlineStr">
        <is>
          <t>AEGISLOG</t>
        </is>
      </c>
      <c r="C20" s="18" t="n">
        <v>985.7</v>
      </c>
      <c r="D20" s="18" t="n">
        <v>815.84</v>
      </c>
      <c r="E20" s="18" t="n">
        <v>750.08</v>
      </c>
      <c r="F20" s="18" t="n">
        <v>724.55</v>
      </c>
      <c r="G20" s="19">
        <f>HYPERLINK("https://www.tradingview.com/chart/?symbol=NSE:AEGISLOG","Chart 📈")</f>
        <v/>
      </c>
    </row>
    <row r="21" ht="16" customHeight="1">
      <c r="A21" s="20" t="inlineStr">
        <is>
          <t>NIFTY OIL &amp; GAS</t>
        </is>
      </c>
      <c r="B21" s="17" t="inlineStr">
        <is>
          <t>ATGL</t>
        </is>
      </c>
      <c r="C21" s="18" t="n">
        <v>713.7</v>
      </c>
      <c r="D21" s="18" t="n">
        <v>713.34</v>
      </c>
      <c r="E21" s="18" t="n">
        <v>666.03</v>
      </c>
      <c r="F21" s="18" t="n">
        <v>614.1</v>
      </c>
      <c r="G21" s="19">
        <f>HYPERLINK("https://www.tradingview.com/chart/?symbol=NSE:ATGL","Chart 📈")</f>
        <v/>
      </c>
    </row>
    <row r="22" ht="16" customHeight="1">
      <c r="A22" s="20" t="inlineStr">
        <is>
          <t>NIFTY OIL &amp; GAS</t>
        </is>
      </c>
      <c r="B22" s="17" t="inlineStr">
        <is>
          <t>GAIL</t>
        </is>
      </c>
      <c r="C22" s="18" t="n">
        <v>176.09</v>
      </c>
      <c r="D22" s="18" t="n">
        <v>167.57</v>
      </c>
      <c r="E22" s="18" t="n">
        <v>163.67</v>
      </c>
      <c r="F22" s="18" t="n">
        <v>165.22</v>
      </c>
      <c r="G22" s="19">
        <f>HYPERLINK("https://www.tradingview.com/chart/?symbol=NSE:GAIL","Chart 📈")</f>
        <v/>
      </c>
    </row>
    <row r="23" ht="16" customHeight="1">
      <c r="A23" s="20" t="inlineStr">
        <is>
          <t>NIFTY OIL &amp; GAS</t>
        </is>
      </c>
      <c r="B23" s="17" t="inlineStr">
        <is>
          <t>MGL</t>
        </is>
      </c>
      <c r="C23" s="18" t="n">
        <v>1185.6</v>
      </c>
      <c r="D23" s="18" t="n">
        <v>1096.69</v>
      </c>
      <c r="E23" s="18" t="n">
        <v>1089.39</v>
      </c>
      <c r="F23" s="18" t="n">
        <v>1144.92</v>
      </c>
      <c r="G23" s="19">
        <f>HYPERLINK("https://www.tradingview.com/chart/?symbol=NSE:MGL","Chart 📈")</f>
        <v/>
      </c>
    </row>
    <row r="24" ht="16" customHeight="1">
      <c r="A24" s="20" t="inlineStr">
        <is>
          <t>NIFTY OIL &amp; GAS</t>
        </is>
      </c>
      <c r="B24" s="17" t="inlineStr">
        <is>
          <t>PETRONET</t>
        </is>
      </c>
      <c r="C24" s="18" t="n">
        <v>290.55</v>
      </c>
      <c r="D24" s="18" t="n">
        <v>271.76</v>
      </c>
      <c r="E24" s="18" t="n">
        <v>271.55</v>
      </c>
      <c r="F24" s="18" t="n">
        <v>275.41</v>
      </c>
      <c r="G24" s="19">
        <f>HYPERLINK("https://www.tradingview.com/chart/?symbol=NSE:PETRONET","Chart 📈")</f>
        <v/>
      </c>
    </row>
    <row r="25" ht="16" customHeight="1">
      <c r="A25" s="12" t="inlineStr">
        <is>
          <t>NIFTY MIDSMALL IT &amp; TELECOM</t>
        </is>
      </c>
      <c r="B25" s="13" t="inlineStr">
        <is>
          <t>HFCL</t>
        </is>
      </c>
      <c r="C25" s="14" t="n">
        <v>188.98</v>
      </c>
      <c r="D25" s="14" t="n">
        <v>170.84</v>
      </c>
      <c r="E25" s="14" t="n">
        <v>144.48</v>
      </c>
      <c r="F25" s="14" t="n">
        <v>100.36</v>
      </c>
      <c r="G25" s="15">
        <f>HYPERLINK("https://www.tradingview.com/chart/?symbol=NSE:HFCL","Chart 📈")</f>
        <v/>
      </c>
    </row>
    <row r="26" ht="16" customHeight="1">
      <c r="A26" s="16" t="inlineStr">
        <is>
          <t>NIFTY MIDSMALL IT &amp; TELECOM</t>
        </is>
      </c>
      <c r="B26" s="13" t="inlineStr">
        <is>
          <t>IDEA</t>
        </is>
      </c>
      <c r="C26" s="14" t="n">
        <v>14.62</v>
      </c>
      <c r="D26" s="14" t="n">
        <v>14.03</v>
      </c>
      <c r="E26" s="14" t="n">
        <v>12.69</v>
      </c>
      <c r="F26" s="14" t="n">
        <v>10.52</v>
      </c>
      <c r="G26" s="15">
        <f>HYPERLINK("https://www.tradingview.com/chart/?symbol=NSE:IDEA","Chart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SONATSOFTW</t>
        </is>
      </c>
      <c r="C27" s="14" t="n">
        <v>311.25</v>
      </c>
      <c r="D27" s="14" t="n">
        <v>268.11</v>
      </c>
      <c r="E27" s="14" t="n">
        <v>267.02</v>
      </c>
      <c r="F27" s="14" t="n">
        <v>306.54</v>
      </c>
      <c r="G27" s="15">
        <f>HYPERLINK("https://www.tradingview.com/chart/?symbol=NSE:SONATSOFTW","Chart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TANLA</t>
        </is>
      </c>
      <c r="C28" s="14" t="n">
        <v>529.75</v>
      </c>
      <c r="D28" s="14" t="n">
        <v>518.24</v>
      </c>
      <c r="E28" s="14" t="n">
        <v>507.97</v>
      </c>
      <c r="F28" s="14" t="n">
        <v>529.5700000000001</v>
      </c>
      <c r="G28" s="15">
        <f>HYPERLINK("https://www.tradingview.com/chart/?symbol=NSE:TANLA","Chart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TATACOMM</t>
        </is>
      </c>
      <c r="C29" s="14" t="n">
        <v>1913.6</v>
      </c>
      <c r="D29" s="14" t="n">
        <v>1899.27</v>
      </c>
      <c r="E29" s="14" t="n">
        <v>1774</v>
      </c>
      <c r="F29" s="14" t="n">
        <v>1692.49</v>
      </c>
      <c r="G29" s="15">
        <f>HYPERLINK("https://www.tradingview.com/chart/?symbol=NSE:TATACOMM","Chart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TATATECH</t>
        </is>
      </c>
      <c r="C30" s="14" t="n">
        <v>769.95</v>
      </c>
      <c r="D30" s="14" t="n">
        <v>726.25</v>
      </c>
      <c r="E30" s="14" t="n">
        <v>672.58</v>
      </c>
      <c r="F30" s="14" t="n">
        <v>653.37</v>
      </c>
      <c r="G30" s="15">
        <f>HYPERLINK("https://www.tradingview.com/chart/?symbol=NSE:TATATECH","Chart 📈")</f>
        <v/>
      </c>
    </row>
    <row r="31" ht="16" customHeight="1">
      <c r="A31" s="16" t="inlineStr">
        <is>
          <t>NIFTY MIDSMALL IT &amp; TELECOM</t>
        </is>
      </c>
      <c r="B31" s="13" t="inlineStr">
        <is>
          <t>TEJASNET</t>
        </is>
      </c>
      <c r="C31" s="14" t="n">
        <v>581.4</v>
      </c>
      <c r="D31" s="14" t="n">
        <v>539.6799999999999</v>
      </c>
      <c r="E31" s="14" t="n">
        <v>493.6</v>
      </c>
      <c r="F31" s="14" t="n">
        <v>490.49</v>
      </c>
      <c r="G31" s="15">
        <f>HYPERLINK("https://www.tradingview.com/chart/?symbol=NSE:TEJASNET","Chart 📈")</f>
        <v/>
      </c>
    </row>
    <row r="32" ht="16" customHeight="1">
      <c r="A32" s="8" t="inlineStr">
        <is>
          <t>NIFTY MEDIA</t>
        </is>
      </c>
      <c r="B32" s="17" t="inlineStr">
        <is>
          <t>NAZARA</t>
        </is>
      </c>
      <c r="C32" s="18" t="n">
        <v>301.15</v>
      </c>
      <c r="D32" s="18" t="n">
        <v>281.49</v>
      </c>
      <c r="E32" s="18" t="n">
        <v>274.43</v>
      </c>
      <c r="F32" s="18" t="n">
        <v>275.56</v>
      </c>
      <c r="G32" s="19">
        <f>HYPERLINK("https://www.tradingview.com/chart/?symbol=NSE:NAZARA","Chart 📈")</f>
        <v/>
      </c>
    </row>
    <row r="33" ht="16" customHeight="1">
      <c r="A33" s="20" t="inlineStr">
        <is>
          <t>NIFTY MEDIA</t>
        </is>
      </c>
      <c r="B33" s="17" t="inlineStr">
        <is>
          <t>SAREGAMA</t>
        </is>
      </c>
      <c r="C33" s="18" t="n">
        <v>464.55</v>
      </c>
      <c r="D33" s="18" t="n">
        <v>436.42</v>
      </c>
      <c r="E33" s="18" t="n">
        <v>401.02</v>
      </c>
      <c r="F33" s="18" t="n">
        <v>398.16</v>
      </c>
      <c r="G33" s="19">
        <f>HYPERLINK("https://www.tradingview.com/chart/?symbol=NSE:SAREGAMA","Chart 📈")</f>
        <v/>
      </c>
    </row>
    <row r="34" ht="16" customHeight="1">
      <c r="A34" s="20" t="inlineStr">
        <is>
          <t>NIFTY MEDIA</t>
        </is>
      </c>
      <c r="B34" s="17" t="inlineStr">
        <is>
          <t>ZEEL</t>
        </is>
      </c>
      <c r="C34" s="18" t="n">
        <v>111.19</v>
      </c>
      <c r="D34" s="18" t="n">
        <v>101.3</v>
      </c>
      <c r="E34" s="18" t="n">
        <v>93.98999999999999</v>
      </c>
      <c r="F34" s="18" t="n">
        <v>97.17</v>
      </c>
      <c r="G34" s="19">
        <f>HYPERLINK("https://www.tradingview.com/chart/?symbol=NSE:ZEEL","Chart 📈")</f>
        <v/>
      </c>
    </row>
    <row r="35" ht="16" customHeight="1">
      <c r="A35" s="12" t="inlineStr">
        <is>
          <t>NIFTY PHARMA</t>
        </is>
      </c>
      <c r="B35" s="13" t="inlineStr">
        <is>
          <t>AJANTPHARM</t>
        </is>
      </c>
      <c r="C35" s="14" t="n">
        <v>3079.7</v>
      </c>
      <c r="D35" s="14" t="n">
        <v>3039.77</v>
      </c>
      <c r="E35" s="14" t="n">
        <v>2992.74</v>
      </c>
      <c r="F35" s="14" t="n">
        <v>2814.73</v>
      </c>
      <c r="G35" s="15">
        <f>HYPERLINK("https://www.tradingview.com/chart/?symbol=NSE:AJANTPHARM","Chart 📈")</f>
        <v/>
      </c>
    </row>
    <row r="36" ht="16" customHeight="1">
      <c r="A36" s="16" t="inlineStr">
        <is>
          <t>NIFTY PHARMA</t>
        </is>
      </c>
      <c r="B36" s="13" t="inlineStr">
        <is>
          <t>BIOCON</t>
        </is>
      </c>
      <c r="C36" s="14" t="n">
        <v>416.45</v>
      </c>
      <c r="D36" s="14" t="n">
        <v>415.27</v>
      </c>
      <c r="E36" s="14" t="n">
        <v>402.33</v>
      </c>
      <c r="F36" s="14" t="n">
        <v>383.06</v>
      </c>
      <c r="G36" s="15">
        <f>HYPERLINK("https://www.tradingview.com/chart/?symbol=NSE:BIOCON","Chart 📈")</f>
        <v/>
      </c>
    </row>
    <row r="37" ht="16" customHeight="1">
      <c r="A37" s="16" t="inlineStr">
        <is>
          <t>NIFTY PHARMA</t>
        </is>
      </c>
      <c r="B37" s="13" t="inlineStr">
        <is>
          <t>DIVISLAB</t>
        </is>
      </c>
      <c r="C37" s="14" t="n">
        <v>6712.5</v>
      </c>
      <c r="D37" s="14" t="n">
        <v>6656.3</v>
      </c>
      <c r="E37" s="14" t="n">
        <v>6563.8</v>
      </c>
      <c r="F37" s="14" t="n">
        <v>6427.07</v>
      </c>
      <c r="G37" s="15">
        <f>HYPERLINK("https://www.tradingview.com/chart/?symbol=NSE:DIVISLAB","Chart 📈")</f>
        <v/>
      </c>
    </row>
    <row r="38" ht="16" customHeight="1">
      <c r="A38" s="16" t="inlineStr">
        <is>
          <t>NIFTY PHARMA</t>
        </is>
      </c>
      <c r="B38" s="13" t="inlineStr">
        <is>
          <t>JBCHEPHARM</t>
        </is>
      </c>
      <c r="C38" s="14" t="n">
        <v>2192.8</v>
      </c>
      <c r="D38" s="14" t="n">
        <v>2180.51</v>
      </c>
      <c r="E38" s="14" t="n">
        <v>2124.17</v>
      </c>
      <c r="F38" s="14" t="n">
        <v>1945.75</v>
      </c>
      <c r="G38" s="15">
        <f>HYPERLINK("https://www.tradingview.com/chart/?symbol=NSE:JBCHEPHARM","Chart 📈")</f>
        <v/>
      </c>
    </row>
    <row r="39" ht="16" customHeight="1">
      <c r="A39" s="16" t="inlineStr">
        <is>
          <t>NIFTY PHARMA</t>
        </is>
      </c>
      <c r="B39" s="13" t="inlineStr">
        <is>
          <t>LAURUSLABS</t>
        </is>
      </c>
      <c r="C39" s="14" t="n">
        <v>1376.4</v>
      </c>
      <c r="D39" s="14" t="n">
        <v>1368.71</v>
      </c>
      <c r="E39" s="14" t="n">
        <v>1276.44</v>
      </c>
      <c r="F39" s="14" t="n">
        <v>1069.69</v>
      </c>
      <c r="G39" s="15">
        <f>HYPERLINK("https://www.tradingview.com/chart/?symbol=NSE:LAURUSLABS","Chart 📈")</f>
        <v/>
      </c>
    </row>
    <row r="40" ht="16" customHeight="1">
      <c r="A40" s="16" t="inlineStr">
        <is>
          <t>NIFTY PHARMA</t>
        </is>
      </c>
      <c r="B40" s="13" t="inlineStr">
        <is>
          <t>TORNTPHARM</t>
        </is>
      </c>
      <c r="C40" s="14" t="n">
        <v>4466.7</v>
      </c>
      <c r="D40" s="14" t="n">
        <v>4444.11</v>
      </c>
      <c r="E40" s="14" t="n">
        <v>4357.42</v>
      </c>
      <c r="F40" s="14" t="n">
        <v>4017.78</v>
      </c>
      <c r="G40" s="15">
        <f>HYPERLINK("https://www.tradingview.com/chart/?symbol=NSE:TORNTPHARM","Chart 📈")</f>
        <v/>
      </c>
    </row>
    <row r="41" ht="16" customHeight="1">
      <c r="A41" s="16" t="inlineStr">
        <is>
          <t>NIFTY PHARMA</t>
        </is>
      </c>
      <c r="B41" s="13" t="inlineStr">
        <is>
          <t>ZYDUSLIFE</t>
        </is>
      </c>
      <c r="C41" s="14" t="n">
        <v>1078.7</v>
      </c>
      <c r="D41" s="14" t="n">
        <v>1068.85</v>
      </c>
      <c r="E41" s="14" t="n">
        <v>1013.97</v>
      </c>
      <c r="F41" s="14" t="n">
        <v>960.17</v>
      </c>
      <c r="G41" s="15">
        <f>HYPERLINK("https://www.tradingview.com/chart/?symbol=NSE:ZYDUSLIFE","Chart 📈")</f>
        <v/>
      </c>
    </row>
    <row r="42" ht="16" customHeight="1">
      <c r="A42" s="8" t="inlineStr">
        <is>
          <t>NIFTY FINANCIAL SERVICES</t>
        </is>
      </c>
      <c r="B42" s="17" t="inlineStr">
        <is>
          <t>AXISBANK</t>
        </is>
      </c>
      <c r="C42" s="18" t="n">
        <v>1365.7</v>
      </c>
      <c r="D42" s="18" t="n">
        <v>1303.74</v>
      </c>
      <c r="E42" s="18" t="n">
        <v>1293.11</v>
      </c>
      <c r="F42" s="18" t="n">
        <v>1264.65</v>
      </c>
      <c r="G42" s="19">
        <f>HYPERLINK("https://www.tradingview.com/chart/?symbol=NSE:AXISBANK","Chart 📈")</f>
        <v/>
      </c>
    </row>
    <row r="43" ht="16" customHeight="1">
      <c r="A43" s="20" t="inlineStr">
        <is>
          <t>NIFTY FINANCIAL SERVICES</t>
        </is>
      </c>
      <c r="B43" s="17" t="inlineStr">
        <is>
          <t>BAJFINANCE</t>
        </is>
      </c>
      <c r="C43" s="18" t="n">
        <v>959.65</v>
      </c>
      <c r="D43" s="18" t="n">
        <v>909.1799999999999</v>
      </c>
      <c r="E43" s="18" t="n">
        <v>914.05</v>
      </c>
      <c r="F43" s="18" t="n">
        <v>940.58</v>
      </c>
      <c r="G43" s="19">
        <f>HYPERLINK("https://www.tradingview.com/chart/?symbol=NSE:BAJFINANCE","Chart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CHOLAFIN</t>
        </is>
      </c>
      <c r="C44" s="18" t="n">
        <v>1680.4</v>
      </c>
      <c r="D44" s="18" t="n">
        <v>1545</v>
      </c>
      <c r="E44" s="18" t="n">
        <v>1552.98</v>
      </c>
      <c r="F44" s="18" t="n">
        <v>1591.55</v>
      </c>
      <c r="G44" s="19">
        <f>HYPERLINK("https://www.tradingview.com/chart/?symbol=NSE:CHOLAFIN","Chart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HDFCAMC</t>
        </is>
      </c>
      <c r="C45" s="18" t="n">
        <v>2658.6</v>
      </c>
      <c r="D45" s="18" t="n">
        <v>2553.37</v>
      </c>
      <c r="E45" s="18" t="n">
        <v>2571.65</v>
      </c>
      <c r="F45" s="18" t="n">
        <v>2575.52</v>
      </c>
      <c r="G45" s="19">
        <f>HYPERLINK("https://www.tradingview.com/chart/?symbol=NSE:HDFCAMC","Chart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KOTAKBANK</t>
        </is>
      </c>
      <c r="C46" s="18" t="n">
        <v>407.85</v>
      </c>
      <c r="D46" s="18" t="n">
        <v>389.1</v>
      </c>
      <c r="E46" s="18" t="n">
        <v>386.18</v>
      </c>
      <c r="F46" s="18" t="n">
        <v>401.12</v>
      </c>
      <c r="G46" s="19">
        <f>HYPERLINK("https://www.tradingview.com/chart/?symbol=NSE:KOTAKBANK","Chart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LICHSGFIN</t>
        </is>
      </c>
      <c r="C47" s="18" t="n">
        <v>552.8</v>
      </c>
      <c r="D47" s="18" t="n">
        <v>548.01</v>
      </c>
      <c r="E47" s="18" t="n">
        <v>544.38</v>
      </c>
      <c r="F47" s="18" t="n">
        <v>546.66</v>
      </c>
      <c r="G47" s="19">
        <f>HYPERLINK("https://www.tradingview.com/chart/?symbol=NSE:LICHSGFIN","Chart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RECLTD</t>
        </is>
      </c>
      <c r="C48" s="18" t="n">
        <v>356.55</v>
      </c>
      <c r="D48" s="18" t="n">
        <v>344.16</v>
      </c>
      <c r="E48" s="18" t="n">
        <v>345.36</v>
      </c>
      <c r="F48" s="18" t="n">
        <v>352.74</v>
      </c>
      <c r="G48" s="19">
        <f>HYPERLINK("https://www.tradingview.com/chart/?symbol=NSE:RECLTD","Chart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SHRIRAMFIN</t>
        </is>
      </c>
      <c r="C49" s="18" t="n">
        <v>1005.75</v>
      </c>
      <c r="D49" s="18" t="n">
        <v>941.96</v>
      </c>
      <c r="E49" s="18" t="n">
        <v>953.33</v>
      </c>
      <c r="F49" s="18" t="n">
        <v>895.92</v>
      </c>
      <c r="G49" s="19">
        <f>HYPERLINK("https://www.tradingview.com/chart/?symbol=NSE:SHRIRAMFIN","Chart 📈")</f>
        <v/>
      </c>
    </row>
    <row r="50" ht="16" customHeight="1">
      <c r="A50" s="12" t="inlineStr">
        <is>
          <t>NIFTY FMCG</t>
        </is>
      </c>
      <c r="B50" s="13" t="inlineStr">
        <is>
          <t>BALRAMCHIN</t>
        </is>
      </c>
      <c r="C50" s="14" t="n">
        <v>559.05</v>
      </c>
      <c r="D50" s="14" t="n">
        <v>538.64</v>
      </c>
      <c r="E50" s="14" t="n">
        <v>523.97</v>
      </c>
      <c r="F50" s="14" t="n">
        <v>505.26</v>
      </c>
      <c r="G50" s="15">
        <f>HYPERLINK("https://www.tradingview.com/chart/?symbol=NSE:BALRAMCHIN","Chart 📈")</f>
        <v/>
      </c>
    </row>
    <row r="51" ht="16" customHeight="1">
      <c r="A51" s="16" t="inlineStr">
        <is>
          <t>NIFTY FMCG</t>
        </is>
      </c>
      <c r="B51" s="13" t="inlineStr">
        <is>
          <t>RADICO</t>
        </is>
      </c>
      <c r="C51" s="14" t="n">
        <v>3578.7</v>
      </c>
      <c r="D51" s="14" t="n">
        <v>3496.45</v>
      </c>
      <c r="E51" s="14" t="n">
        <v>3353.79</v>
      </c>
      <c r="F51" s="14" t="n">
        <v>3068.02</v>
      </c>
      <c r="G51" s="15">
        <f>HYPERLINK("https://www.tradingview.com/chart/?symbol=NSE:RADICO","Chart 📈")</f>
        <v/>
      </c>
    </row>
    <row r="52" ht="16" customHeight="1">
      <c r="A52" s="16" t="inlineStr">
        <is>
          <t>NIFTY FMCG</t>
        </is>
      </c>
      <c r="B52" s="13" t="inlineStr">
        <is>
          <t>VBL</t>
        </is>
      </c>
      <c r="C52" s="14" t="n">
        <v>541.05</v>
      </c>
      <c r="D52" s="14" t="n">
        <v>525.3</v>
      </c>
      <c r="E52" s="14" t="n">
        <v>504.79</v>
      </c>
      <c r="F52" s="14" t="n">
        <v>477.57</v>
      </c>
      <c r="G52" s="15">
        <f>HYPERLINK("https://www.tradingview.com/chart/?symbol=NSE:VBL","Chart 📈")</f>
        <v/>
      </c>
    </row>
    <row r="53" ht="16" customHeight="1">
      <c r="A53" s="8" t="inlineStr">
        <is>
          <t>NIFTY CONSUMER DURABLES</t>
        </is>
      </c>
      <c r="B53" s="17" t="inlineStr">
        <is>
          <t>AMBER</t>
        </is>
      </c>
      <c r="C53" s="18" t="n">
        <v>7810.5</v>
      </c>
      <c r="D53" s="18" t="n">
        <v>7634.03</v>
      </c>
      <c r="E53" s="18" t="n">
        <v>7598.76</v>
      </c>
      <c r="F53" s="18" t="n">
        <v>7297.28</v>
      </c>
      <c r="G53" s="19">
        <f>HYPERLINK("https://www.tradingview.com/chart/?symbol=NSE:AMBER","Chart 📈")</f>
        <v/>
      </c>
    </row>
    <row r="54" ht="16" customHeight="1">
      <c r="A54" s="20" t="inlineStr">
        <is>
          <t>NIFTY CONSUMER DURABLES</t>
        </is>
      </c>
      <c r="B54" s="17" t="inlineStr">
        <is>
          <t>CERA</t>
        </is>
      </c>
      <c r="C54" s="18" t="n">
        <v>6208</v>
      </c>
      <c r="D54" s="18" t="n">
        <v>5803.34</v>
      </c>
      <c r="E54" s="18" t="n">
        <v>5573.75</v>
      </c>
      <c r="F54" s="18" t="n">
        <v>5605</v>
      </c>
      <c r="G54" s="19">
        <f>HYPERLINK("https://www.tradingview.com/chart/?symbol=NSE:CERA","Chart 📈")</f>
        <v/>
      </c>
    </row>
    <row r="55" ht="16" customHeight="1">
      <c r="A55" s="20" t="inlineStr">
        <is>
          <t>NIFTY CONSUMER DURABLES</t>
        </is>
      </c>
      <c r="B55" s="17" t="inlineStr">
        <is>
          <t>KAJARIACER</t>
        </is>
      </c>
      <c r="C55" s="18" t="n">
        <v>1139.1</v>
      </c>
      <c r="D55" s="18" t="n">
        <v>1091.19</v>
      </c>
      <c r="E55" s="18" t="n">
        <v>1080.02</v>
      </c>
      <c r="F55" s="18" t="n">
        <v>1063.92</v>
      </c>
      <c r="G55" s="19">
        <f>HYPERLINK("https://www.tradingview.com/chart/?symbol=NSE:KAJARIACER","Chart 📈")</f>
        <v/>
      </c>
    </row>
    <row r="56" ht="16" customHeight="1">
      <c r="A56" s="20" t="inlineStr">
        <is>
          <t>NIFTY CONSUMER DURABLES</t>
        </is>
      </c>
      <c r="B56" s="17" t="inlineStr">
        <is>
          <t>TITAN</t>
        </is>
      </c>
      <c r="C56" s="18" t="n">
        <v>4338</v>
      </c>
      <c r="D56" s="18" t="n">
        <v>4173.85</v>
      </c>
      <c r="E56" s="18" t="n">
        <v>4195.66</v>
      </c>
      <c r="F56" s="18" t="n">
        <v>4019.58</v>
      </c>
      <c r="G56" s="19">
        <f>HYPERLINK("https://www.tradingview.com/chart/?symbol=NSE:TITAN","Chart 📈")</f>
        <v/>
      </c>
    </row>
    <row r="57" ht="16" customHeight="1">
      <c r="A57" s="12" t="inlineStr">
        <is>
          <t>NIFTY METAL</t>
        </is>
      </c>
      <c r="B57" s="13" t="inlineStr">
        <is>
          <t>ADANIENT</t>
        </is>
      </c>
      <c r="C57" s="14" t="n">
        <v>2943.6</v>
      </c>
      <c r="D57" s="14" t="n">
        <v>2873.05</v>
      </c>
      <c r="E57" s="14" t="n">
        <v>2646.95</v>
      </c>
      <c r="F57" s="14" t="n">
        <v>2403.5</v>
      </c>
      <c r="G57" s="15">
        <f>HYPERLINK("https://www.tradingview.com/chart/?symbol=NSE:ADANIENT","Chart 📈")</f>
        <v/>
      </c>
    </row>
    <row r="58" ht="16" customHeight="1">
      <c r="A58" s="16" t="inlineStr">
        <is>
          <t>NIFTY METAL</t>
        </is>
      </c>
      <c r="B58" s="13" t="inlineStr">
        <is>
          <t>RATNAMANI</t>
        </is>
      </c>
      <c r="C58" s="14" t="n">
        <v>2598.7</v>
      </c>
      <c r="D58" s="14" t="n">
        <v>2581.3</v>
      </c>
      <c r="E58" s="14" t="n">
        <v>2547.67</v>
      </c>
      <c r="F58" s="14" t="n">
        <v>2476.61</v>
      </c>
      <c r="G58" s="15">
        <f>HYPERLINK("https://www.tradingview.com/chart/?symbol=NSE:RATNAMANI","Chart 📈")</f>
        <v/>
      </c>
    </row>
    <row r="59" ht="16" customHeight="1">
      <c r="A59" s="16" t="inlineStr">
        <is>
          <t>NIFTY METAL</t>
        </is>
      </c>
      <c r="B59" s="13" t="inlineStr">
        <is>
          <t>WELCORP</t>
        </is>
      </c>
      <c r="C59" s="14" t="n">
        <v>1373.8</v>
      </c>
      <c r="D59" s="14" t="n">
        <v>1359.32</v>
      </c>
      <c r="E59" s="14" t="n">
        <v>1249.22</v>
      </c>
      <c r="F59" s="14" t="n">
        <v>1010.58</v>
      </c>
      <c r="G59" s="15">
        <f>HYPERLINK("https://www.tradingview.com/chart/?symbol=NSE:WELCORP","Chart 📈")</f>
        <v/>
      </c>
    </row>
    <row r="60" ht="16" customHeight="1">
      <c r="A60" s="8" t="inlineStr">
        <is>
          <t>NIFTY ENERGY</t>
        </is>
      </c>
      <c r="B60" s="17" t="inlineStr">
        <is>
          <t>ABB</t>
        </is>
      </c>
      <c r="C60" s="18" t="n">
        <v>7021</v>
      </c>
      <c r="D60" s="18" t="n">
        <v>6920.12</v>
      </c>
      <c r="E60" s="18" t="n">
        <v>6778.62</v>
      </c>
      <c r="F60" s="18" t="n">
        <v>6101.64</v>
      </c>
      <c r="G60" s="19">
        <f>HYPERLINK("https://www.tradingview.com/chart/?symbol=NSE:ABB","Chart 📈")</f>
        <v/>
      </c>
    </row>
    <row r="61" ht="16" customHeight="1">
      <c r="A61" s="20" t="inlineStr">
        <is>
          <t>NIFTY ENERGY</t>
        </is>
      </c>
      <c r="B61" s="17" t="inlineStr">
        <is>
          <t>ADANIENSOL</t>
        </is>
      </c>
      <c r="C61" s="18" t="n">
        <v>1491.1</v>
      </c>
      <c r="D61" s="18" t="n">
        <v>1478.96</v>
      </c>
      <c r="E61" s="18" t="n">
        <v>1371.05</v>
      </c>
      <c r="F61" s="18" t="n">
        <v>1117.85</v>
      </c>
      <c r="G61" s="19">
        <f>HYPERLINK("https://www.tradingview.com/chart/?symbol=NSE:ADANIENSOL","Chart 📈")</f>
        <v/>
      </c>
    </row>
    <row r="62" ht="16" customHeight="1">
      <c r="A62" s="20" t="inlineStr">
        <is>
          <t>NIFTY ENERGY</t>
        </is>
      </c>
      <c r="B62" s="17" t="inlineStr">
        <is>
          <t>ADANIGREEN</t>
        </is>
      </c>
      <c r="C62" s="18" t="n">
        <v>1482.5</v>
      </c>
      <c r="D62" s="18" t="n">
        <v>1446.51</v>
      </c>
      <c r="E62" s="18" t="n">
        <v>1326.37</v>
      </c>
      <c r="F62" s="18" t="n">
        <v>1112.75</v>
      </c>
      <c r="G62" s="19">
        <f>HYPERLINK("https://www.tradingview.com/chart/?symbol=NSE:ADANIGREEN","Chart 📈")</f>
        <v/>
      </c>
    </row>
    <row r="63" ht="16" customHeight="1">
      <c r="A63" s="20" t="inlineStr">
        <is>
          <t>NIFTY ENERGY</t>
        </is>
      </c>
      <c r="B63" s="17" t="inlineStr">
        <is>
          <t>CGPOWER</t>
        </is>
      </c>
      <c r="C63" s="18" t="n">
        <v>940.7</v>
      </c>
      <c r="D63" s="18" t="n">
        <v>901.72</v>
      </c>
      <c r="E63" s="18" t="n">
        <v>849.1</v>
      </c>
      <c r="F63" s="18" t="n">
        <v>749.28</v>
      </c>
      <c r="G63" s="19">
        <f>HYPERLINK("https://www.tradingview.com/chart/?symbol=NSE:CGPOWER","Chart 📈")</f>
        <v/>
      </c>
    </row>
    <row r="64" ht="16" customHeight="1">
      <c r="A64" s="20" t="inlineStr">
        <is>
          <t>NIFTY ENERGY</t>
        </is>
      </c>
      <c r="B64" s="17" t="inlineStr">
        <is>
          <t>GVT&amp;D</t>
        </is>
      </c>
      <c r="C64" s="18" t="n">
        <v>4872.5</v>
      </c>
      <c r="D64" s="18" t="n">
        <v>4819.03</v>
      </c>
      <c r="E64" s="18" t="n">
        <v>4548.4</v>
      </c>
      <c r="F64" s="18" t="n">
        <v>3671.87</v>
      </c>
      <c r="G64" s="19">
        <f>HYPERLINK("https://www.tradingview.com/chart/?symbol=NSE:GVT&amp;D","Chart 📈")</f>
        <v/>
      </c>
    </row>
    <row r="65" ht="16" customHeight="1">
      <c r="A65" s="20" t="inlineStr">
        <is>
          <t>NIFTY ENERGY</t>
        </is>
      </c>
      <c r="B65" s="17" t="inlineStr">
        <is>
          <t>SUZLON</t>
        </is>
      </c>
      <c r="C65" s="18" t="n">
        <v>57.92</v>
      </c>
      <c r="D65" s="18" t="n">
        <v>54.89</v>
      </c>
      <c r="E65" s="18" t="n">
        <v>52.93</v>
      </c>
      <c r="F65" s="18" t="n">
        <v>52.89</v>
      </c>
      <c r="G65" s="19">
        <f>HYPERLINK("https://www.tradingview.com/chart/?symbol=NSE:SUZLON","Chart 📈")</f>
        <v/>
      </c>
    </row>
    <row r="66" ht="16" customHeight="1">
      <c r="A66" s="20" t="inlineStr">
        <is>
          <t>NIFTY ENERGY</t>
        </is>
      </c>
      <c r="B66" s="17" t="inlineStr">
        <is>
          <t>THERMAX</t>
        </is>
      </c>
      <c r="C66" s="18" t="n">
        <v>4714.6</v>
      </c>
      <c r="D66" s="18" t="n">
        <v>4658.09</v>
      </c>
      <c r="E66" s="18" t="n">
        <v>4335.31</v>
      </c>
      <c r="F66" s="18" t="n">
        <v>3653.91</v>
      </c>
      <c r="G66" s="19">
        <f>HYPERLINK("https://www.tradingview.com/chart/?symbol=NSE:THERMAX","Chart 📈")</f>
        <v/>
      </c>
    </row>
    <row r="67" ht="16" customHeight="1">
      <c r="A67" s="20" t="inlineStr">
        <is>
          <t>NIFTY ENERGY</t>
        </is>
      </c>
      <c r="B67" s="17" t="inlineStr">
        <is>
          <t>TRITURBINE</t>
        </is>
      </c>
      <c r="C67" s="18" t="n">
        <v>662.25</v>
      </c>
      <c r="D67" s="18" t="n">
        <v>661.76</v>
      </c>
      <c r="E67" s="18" t="n">
        <v>616.46</v>
      </c>
      <c r="F67" s="18" t="n">
        <v>557.47</v>
      </c>
      <c r="G67" s="19">
        <f>HYPERLINK("https://www.tradingview.com/chart/?symbol=NSE:TRITURBINE","Chart 📈")</f>
        <v/>
      </c>
    </row>
    <row r="68" ht="16" customHeight="1">
      <c r="A68" s="12" t="inlineStr">
        <is>
          <t>NIFTY BANK</t>
        </is>
      </c>
      <c r="B68" s="13" t="inlineStr">
        <is>
          <t>AUBANK</t>
        </is>
      </c>
      <c r="C68" s="14" t="n">
        <v>1023.1</v>
      </c>
      <c r="D68" s="14" t="n">
        <v>990.41</v>
      </c>
      <c r="E68" s="14" t="n">
        <v>985.35</v>
      </c>
      <c r="F68" s="14" t="n">
        <v>931.79</v>
      </c>
      <c r="G68" s="15">
        <f>HYPERLINK("https://www.tradingview.com/chart/?symbol=NSE:AUBANK","Chart 📈")</f>
        <v/>
      </c>
    </row>
    <row r="69" ht="16" customHeight="1">
      <c r="A69" s="16" t="inlineStr">
        <is>
          <t>NIFTY BANK</t>
        </is>
      </c>
      <c r="B69" s="13" t="inlineStr">
        <is>
          <t>FEDERALBNK</t>
        </is>
      </c>
      <c r="C69" s="14" t="n">
        <v>320.6</v>
      </c>
      <c r="D69" s="14" t="n">
        <v>303.11</v>
      </c>
      <c r="E69" s="14" t="n">
        <v>293.8</v>
      </c>
      <c r="F69" s="14" t="n">
        <v>265.59</v>
      </c>
      <c r="G69" s="15">
        <f>HYPERLINK("https://www.tradingview.com/chart/?symbol=NSE:FEDERALBNK","Chart 📈")</f>
        <v/>
      </c>
    </row>
    <row r="70" ht="16" customHeight="1">
      <c r="A70" s="16" t="inlineStr">
        <is>
          <t>NIFTY BANK</t>
        </is>
      </c>
      <c r="B70" s="13" t="inlineStr">
        <is>
          <t>IDFCFIRSTB</t>
        </is>
      </c>
      <c r="C70" s="14" t="n">
        <v>77.5</v>
      </c>
      <c r="D70" s="14" t="n">
        <v>72.8</v>
      </c>
      <c r="E70" s="14" t="n">
        <v>71.04000000000001</v>
      </c>
      <c r="F70" s="14" t="n">
        <v>72.92</v>
      </c>
      <c r="G70" s="15">
        <f>HYPERLINK("https://www.tradingview.com/chart/?symbol=NSE:IDFCFIRSTB","Chart 📈")</f>
        <v/>
      </c>
    </row>
    <row r="71" ht="16" customHeight="1">
      <c r="A71" s="16" t="inlineStr">
        <is>
          <t>NIFTY BANK</t>
        </is>
      </c>
      <c r="B71" s="13" t="inlineStr">
        <is>
          <t>INDUSINDBK</t>
        </is>
      </c>
      <c r="C71" s="14" t="n">
        <v>926</v>
      </c>
      <c r="D71" s="14" t="n">
        <v>909.51</v>
      </c>
      <c r="E71" s="14" t="n">
        <v>897.72</v>
      </c>
      <c r="F71" s="14" t="n">
        <v>865.42</v>
      </c>
      <c r="G71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2026-06-16T16:02:32Z</dcterms:created>
  <dcterms:modified xsi:type="dcterms:W3CDTF">2026-06-16T16:02:32Z</dcterms:modified>
</cp:coreProperties>
</file>