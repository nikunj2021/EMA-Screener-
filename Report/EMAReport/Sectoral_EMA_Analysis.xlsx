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28-Oct-2026  17:09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14</v>
      </c>
      <c r="D4" s="5" t="n">
        <v>12</v>
      </c>
      <c r="E4" s="5" t="n">
        <v>12</v>
      </c>
      <c r="F4" s="6" t="n">
        <v>0.7</v>
      </c>
      <c r="G4" s="6" t="n">
        <v>0.6</v>
      </c>
      <c r="H4" s="6" t="n">
        <v>0.6</v>
      </c>
      <c r="I4" s="7" t="n">
        <v>0.6333</v>
      </c>
    </row>
    <row r="5" ht="17" customHeight="1">
      <c r="A5" s="8" t="inlineStr">
        <is>
          <t>NIFTY MEDIA</t>
        </is>
      </c>
      <c r="B5" s="9" t="n">
        <v>10</v>
      </c>
      <c r="C5" s="9" t="n">
        <v>5</v>
      </c>
      <c r="D5" s="9" t="n">
        <v>5</v>
      </c>
      <c r="E5" s="9" t="n">
        <v>5</v>
      </c>
      <c r="F5" s="10" t="n">
        <v>0.5</v>
      </c>
      <c r="G5" s="10" t="n">
        <v>0.5</v>
      </c>
      <c r="H5" s="10" t="n">
        <v>0.5</v>
      </c>
      <c r="I5" s="11" t="n">
        <v>0.5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10</v>
      </c>
      <c r="D6" s="5" t="n">
        <v>11</v>
      </c>
      <c r="E6" s="5" t="n">
        <v>8</v>
      </c>
      <c r="F6" s="6" t="n">
        <v>0.5</v>
      </c>
      <c r="G6" s="6" t="n">
        <v>0.55</v>
      </c>
      <c r="H6" s="6" t="n">
        <v>0.4</v>
      </c>
      <c r="I6" s="7" t="n">
        <v>0.4833</v>
      </c>
    </row>
    <row r="7" ht="17" customHeight="1">
      <c r="A7" s="8" t="inlineStr">
        <is>
          <t>NIFTY IT</t>
        </is>
      </c>
      <c r="B7" s="9" t="n">
        <v>10</v>
      </c>
      <c r="C7" s="9" t="n">
        <v>5</v>
      </c>
      <c r="D7" s="9" t="n">
        <v>5</v>
      </c>
      <c r="E7" s="9" t="n">
        <v>3</v>
      </c>
      <c r="F7" s="10" t="n">
        <v>0.5</v>
      </c>
      <c r="G7" s="10" t="n">
        <v>0.5</v>
      </c>
      <c r="H7" s="10" t="n">
        <v>0.3</v>
      </c>
      <c r="I7" s="11" t="n">
        <v>0.4333</v>
      </c>
    </row>
    <row r="8" ht="17" customHeight="1">
      <c r="A8" s="4" t="inlineStr">
        <is>
          <t>NIFTY AUTO</t>
        </is>
      </c>
      <c r="B8" s="5" t="n">
        <v>15</v>
      </c>
      <c r="C8" s="5" t="n">
        <v>8</v>
      </c>
      <c r="D8" s="5" t="n">
        <v>4</v>
      </c>
      <c r="E8" s="5" t="n">
        <v>5</v>
      </c>
      <c r="F8" s="6" t="n">
        <v>0.5329999999999999</v>
      </c>
      <c r="G8" s="6" t="n">
        <v>0.267</v>
      </c>
      <c r="H8" s="6" t="n">
        <v>0.333</v>
      </c>
      <c r="I8" s="7" t="n">
        <v>0.3777</v>
      </c>
    </row>
    <row r="9" ht="17" customHeight="1">
      <c r="A9" s="8" t="inlineStr">
        <is>
          <t>NIFTY REALTY</t>
        </is>
      </c>
      <c r="B9" s="9" t="n">
        <v>10</v>
      </c>
      <c r="C9" s="9" t="n">
        <v>2</v>
      </c>
      <c r="D9" s="9" t="n">
        <v>2</v>
      </c>
      <c r="E9" s="9" t="n">
        <v>3</v>
      </c>
      <c r="F9" s="10" t="n">
        <v>0.2</v>
      </c>
      <c r="G9" s="10" t="n">
        <v>0.2</v>
      </c>
      <c r="H9" s="10" t="n">
        <v>0.3</v>
      </c>
      <c r="I9" s="11" t="n">
        <v>0.2333</v>
      </c>
    </row>
    <row r="10" ht="17" customHeight="1">
      <c r="A10" s="4" t="inlineStr">
        <is>
          <t>NIFTY PSU BANK</t>
        </is>
      </c>
      <c r="B10" s="5" t="n">
        <v>12</v>
      </c>
      <c r="C10" s="5" t="n">
        <v>3</v>
      </c>
      <c r="D10" s="5" t="n">
        <v>2</v>
      </c>
      <c r="E10" s="5" t="n">
        <v>3</v>
      </c>
      <c r="F10" s="6" t="n">
        <v>0.25</v>
      </c>
      <c r="G10" s="6" t="n">
        <v>0.167</v>
      </c>
      <c r="H10" s="6" t="n">
        <v>0.25</v>
      </c>
      <c r="I10" s="7" t="n">
        <v>0.2223</v>
      </c>
    </row>
    <row r="11" ht="17" customHeight="1">
      <c r="A11" s="8" t="inlineStr">
        <is>
          <t>NIFTY METAL</t>
        </is>
      </c>
      <c r="B11" s="9" t="n">
        <v>15</v>
      </c>
      <c r="C11" s="9" t="n">
        <v>3</v>
      </c>
      <c r="D11" s="9" t="n">
        <v>2</v>
      </c>
      <c r="E11" s="9" t="n">
        <v>3</v>
      </c>
      <c r="F11" s="10" t="n">
        <v>0.2</v>
      </c>
      <c r="G11" s="10" t="n">
        <v>0.133</v>
      </c>
      <c r="H11" s="10" t="n">
        <v>0.2</v>
      </c>
      <c r="I11" s="11" t="n">
        <v>0.1777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3</v>
      </c>
      <c r="D12" s="5" t="n">
        <v>3</v>
      </c>
      <c r="E12" s="5" t="n">
        <v>1</v>
      </c>
      <c r="F12" s="6" t="n">
        <v>0.2</v>
      </c>
      <c r="G12" s="6" t="n">
        <v>0.2</v>
      </c>
      <c r="H12" s="6" t="n">
        <v>0.067</v>
      </c>
      <c r="I12" s="7" t="n">
        <v>0.1557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2</v>
      </c>
      <c r="D13" s="9" t="n">
        <v>3</v>
      </c>
      <c r="E13" s="9" t="n">
        <v>3</v>
      </c>
      <c r="F13" s="10" t="n">
        <v>0.1</v>
      </c>
      <c r="G13" s="10" t="n">
        <v>0.15</v>
      </c>
      <c r="H13" s="10" t="n">
        <v>0.15</v>
      </c>
      <c r="I13" s="11" t="n">
        <v>0.1333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2</v>
      </c>
      <c r="D14" s="5" t="n">
        <v>0</v>
      </c>
      <c r="E14" s="5" t="n">
        <v>3</v>
      </c>
      <c r="F14" s="6" t="n">
        <v>0.133</v>
      </c>
      <c r="G14" s="6" t="n">
        <v>0</v>
      </c>
      <c r="H14" s="6" t="n">
        <v>0.2</v>
      </c>
      <c r="I14" s="7" t="n">
        <v>0.111</v>
      </c>
    </row>
    <row r="15" ht="17" customHeight="1">
      <c r="A15" s="8" t="inlineStr">
        <is>
          <t>NIFTY FMCG</t>
        </is>
      </c>
      <c r="B15" s="9" t="n">
        <v>15</v>
      </c>
      <c r="C15" s="9" t="n">
        <v>2</v>
      </c>
      <c r="D15" s="9" t="n">
        <v>0</v>
      </c>
      <c r="E15" s="9" t="n">
        <v>2</v>
      </c>
      <c r="F15" s="10" t="n">
        <v>0.133</v>
      </c>
      <c r="G15" s="10" t="n">
        <v>0</v>
      </c>
      <c r="H15" s="10" t="n">
        <v>0.133</v>
      </c>
      <c r="I15" s="11" t="n">
        <v>0.08869999999999999</v>
      </c>
    </row>
    <row r="16" ht="17" customHeight="1">
      <c r="A16" s="4" t="inlineStr">
        <is>
          <t>NIFTY BANK</t>
        </is>
      </c>
      <c r="B16" s="5" t="n">
        <v>12</v>
      </c>
      <c r="C16" s="5" t="n">
        <v>1</v>
      </c>
      <c r="D16" s="5" t="n">
        <v>1</v>
      </c>
      <c r="E16" s="5" t="n">
        <v>1</v>
      </c>
      <c r="F16" s="6" t="n">
        <v>0.083</v>
      </c>
      <c r="G16" s="6" t="n">
        <v>0.083</v>
      </c>
      <c r="H16" s="6" t="n">
        <v>0.083</v>
      </c>
      <c r="I16" s="7" t="n">
        <v>0.083</v>
      </c>
    </row>
    <row r="17" ht="17" customHeight="1">
      <c r="A17" s="8" t="inlineStr">
        <is>
          <t>NIFTY ENERGY</t>
        </is>
      </c>
      <c r="B17" s="9" t="n">
        <v>40</v>
      </c>
      <c r="C17" s="9" t="n">
        <v>3</v>
      </c>
      <c r="D17" s="9" t="n">
        <v>1</v>
      </c>
      <c r="E17" s="9" t="n">
        <v>4</v>
      </c>
      <c r="F17" s="10" t="n">
        <v>0.075</v>
      </c>
      <c r="G17" s="10" t="n">
        <v>0.025</v>
      </c>
      <c r="H17" s="10" t="n">
        <v>0.1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3459.8</v>
      </c>
      <c r="D3" s="14" t="n">
        <v>3396.59</v>
      </c>
      <c r="E3" s="14" t="n">
        <v>3434.6</v>
      </c>
      <c r="F3" s="14" t="n">
        <v>3169.9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1644.8</v>
      </c>
      <c r="D4" s="14" t="n">
        <v>1644.17</v>
      </c>
      <c r="E4" s="14" t="n">
        <v>1643.59</v>
      </c>
      <c r="F4" s="14" t="n">
        <v>1488.62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DIVISLAB</t>
        </is>
      </c>
      <c r="C5" s="14" t="n">
        <v>9558.5</v>
      </c>
      <c r="D5" s="14" t="n">
        <v>9260.549999999999</v>
      </c>
      <c r="E5" s="14" t="n">
        <v>9018.629999999999</v>
      </c>
      <c r="F5" s="14" t="n">
        <v>7726.33</v>
      </c>
      <c r="G5" s="15">
        <f>HYPERLINK("https://www.tradingview.com/chart/?symbol=NSE:DIVISLAB","Chart 📈")</f>
        <v/>
      </c>
    </row>
    <row r="6" ht="16" customHeight="1">
      <c r="A6" s="16" t="inlineStr">
        <is>
          <t>NIFTY PHARMA</t>
        </is>
      </c>
      <c r="B6" s="13" t="inlineStr">
        <is>
          <t>DRREDDY</t>
        </is>
      </c>
      <c r="C6" s="14" t="n">
        <v>1335.4</v>
      </c>
      <c r="D6" s="14" t="n">
        <v>1244.61</v>
      </c>
      <c r="E6" s="14" t="n">
        <v>1219.91</v>
      </c>
      <c r="F6" s="14" t="n">
        <v>1234.33</v>
      </c>
      <c r="G6" s="15">
        <f>HYPERLINK("https://www.tradingview.com/chart/?symbol=NSE:DRREDDY","Chart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3049</v>
      </c>
      <c r="D7" s="14" t="n">
        <v>2965.23</v>
      </c>
      <c r="E7" s="14" t="n">
        <v>2888.01</v>
      </c>
      <c r="F7" s="14" t="n">
        <v>2422.1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GRANULES</t>
        </is>
      </c>
      <c r="C8" s="14" t="n">
        <v>840.45</v>
      </c>
      <c r="D8" s="14" t="n">
        <v>825.73</v>
      </c>
      <c r="E8" s="14" t="n">
        <v>833.8</v>
      </c>
      <c r="F8" s="14" t="n">
        <v>759.12</v>
      </c>
      <c r="G8" s="15">
        <f>HYPERLINK("https://www.tradingview.com/chart/?symbol=NSE:GRANULES","Chart 📈")</f>
        <v/>
      </c>
    </row>
    <row r="9" ht="16" customHeight="1">
      <c r="A9" s="16" t="inlineStr">
        <is>
          <t>NIFTY PHARMA</t>
        </is>
      </c>
      <c r="B9" s="13" t="inlineStr">
        <is>
          <t>IPCALAB</t>
        </is>
      </c>
      <c r="C9" s="14" t="n">
        <v>1930.5</v>
      </c>
      <c r="D9" s="14" t="n">
        <v>1925.39</v>
      </c>
      <c r="E9" s="14" t="n">
        <v>1904.36</v>
      </c>
      <c r="F9" s="14" t="n">
        <v>1705.94</v>
      </c>
      <c r="G9" s="15">
        <f>HYPERLINK("https://www.tradingview.com/chart/?symbol=NSE:IPCALAB","Chart 📈")</f>
        <v/>
      </c>
    </row>
    <row r="10" ht="16" customHeight="1">
      <c r="A10" s="16" t="inlineStr">
        <is>
          <t>NIFTY PHARMA</t>
        </is>
      </c>
      <c r="B10" s="13" t="inlineStr">
        <is>
          <t>LAURUSLABS</t>
        </is>
      </c>
      <c r="C10" s="14" t="n">
        <v>2181.9</v>
      </c>
      <c r="D10" s="14" t="n">
        <v>2041.13</v>
      </c>
      <c r="E10" s="14" t="n">
        <v>1950.58</v>
      </c>
      <c r="F10" s="14" t="n">
        <v>1555.89</v>
      </c>
      <c r="G10" s="15">
        <f>HYPERLINK("https://www.tradingview.com/chart/?symbol=NSE:LAURUSLABS","Chart 📈")</f>
        <v/>
      </c>
    </row>
    <row r="11" ht="16" customHeight="1">
      <c r="A11" s="16" t="inlineStr">
        <is>
          <t>NIFTY PHARMA</t>
        </is>
      </c>
      <c r="B11" s="13" t="inlineStr">
        <is>
          <t>MANKIND</t>
        </is>
      </c>
      <c r="C11" s="14" t="n">
        <v>2490</v>
      </c>
      <c r="D11" s="14" t="n">
        <v>2372.81</v>
      </c>
      <c r="E11" s="14" t="n">
        <v>2389.17</v>
      </c>
      <c r="F11" s="14" t="n">
        <v>2360.85</v>
      </c>
      <c r="G11" s="15">
        <f>HYPERLINK("https://www.tradingview.com/chart/?symbol=NSE:MANKIND","Chart 📈")</f>
        <v/>
      </c>
    </row>
    <row r="12" ht="16" customHeight="1">
      <c r="A12" s="16" t="inlineStr">
        <is>
          <t>NIFTY PHARMA</t>
        </is>
      </c>
      <c r="B12" s="13" t="inlineStr">
        <is>
          <t>ZYDUSLIFE</t>
        </is>
      </c>
      <c r="C12" s="14" t="n">
        <v>1175.5</v>
      </c>
      <c r="D12" s="14" t="n">
        <v>1145.26</v>
      </c>
      <c r="E12" s="14" t="n">
        <v>1140.17</v>
      </c>
      <c r="F12" s="14" t="n">
        <v>1068.43</v>
      </c>
      <c r="G12" s="15">
        <f>HYPERLINK("https://www.tradingview.com/chart/?symbol=NSE:ZYDUSLIFE","Chart 📈")</f>
        <v/>
      </c>
    </row>
    <row r="13" ht="16" customHeight="1">
      <c r="A13" s="8" t="inlineStr">
        <is>
          <t>NIFTY MEDIA</t>
        </is>
      </c>
      <c r="B13" s="17" t="inlineStr">
        <is>
          <t>NAZARA</t>
        </is>
      </c>
      <c r="C13" s="18" t="n">
        <v>400</v>
      </c>
      <c r="D13" s="18" t="n">
        <v>393.78</v>
      </c>
      <c r="E13" s="18" t="n">
        <v>375.94</v>
      </c>
      <c r="F13" s="18" t="n">
        <v>321.08</v>
      </c>
      <c r="G13" s="19">
        <f>HYPERLINK("https://www.tradingview.com/chart/?symbol=NSE:NAZARA","Chart 📈")</f>
        <v/>
      </c>
    </row>
    <row r="14" ht="16" customHeight="1">
      <c r="A14" s="20" t="inlineStr">
        <is>
          <t>NIFTY MEDIA</t>
        </is>
      </c>
      <c r="B14" s="17" t="inlineStr">
        <is>
          <t>PVRINOX</t>
        </is>
      </c>
      <c r="C14" s="18" t="n">
        <v>1445.3</v>
      </c>
      <c r="D14" s="18" t="n">
        <v>1370.12</v>
      </c>
      <c r="E14" s="18" t="n">
        <v>1289.14</v>
      </c>
      <c r="F14" s="18" t="n">
        <v>1145.85</v>
      </c>
      <c r="G14" s="19">
        <f>HYPERLINK("https://www.tradingview.com/chart/?symbol=NSE:PVRINOX","Chart 📈")</f>
        <v/>
      </c>
    </row>
    <row r="15" ht="16" customHeight="1">
      <c r="A15" s="20" t="inlineStr">
        <is>
          <t>NIFTY MEDIA</t>
        </is>
      </c>
      <c r="B15" s="17" t="inlineStr">
        <is>
          <t>SAREGAMA</t>
        </is>
      </c>
      <c r="C15" s="18" t="n">
        <v>523.95</v>
      </c>
      <c r="D15" s="18" t="n">
        <v>502.08</v>
      </c>
      <c r="E15" s="18" t="n">
        <v>498.37</v>
      </c>
      <c r="F15" s="18" t="n">
        <v>455.28</v>
      </c>
      <c r="G15" s="19">
        <f>HYPERLINK("https://www.tradingview.com/chart/?symbol=NSE:SAREGAMA","Chart 📈")</f>
        <v/>
      </c>
    </row>
    <row r="16" ht="16" customHeight="1">
      <c r="A16" s="20" t="inlineStr">
        <is>
          <t>NIFTY MEDIA</t>
        </is>
      </c>
      <c r="B16" s="17" t="inlineStr">
        <is>
          <t>SUNTV</t>
        </is>
      </c>
      <c r="C16" s="18" t="n">
        <v>630.85</v>
      </c>
      <c r="D16" s="18" t="n">
        <v>600</v>
      </c>
      <c r="E16" s="18" t="n">
        <v>557.8200000000001</v>
      </c>
      <c r="F16" s="18" t="n">
        <v>536.41</v>
      </c>
      <c r="G16" s="19">
        <f>HYPERLINK("https://www.tradingview.com/chart/?symbol=NSE:SUNTV","Chart 📈")</f>
        <v/>
      </c>
    </row>
    <row r="17" ht="16" customHeight="1">
      <c r="A17" s="20" t="inlineStr">
        <is>
          <t>NIFTY MEDIA</t>
        </is>
      </c>
      <c r="B17" s="17" t="inlineStr">
        <is>
          <t>TIPSMUSIC</t>
        </is>
      </c>
      <c r="C17" s="18" t="n">
        <v>793.9</v>
      </c>
      <c r="D17" s="18" t="n">
        <v>705.84</v>
      </c>
      <c r="E17" s="18" t="n">
        <v>678.6</v>
      </c>
      <c r="F17" s="18" t="n">
        <v>626.02</v>
      </c>
      <c r="G17" s="19">
        <f>HYPERLINK("https://www.tradingview.com/chart/?symbol=NSE:TIPSMUSIC","Chart 📈")</f>
        <v/>
      </c>
    </row>
    <row r="18" ht="16" customHeight="1">
      <c r="A18" s="12" t="inlineStr">
        <is>
          <t>NIFTY MIDSMALL IT &amp; TELECOM</t>
        </is>
      </c>
      <c r="B18" s="13" t="inlineStr">
        <is>
          <t>COFORGE</t>
        </is>
      </c>
      <c r="C18" s="14" t="n">
        <v>1961.9</v>
      </c>
      <c r="D18" s="14" t="n">
        <v>1907.23</v>
      </c>
      <c r="E18" s="14" t="n">
        <v>1842.88</v>
      </c>
      <c r="F18" s="14" t="n">
        <v>1665.29</v>
      </c>
      <c r="G18" s="15">
        <f>HYPERLINK("https://www.tradingview.com/chart/?symbol=NSE:COFORGE","Chart 📈")</f>
        <v/>
      </c>
    </row>
    <row r="19" ht="16" customHeight="1">
      <c r="A19" s="16" t="inlineStr">
        <is>
          <t>NIFTY MIDSMALL IT &amp; TELECOM</t>
        </is>
      </c>
      <c r="B19" s="13" t="inlineStr">
        <is>
          <t>CYIENT</t>
        </is>
      </c>
      <c r="C19" s="14" t="n">
        <v>1156.7</v>
      </c>
      <c r="D19" s="14" t="n">
        <v>1146.19</v>
      </c>
      <c r="E19" s="14" t="n">
        <v>1078.82</v>
      </c>
      <c r="F19" s="14" t="n">
        <v>1003.29</v>
      </c>
      <c r="G19" s="15">
        <f>HYPERLINK("https://www.tradingview.com/chart/?symbol=NSE:CYIENT","Chart 📈")</f>
        <v/>
      </c>
    </row>
    <row r="20" ht="16" customHeight="1">
      <c r="A20" s="16" t="inlineStr">
        <is>
          <t>NIFTY MIDSMALL IT &amp; TELECOM</t>
        </is>
      </c>
      <c r="B20" s="13" t="inlineStr">
        <is>
          <t>LTTS</t>
        </is>
      </c>
      <c r="C20" s="14" t="n">
        <v>4088.1</v>
      </c>
      <c r="D20" s="14" t="n">
        <v>3680.48</v>
      </c>
      <c r="E20" s="14" t="n">
        <v>3519.75</v>
      </c>
      <c r="F20" s="14" t="n">
        <v>3549.61</v>
      </c>
      <c r="G20" s="15">
        <f>HYPERLINK("https://www.tradingview.com/chart/?symbol=NSE:LTTS","Chart 📈")</f>
        <v/>
      </c>
    </row>
    <row r="21" ht="16" customHeight="1">
      <c r="A21" s="16" t="inlineStr">
        <is>
          <t>NIFTY MIDSMALL IT &amp; TELECOM</t>
        </is>
      </c>
      <c r="B21" s="13" t="inlineStr">
        <is>
          <t>MPHASIS</t>
        </is>
      </c>
      <c r="C21" s="14" t="n">
        <v>2518</v>
      </c>
      <c r="D21" s="14" t="n">
        <v>2447.5</v>
      </c>
      <c r="E21" s="14" t="n">
        <v>2393.26</v>
      </c>
      <c r="F21" s="14" t="n">
        <v>2396.98</v>
      </c>
      <c r="G21" s="15">
        <f>HYPERLINK("https://www.tradingview.com/chart/?symbol=NSE:MPHASIS","Chart 📈")</f>
        <v/>
      </c>
    </row>
    <row r="22" ht="16" customHeight="1">
      <c r="A22" s="16" t="inlineStr">
        <is>
          <t>NIFTY MIDSMALL IT &amp; TELECOM</t>
        </is>
      </c>
      <c r="B22" s="13" t="inlineStr">
        <is>
          <t>PERSISTENT</t>
        </is>
      </c>
      <c r="C22" s="14" t="n">
        <v>5848</v>
      </c>
      <c r="D22" s="14" t="n">
        <v>5708.09</v>
      </c>
      <c r="E22" s="14" t="n">
        <v>5573.57</v>
      </c>
      <c r="F22" s="14" t="n">
        <v>5435.09</v>
      </c>
      <c r="G22" s="15">
        <f>HYPERLINK("https://www.tradingview.com/chart/?symbol=NSE:PERSISTENT","Chart 📈")</f>
        <v/>
      </c>
    </row>
    <row r="23" ht="16" customHeight="1">
      <c r="A23" s="16" t="inlineStr">
        <is>
          <t>NIFTY MIDSMALL IT &amp; TELECOM</t>
        </is>
      </c>
      <c r="B23" s="13" t="inlineStr">
        <is>
          <t>TANLA</t>
        </is>
      </c>
      <c r="C23" s="14" t="n">
        <v>598.7</v>
      </c>
      <c r="D23" s="14" t="n">
        <v>545.75</v>
      </c>
      <c r="E23" s="14" t="n">
        <v>535.84</v>
      </c>
      <c r="F23" s="14" t="n">
        <v>533.16</v>
      </c>
      <c r="G23" s="15">
        <f>HYPERLINK("https://www.tradingview.com/chart/?symbol=NSE:TANLA","Chart 📈")</f>
        <v/>
      </c>
    </row>
    <row r="24" ht="16" customHeight="1">
      <c r="A24" s="8" t="inlineStr">
        <is>
          <t>NIFTY IT</t>
        </is>
      </c>
      <c r="B24" s="17" t="inlineStr">
        <is>
          <t>HCLTECH</t>
        </is>
      </c>
      <c r="C24" s="18" t="n">
        <v>1400.5</v>
      </c>
      <c r="D24" s="18" t="n">
        <v>1337.81</v>
      </c>
      <c r="E24" s="18" t="n">
        <v>1293.68</v>
      </c>
      <c r="F24" s="18" t="n">
        <v>1302.05</v>
      </c>
      <c r="G24" s="19">
        <f>HYPERLINK("https://www.tradingview.com/chart/?symbol=NSE:HCLTECH","Chart 📈")</f>
        <v/>
      </c>
    </row>
    <row r="25" ht="16" customHeight="1">
      <c r="A25" s="20" t="inlineStr">
        <is>
          <t>NIFTY IT</t>
        </is>
      </c>
      <c r="B25" s="17" t="inlineStr">
        <is>
          <t>TCS</t>
        </is>
      </c>
      <c r="C25" s="18" t="n">
        <v>2460</v>
      </c>
      <c r="D25" s="18" t="n">
        <v>2349.94</v>
      </c>
      <c r="E25" s="18" t="n">
        <v>2277.8</v>
      </c>
      <c r="F25" s="18" t="n">
        <v>2399.98</v>
      </c>
      <c r="G25" s="19">
        <f>HYPERLINK("https://www.tradingview.com/chart/?symbol=NSE:TCS","Chart 📈")</f>
        <v/>
      </c>
    </row>
    <row r="26" ht="16" customHeight="1">
      <c r="A26" s="20" t="inlineStr">
        <is>
          <t>NIFTY IT</t>
        </is>
      </c>
      <c r="B26" s="17" t="inlineStr">
        <is>
          <t>TECHM</t>
        </is>
      </c>
      <c r="C26" s="18" t="n">
        <v>1776.6</v>
      </c>
      <c r="D26" s="18" t="n">
        <v>1676.5</v>
      </c>
      <c r="E26" s="18" t="n">
        <v>1606.71</v>
      </c>
      <c r="F26" s="18" t="n">
        <v>1511.09</v>
      </c>
      <c r="G26" s="19">
        <f>HYPERLINK("https://www.tradingview.com/chart/?symbol=NSE:TECHM","Chart 📈")</f>
        <v/>
      </c>
    </row>
    <row r="27" ht="16" customHeight="1">
      <c r="A27" s="12" t="inlineStr">
        <is>
          <t>NIFTY AUTO</t>
        </is>
      </c>
      <c r="B27" s="13" t="inlineStr">
        <is>
          <t>BOSCHLTD</t>
        </is>
      </c>
      <c r="C27" s="14" t="n">
        <v>47625</v>
      </c>
      <c r="D27" s="14" t="n">
        <v>45468.28</v>
      </c>
      <c r="E27" s="14" t="n">
        <v>45449.28</v>
      </c>
      <c r="F27" s="14" t="n">
        <v>41495.36</v>
      </c>
      <c r="G27" s="15">
        <f>HYPERLINK("https://www.tradingview.com/chart/?symbol=NSE:BOSCHLTD","Chart 📈")</f>
        <v/>
      </c>
    </row>
    <row r="28" ht="16" customHeight="1">
      <c r="A28" s="16" t="inlineStr">
        <is>
          <t>NIFTY AUTO</t>
        </is>
      </c>
      <c r="B28" s="13" t="inlineStr">
        <is>
          <t>HEROMOTOCO</t>
        </is>
      </c>
      <c r="C28" s="14" t="n">
        <v>5322.5</v>
      </c>
      <c r="D28" s="14" t="n">
        <v>5171.32</v>
      </c>
      <c r="E28" s="14" t="n">
        <v>5221.84</v>
      </c>
      <c r="F28" s="14" t="n">
        <v>5250.31</v>
      </c>
      <c r="G28" s="15">
        <f>HYPERLINK("https://www.tradingview.com/chart/?symbol=NSE:HEROMOTOCO","Chart 📈")</f>
        <v/>
      </c>
    </row>
    <row r="29" ht="16" customHeight="1">
      <c r="A29" s="16" t="inlineStr">
        <is>
          <t>NIFTY AUTO</t>
        </is>
      </c>
      <c r="B29" s="13" t="inlineStr">
        <is>
          <t>MOTHERSON</t>
        </is>
      </c>
      <c r="C29" s="14" t="n">
        <v>160.33</v>
      </c>
      <c r="D29" s="14" t="n">
        <v>158.02</v>
      </c>
      <c r="E29" s="14" t="n">
        <v>158.34</v>
      </c>
      <c r="F29" s="14" t="n">
        <v>142.79</v>
      </c>
      <c r="G29" s="15">
        <f>HYPERLINK("https://www.tradingview.com/chart/?symbol=NSE:MOTHERSON","Chart 📈")</f>
        <v/>
      </c>
    </row>
    <row r="30" ht="16" customHeight="1">
      <c r="A30" s="16" t="inlineStr">
        <is>
          <t>NIFTY AUTO</t>
        </is>
      </c>
      <c r="B30" s="13" t="inlineStr">
        <is>
          <t>TVSMOTOR</t>
        </is>
      </c>
      <c r="C30" s="14" t="n">
        <v>4239.9</v>
      </c>
      <c r="D30" s="14" t="n">
        <v>4047.67</v>
      </c>
      <c r="E30" s="14" t="n">
        <v>4057.58</v>
      </c>
      <c r="F30" s="14" t="n">
        <v>3850.08</v>
      </c>
      <c r="G30" s="15">
        <f>HYPERLINK("https://www.tradingview.com/chart/?symbol=NSE:TVSMOTOR","Chart 📈")</f>
        <v/>
      </c>
    </row>
    <row r="31" ht="16" customHeight="1">
      <c r="A31" s="8" t="inlineStr">
        <is>
          <t>NIFTY REALTY</t>
        </is>
      </c>
      <c r="B31" s="17" t="inlineStr">
        <is>
          <t>DLF</t>
        </is>
      </c>
      <c r="C31" s="18" t="n">
        <v>666.3</v>
      </c>
      <c r="D31" s="18" t="n">
        <v>663.73</v>
      </c>
      <c r="E31" s="18" t="n">
        <v>660.21</v>
      </c>
      <c r="F31" s="18" t="n">
        <v>650.72</v>
      </c>
      <c r="G31" s="19">
        <f>HYPERLINK("https://www.tradingview.com/chart/?symbol=NSE:DLF","Chart 📈")</f>
        <v/>
      </c>
    </row>
    <row r="32" ht="16" customHeight="1">
      <c r="A32" s="12" t="inlineStr">
        <is>
          <t>NIFTY PSU BANK</t>
        </is>
      </c>
      <c r="B32" s="13" t="inlineStr">
        <is>
          <t>PNB</t>
        </is>
      </c>
      <c r="C32" s="14" t="n">
        <v>120.31</v>
      </c>
      <c r="D32" s="14" t="n">
        <v>118.37</v>
      </c>
      <c r="E32" s="14" t="n">
        <v>116.24</v>
      </c>
      <c r="F32" s="14" t="n">
        <v>113.56</v>
      </c>
      <c r="G32" s="15">
        <f>HYPERLINK("https://www.tradingview.com/chart/?symbol=NSE:PNB","Chart 📈")</f>
        <v/>
      </c>
    </row>
    <row r="33" ht="16" customHeight="1">
      <c r="A33" s="16" t="inlineStr">
        <is>
          <t>NIFTY PSU BANK</t>
        </is>
      </c>
      <c r="B33" s="13" t="inlineStr">
        <is>
          <t>UNIONBANK</t>
        </is>
      </c>
      <c r="C33" s="14" t="n">
        <v>182.98</v>
      </c>
      <c r="D33" s="14" t="n">
        <v>177.89</v>
      </c>
      <c r="E33" s="14" t="n">
        <v>177.17</v>
      </c>
      <c r="F33" s="14" t="n">
        <v>170.4</v>
      </c>
      <c r="G33" s="15">
        <f>HYPERLINK("https://www.tradingview.com/chart/?symbol=NSE:UNIONBANK","Chart 📈")</f>
        <v/>
      </c>
    </row>
    <row r="34" ht="16" customHeight="1">
      <c r="A34" s="8" t="inlineStr">
        <is>
          <t>NIFTY METAL</t>
        </is>
      </c>
      <c r="B34" s="17" t="inlineStr">
        <is>
          <t>APLAPOLLO</t>
        </is>
      </c>
      <c r="C34" s="18" t="n">
        <v>2165.3</v>
      </c>
      <c r="D34" s="18" t="n">
        <v>2131.88</v>
      </c>
      <c r="E34" s="18" t="n">
        <v>2110.96</v>
      </c>
      <c r="F34" s="18" t="n">
        <v>1991.56</v>
      </c>
      <c r="G34" s="19">
        <f>HYPERLINK("https://www.tradingview.com/chart/?symbol=NSE:APLAPOLLO","Chart 📈")</f>
        <v/>
      </c>
    </row>
    <row r="35" ht="16" customHeight="1">
      <c r="A35" s="20" t="inlineStr">
        <is>
          <t>NIFTY METAL</t>
        </is>
      </c>
      <c r="B35" s="17" t="inlineStr">
        <is>
          <t>WELCORP</t>
        </is>
      </c>
      <c r="C35" s="18" t="n">
        <v>2564.3</v>
      </c>
      <c r="D35" s="18" t="n">
        <v>2551.96</v>
      </c>
      <c r="E35" s="18" t="n">
        <v>2435.34</v>
      </c>
      <c r="F35" s="18" t="n">
        <v>1738.05</v>
      </c>
      <c r="G35" s="19">
        <f>HYPERLINK("https://www.tradingview.com/chart/?symbol=NSE:WELCORP","Chart 📈")</f>
        <v/>
      </c>
    </row>
    <row r="36" ht="16" customHeight="1">
      <c r="A36" s="12" t="inlineStr">
        <is>
          <t>NIFTY FINANCIAL SERVICES</t>
        </is>
      </c>
      <c r="B36" s="13" t="inlineStr">
        <is>
          <t>ICICIBANK</t>
        </is>
      </c>
      <c r="C36" s="14" t="n">
        <v>1377.6</v>
      </c>
      <c r="D36" s="14" t="n">
        <v>1372.99</v>
      </c>
      <c r="E36" s="14" t="n">
        <v>1373.53</v>
      </c>
      <c r="F36" s="14" t="n">
        <v>1358.49</v>
      </c>
      <c r="G36" s="15">
        <f>HYPERLINK("https://www.tradingview.com/chart/?symbol=NSE:ICICIBANK","Chart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KOTAKBANK</t>
        </is>
      </c>
      <c r="C37" s="14" t="n">
        <v>440</v>
      </c>
      <c r="D37" s="14" t="n">
        <v>434.18</v>
      </c>
      <c r="E37" s="14" t="n">
        <v>422.28</v>
      </c>
      <c r="F37" s="14" t="n">
        <v>408.1</v>
      </c>
      <c r="G37" s="15">
        <f>HYPERLINK("https://www.tradingview.com/chart/?symbol=NSE:KOTAKBANK","Chart 📈")</f>
        <v/>
      </c>
    </row>
    <row r="38" ht="16" customHeight="1">
      <c r="A38" s="8" t="inlineStr">
        <is>
          <t>NIFTY BANK</t>
        </is>
      </c>
      <c r="B38" s="17" t="inlineStr">
        <is>
          <t>FEDERALBNK</t>
        </is>
      </c>
      <c r="C38" s="18" t="n">
        <v>346</v>
      </c>
      <c r="D38" s="18" t="n">
        <v>337.57</v>
      </c>
      <c r="E38" s="18" t="n">
        <v>336.76</v>
      </c>
      <c r="F38" s="18" t="n">
        <v>312.24</v>
      </c>
      <c r="G38" s="19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2026-10-28T17:09:48Z</dcterms:created>
  <dcterms:modified xmlns:dcterms="http://purl.org/dc/terms/" xmlns:xsi="http://www.w3.org/2001/XMLSchema-instance" xsi:type="dcterms:W3CDTF">2026-10-28T17:09:48Z</dcterms:modified>
</cp:coreProperties>
</file>