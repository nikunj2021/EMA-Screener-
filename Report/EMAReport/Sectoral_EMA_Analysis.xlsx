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18-Aug-2026  11:33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6</v>
      </c>
      <c r="D4" s="5" t="n">
        <v>9</v>
      </c>
      <c r="E4" s="5" t="n">
        <v>9</v>
      </c>
      <c r="F4" s="6" t="n">
        <v>0.6</v>
      </c>
      <c r="G4" s="6" t="n">
        <v>0.9</v>
      </c>
      <c r="H4" s="6" t="n">
        <v>0.9</v>
      </c>
      <c r="I4" s="7" t="n">
        <v>0.8</v>
      </c>
    </row>
    <row r="5" ht="17" customHeight="1">
      <c r="A5" s="8" t="inlineStr">
        <is>
          <t>NIFTY AUTO</t>
        </is>
      </c>
      <c r="B5" s="9" t="n">
        <v>15</v>
      </c>
      <c r="C5" s="9" t="n">
        <v>11</v>
      </c>
      <c r="D5" s="9" t="n">
        <v>14</v>
      </c>
      <c r="E5" s="9" t="n">
        <v>11</v>
      </c>
      <c r="F5" s="10" t="n">
        <v>0.733</v>
      </c>
      <c r="G5" s="10" t="n">
        <v>0.9329999999999999</v>
      </c>
      <c r="H5" s="10" t="n">
        <v>0.733</v>
      </c>
      <c r="I5" s="11" t="n">
        <v>0.7997</v>
      </c>
    </row>
    <row r="6" ht="17" customHeight="1">
      <c r="A6" s="4" t="inlineStr">
        <is>
          <t>NIFTY METAL</t>
        </is>
      </c>
      <c r="B6" s="5" t="n">
        <v>15</v>
      </c>
      <c r="C6" s="5" t="n">
        <v>8</v>
      </c>
      <c r="D6" s="5" t="n">
        <v>9</v>
      </c>
      <c r="E6" s="5" t="n">
        <v>10</v>
      </c>
      <c r="F6" s="6" t="n">
        <v>0.5329999999999999</v>
      </c>
      <c r="G6" s="6" t="n">
        <v>0.6</v>
      </c>
      <c r="H6" s="6" t="n">
        <v>0.667</v>
      </c>
      <c r="I6" s="7" t="n">
        <v>0.6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12</v>
      </c>
      <c r="E7" s="9" t="n">
        <v>15</v>
      </c>
      <c r="F7" s="10" t="n">
        <v>0.45</v>
      </c>
      <c r="G7" s="10" t="n">
        <v>0.6</v>
      </c>
      <c r="H7" s="10" t="n">
        <v>0.75</v>
      </c>
      <c r="I7" s="11" t="n">
        <v>0.6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8</v>
      </c>
      <c r="D8" s="5" t="n">
        <v>11</v>
      </c>
      <c r="E8" s="5" t="n">
        <v>11</v>
      </c>
      <c r="F8" s="6" t="n">
        <v>0.4</v>
      </c>
      <c r="G8" s="6" t="n">
        <v>0.55</v>
      </c>
      <c r="H8" s="6" t="n">
        <v>0.55</v>
      </c>
      <c r="I8" s="7" t="n">
        <v>0.5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8</v>
      </c>
      <c r="D9" s="9" t="n">
        <v>7</v>
      </c>
      <c r="E9" s="9" t="n">
        <v>7</v>
      </c>
      <c r="F9" s="10" t="n">
        <v>0.5329999999999999</v>
      </c>
      <c r="G9" s="10" t="n">
        <v>0.467</v>
      </c>
      <c r="H9" s="10" t="n">
        <v>0.467</v>
      </c>
      <c r="I9" s="11" t="n">
        <v>0.489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7</v>
      </c>
      <c r="E10" s="5" t="n">
        <v>6</v>
      </c>
      <c r="F10" s="6" t="n">
        <v>0.467</v>
      </c>
      <c r="G10" s="6" t="n">
        <v>0.467</v>
      </c>
      <c r="H10" s="6" t="n">
        <v>0.4</v>
      </c>
      <c r="I10" s="7" t="n">
        <v>0.4447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4</v>
      </c>
      <c r="E11" s="9" t="n">
        <v>5</v>
      </c>
      <c r="F11" s="10" t="n">
        <v>0.3</v>
      </c>
      <c r="G11" s="10" t="n">
        <v>0.4</v>
      </c>
      <c r="H11" s="10" t="n">
        <v>0.5</v>
      </c>
      <c r="I11" s="11" t="n">
        <v>0.4</v>
      </c>
    </row>
    <row r="12" ht="17" customHeight="1">
      <c r="A12" s="4" t="inlineStr">
        <is>
          <t>NIFTY PSU BANK</t>
        </is>
      </c>
      <c r="B12" s="5" t="n">
        <v>12</v>
      </c>
      <c r="C12" s="5" t="n">
        <v>3</v>
      </c>
      <c r="D12" s="5" t="n">
        <v>5</v>
      </c>
      <c r="E12" s="5" t="n">
        <v>6</v>
      </c>
      <c r="F12" s="6" t="n">
        <v>0.25</v>
      </c>
      <c r="G12" s="6" t="n">
        <v>0.417</v>
      </c>
      <c r="H12" s="6" t="n">
        <v>0.5</v>
      </c>
      <c r="I12" s="7" t="n">
        <v>0.389</v>
      </c>
    </row>
    <row r="13" ht="17" customHeight="1">
      <c r="A13" s="8" t="inlineStr">
        <is>
          <t>NIFTY FMCG</t>
        </is>
      </c>
      <c r="B13" s="9" t="n">
        <v>15</v>
      </c>
      <c r="C13" s="9" t="n">
        <v>4</v>
      </c>
      <c r="D13" s="9" t="n">
        <v>5</v>
      </c>
      <c r="E13" s="9" t="n">
        <v>6</v>
      </c>
      <c r="F13" s="10" t="n">
        <v>0.267</v>
      </c>
      <c r="G13" s="10" t="n">
        <v>0.333</v>
      </c>
      <c r="H13" s="10" t="n">
        <v>0.4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5</v>
      </c>
      <c r="D15" s="9" t="n">
        <v>6</v>
      </c>
      <c r="E15" s="9" t="n">
        <v>6</v>
      </c>
      <c r="F15" s="10" t="n">
        <v>0.25</v>
      </c>
      <c r="G15" s="10" t="n">
        <v>0.3</v>
      </c>
      <c r="H15" s="10" t="n">
        <v>0.3</v>
      </c>
      <c r="I15" s="11" t="n">
        <v>0.2833</v>
      </c>
    </row>
    <row r="16" ht="17" customHeight="1">
      <c r="A16" s="4" t="inlineStr">
        <is>
          <t>NIFTY ENERGY</t>
        </is>
      </c>
      <c r="B16" s="5" t="n">
        <v>40</v>
      </c>
      <c r="C16" s="5" t="n">
        <v>7</v>
      </c>
      <c r="D16" s="5" t="n">
        <v>7</v>
      </c>
      <c r="E16" s="5" t="n">
        <v>14</v>
      </c>
      <c r="F16" s="6" t="n">
        <v>0.175</v>
      </c>
      <c r="G16" s="6" t="n">
        <v>0.175</v>
      </c>
      <c r="H16" s="6" t="n">
        <v>0.35</v>
      </c>
      <c r="I16" s="7" t="n">
        <v>0.2333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2</v>
      </c>
      <c r="E17" s="9" t="n">
        <v>1</v>
      </c>
      <c r="F17" s="10" t="n">
        <v>0</v>
      </c>
      <c r="G17" s="10" t="n">
        <v>0.2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BRIGADE</t>
        </is>
      </c>
      <c r="C3" s="14" t="n">
        <v>588.9</v>
      </c>
      <c r="D3" s="14" t="n">
        <v>576.08</v>
      </c>
      <c r="E3" s="14" t="n">
        <v>555.95</v>
      </c>
      <c r="F3" s="14" t="n">
        <v>578.1</v>
      </c>
      <c r="G3" s="15">
        <f>HYPERLINK("https://www.tradingview.com/chart/?symbol=NSE:BRIGADE","Chart 📈")</f>
        <v/>
      </c>
    </row>
    <row r="4" ht="16" customHeight="1">
      <c r="A4" s="16" t="inlineStr">
        <is>
          <t>NIFTY REALTY</t>
        </is>
      </c>
      <c r="B4" s="13" t="inlineStr">
        <is>
          <t>DLF</t>
        </is>
      </c>
      <c r="C4" s="14" t="n">
        <v>665.75</v>
      </c>
      <c r="D4" s="14" t="n">
        <v>656.1900000000001</v>
      </c>
      <c r="E4" s="14" t="n">
        <v>640.0700000000001</v>
      </c>
      <c r="F4" s="14" t="n">
        <v>639.87</v>
      </c>
      <c r="G4" s="15">
        <f>HYPERLINK("https://www.tradingview.com/chart/?symbol=NSE:DLF","Chart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1211.1</v>
      </c>
      <c r="D5" s="14" t="n">
        <v>1210.44</v>
      </c>
      <c r="E5" s="14" t="n">
        <v>1129.33</v>
      </c>
      <c r="F5" s="14" t="n">
        <v>1049.16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384.15</v>
      </c>
      <c r="D6" s="14" t="n">
        <v>382.84</v>
      </c>
      <c r="E6" s="14" t="n">
        <v>371.39</v>
      </c>
      <c r="F6" s="14" t="n">
        <v>357.9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1858</v>
      </c>
      <c r="D7" s="14" t="n">
        <v>1833.53</v>
      </c>
      <c r="E7" s="14" t="n">
        <v>1798.17</v>
      </c>
      <c r="F7" s="14" t="n">
        <v>1691.43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RAYMOND</t>
        </is>
      </c>
      <c r="C8" s="14" t="n">
        <v>625</v>
      </c>
      <c r="D8" s="14" t="n">
        <v>618.02</v>
      </c>
      <c r="E8" s="14" t="n">
        <v>592.95</v>
      </c>
      <c r="F8" s="14" t="n">
        <v>529.95</v>
      </c>
      <c r="G8" s="15">
        <f>HYPERLINK("https://www.tradingview.com/chart/?symbol=NSE:RAYMOND","Chart 📈")</f>
        <v/>
      </c>
    </row>
    <row r="9" ht="16" customHeight="1">
      <c r="A9" s="8" t="inlineStr">
        <is>
          <t>NIFTY AUTO</t>
        </is>
      </c>
      <c r="B9" s="17" t="inlineStr">
        <is>
          <t>ASHOKLEY</t>
        </is>
      </c>
      <c r="C9" s="18" t="n">
        <v>176.35</v>
      </c>
      <c r="D9" s="18" t="n">
        <v>169.94</v>
      </c>
      <c r="E9" s="18" t="n">
        <v>164.27</v>
      </c>
      <c r="F9" s="18" t="n">
        <v>160.64</v>
      </c>
      <c r="G9" s="19">
        <f>HYPERLINK("https://www.tradingview.com/chart/?symbol=NSE:ASHOKLEY","Chart 📈")</f>
        <v/>
      </c>
    </row>
    <row r="10" ht="16" customHeight="1">
      <c r="A10" s="20" t="inlineStr">
        <is>
          <t>NIFTY AUTO</t>
        </is>
      </c>
      <c r="B10" s="17" t="inlineStr">
        <is>
          <t>BAJAJ-AUTO</t>
        </is>
      </c>
      <c r="C10" s="18" t="n">
        <v>11607</v>
      </c>
      <c r="D10" s="18" t="n">
        <v>11396.23</v>
      </c>
      <c r="E10" s="18" t="n">
        <v>10869.97</v>
      </c>
      <c r="F10" s="18" t="n">
        <v>9898.07</v>
      </c>
      <c r="G10" s="19">
        <f>HYPERLINK("https://www.tradingview.com/chart/?symbol=NSE:BAJAJ-AUTO","Chart 📈")</f>
        <v/>
      </c>
    </row>
    <row r="11" ht="16" customHeight="1">
      <c r="A11" s="20" t="inlineStr">
        <is>
          <t>NIFTY AUTO</t>
        </is>
      </c>
      <c r="B11" s="17" t="inlineStr">
        <is>
          <t>BALKRISIND</t>
        </is>
      </c>
      <c r="C11" s="18" t="n">
        <v>2376.7</v>
      </c>
      <c r="D11" s="18" t="n">
        <v>2354.46</v>
      </c>
      <c r="E11" s="18" t="n">
        <v>2271.71</v>
      </c>
      <c r="F11" s="18" t="n">
        <v>2275</v>
      </c>
      <c r="G11" s="19">
        <f>HYPERLINK("https://www.tradingview.com/chart/?symbol=NSE:BALKRISIND","Chart 📈")</f>
        <v/>
      </c>
    </row>
    <row r="12" ht="16" customHeight="1">
      <c r="A12" s="20" t="inlineStr">
        <is>
          <t>NIFTY AUTO</t>
        </is>
      </c>
      <c r="B12" s="17" t="inlineStr">
        <is>
          <t>BOSCHLTD</t>
        </is>
      </c>
      <c r="C12" s="18" t="n">
        <v>48730</v>
      </c>
      <c r="D12" s="18" t="n">
        <v>44046.93</v>
      </c>
      <c r="E12" s="18" t="n">
        <v>41673.43</v>
      </c>
      <c r="F12" s="18" t="n">
        <v>38429.45</v>
      </c>
      <c r="G12" s="19">
        <f>HYPERLINK("https://www.tradingview.com/chart/?symbol=NSE:BOSCHLTD","Chart 📈")</f>
        <v/>
      </c>
    </row>
    <row r="13" ht="16" customHeight="1">
      <c r="A13" s="20" t="inlineStr">
        <is>
          <t>NIFTY AUTO</t>
        </is>
      </c>
      <c r="B13" s="17" t="inlineStr">
        <is>
          <t>EICHERMOT</t>
        </is>
      </c>
      <c r="C13" s="18" t="n">
        <v>8018.5</v>
      </c>
      <c r="D13" s="18" t="n">
        <v>7884.65</v>
      </c>
      <c r="E13" s="18" t="n">
        <v>7633.5</v>
      </c>
      <c r="F13" s="18" t="n">
        <v>7190.01</v>
      </c>
      <c r="G13" s="19">
        <f>HYPERLINK("https://www.tradingview.com/chart/?symbol=NSE:EICHERMOT","Chart 📈")</f>
        <v/>
      </c>
    </row>
    <row r="14" ht="16" customHeight="1">
      <c r="A14" s="20" t="inlineStr">
        <is>
          <t>NIFTY AUTO</t>
        </is>
      </c>
      <c r="B14" s="17" t="inlineStr">
        <is>
          <t>EXIDEIND</t>
        </is>
      </c>
      <c r="C14" s="18" t="n">
        <v>465.25</v>
      </c>
      <c r="D14" s="18" t="n">
        <v>461.48</v>
      </c>
      <c r="E14" s="18" t="n">
        <v>431.72</v>
      </c>
      <c r="F14" s="18" t="n">
        <v>383.85</v>
      </c>
      <c r="G14" s="19">
        <f>HYPERLINK("https://www.tradingview.com/chart/?symbol=NSE:EXIDEIND","Chart 📈")</f>
        <v/>
      </c>
    </row>
    <row r="15" ht="16" customHeight="1">
      <c r="A15" s="20" t="inlineStr">
        <is>
          <t>NIFTY AUTO</t>
        </is>
      </c>
      <c r="B15" s="17" t="inlineStr">
        <is>
          <t>HEROMOTOCO</t>
        </is>
      </c>
      <c r="C15" s="18" t="n">
        <v>5745.5</v>
      </c>
      <c r="D15" s="18" t="n">
        <v>5536.57</v>
      </c>
      <c r="E15" s="18" t="n">
        <v>5262.51</v>
      </c>
      <c r="F15" s="18" t="n">
        <v>5173.32</v>
      </c>
      <c r="G15" s="19">
        <f>HYPERLINK("https://www.tradingview.com/chart/?symbol=NSE:HEROMOTOCO","Chart 📈")</f>
        <v/>
      </c>
    </row>
    <row r="16" ht="16" customHeight="1">
      <c r="A16" s="20" t="inlineStr">
        <is>
          <t>NIFTY AUTO</t>
        </is>
      </c>
      <c r="B16" s="17" t="inlineStr">
        <is>
          <t>M&amp;M</t>
        </is>
      </c>
      <c r="C16" s="18" t="n">
        <v>3421.5</v>
      </c>
      <c r="D16" s="18" t="n">
        <v>3364.18</v>
      </c>
      <c r="E16" s="18" t="n">
        <v>3258.52</v>
      </c>
      <c r="F16" s="18" t="n">
        <v>3266.97</v>
      </c>
      <c r="G16" s="19">
        <f>HYPERLINK("https://www.tradingview.com/chart/?symbol=NSE:M&amp;M","Chart 📈")</f>
        <v/>
      </c>
    </row>
    <row r="17" ht="16" customHeight="1">
      <c r="A17" s="20" t="inlineStr">
        <is>
          <t>NIFTY AUTO</t>
        </is>
      </c>
      <c r="B17" s="17" t="inlineStr">
        <is>
          <t>MOTHERSON</t>
        </is>
      </c>
      <c r="C17" s="18" t="n">
        <v>170.4</v>
      </c>
      <c r="D17" s="18" t="n">
        <v>159.63</v>
      </c>
      <c r="E17" s="18" t="n">
        <v>150.8</v>
      </c>
      <c r="F17" s="18" t="n">
        <v>130.7</v>
      </c>
      <c r="G17" s="19">
        <f>HYPERLINK("https://www.tradingview.com/chart/?symbol=NSE:MOTHERSON","Chart 📈")</f>
        <v/>
      </c>
    </row>
    <row r="18" ht="16" customHeight="1">
      <c r="A18" s="20" t="inlineStr">
        <is>
          <t>NIFTY AUTO</t>
        </is>
      </c>
      <c r="B18" s="17" t="inlineStr">
        <is>
          <t>TVSMOTOR</t>
        </is>
      </c>
      <c r="C18" s="18" t="n">
        <v>4356.8</v>
      </c>
      <c r="D18" s="18" t="n">
        <v>4205.88</v>
      </c>
      <c r="E18" s="18" t="n">
        <v>3931.64</v>
      </c>
      <c r="F18" s="18" t="n">
        <v>3647.2</v>
      </c>
      <c r="G18" s="19">
        <f>HYPERLINK("https://www.tradingview.com/chart/?symbol=NSE:TVSMOTOR","Chart 📈")</f>
        <v/>
      </c>
    </row>
    <row r="19" ht="16" customHeight="1">
      <c r="A19" s="12" t="inlineStr">
        <is>
          <t>NIFTY METAL</t>
        </is>
      </c>
      <c r="B19" s="13" t="inlineStr">
        <is>
          <t>APLAPOLLO</t>
        </is>
      </c>
      <c r="C19" s="14" t="n">
        <v>2115</v>
      </c>
      <c r="D19" s="14" t="n">
        <v>1969.29</v>
      </c>
      <c r="E19" s="14" t="n">
        <v>1908.48</v>
      </c>
      <c r="F19" s="14" t="n">
        <v>1878.57</v>
      </c>
      <c r="G19" s="15">
        <f>HYPERLINK("https://www.tradingview.com/chart/?symbol=NSE:APLAPOLLO","Chart 📈")</f>
        <v/>
      </c>
    </row>
    <row r="20" ht="16" customHeight="1">
      <c r="A20" s="16" t="inlineStr">
        <is>
          <t>NIFTY METAL</t>
        </is>
      </c>
      <c r="B20" s="13" t="inlineStr">
        <is>
          <t>HINDALCO</t>
        </is>
      </c>
      <c r="C20" s="14" t="n">
        <v>1041.6</v>
      </c>
      <c r="D20" s="14" t="n">
        <v>1018.54</v>
      </c>
      <c r="E20" s="14" t="n">
        <v>1004.78</v>
      </c>
      <c r="F20" s="14" t="n">
        <v>945.51</v>
      </c>
      <c r="G20" s="15">
        <f>HYPERLINK("https://www.tradingview.com/chart/?symbol=NSE:HINDALCO","Chart 📈")</f>
        <v/>
      </c>
    </row>
    <row r="21" ht="16" customHeight="1">
      <c r="A21" s="16" t="inlineStr">
        <is>
          <t>NIFTY METAL</t>
        </is>
      </c>
      <c r="B21" s="13" t="inlineStr">
        <is>
          <t>HINDCOPPER</t>
        </is>
      </c>
      <c r="C21" s="14" t="n">
        <v>566.35</v>
      </c>
      <c r="D21" s="14" t="n">
        <v>525.59</v>
      </c>
      <c r="E21" s="14" t="n">
        <v>516.25</v>
      </c>
      <c r="F21" s="14" t="n">
        <v>480.82</v>
      </c>
      <c r="G21" s="15">
        <f>HYPERLINK("https://www.tradingview.com/chart/?symbol=NSE:HINDCOPPER","Chart 📈")</f>
        <v/>
      </c>
    </row>
    <row r="22" ht="16" customHeight="1">
      <c r="A22" s="16" t="inlineStr">
        <is>
          <t>NIFTY METAL</t>
        </is>
      </c>
      <c r="B22" s="13" t="inlineStr">
        <is>
          <t>NATIONALUM</t>
        </is>
      </c>
      <c r="C22" s="14" t="n">
        <v>388</v>
      </c>
      <c r="D22" s="14" t="n">
        <v>375.77</v>
      </c>
      <c r="E22" s="14" t="n">
        <v>371.01</v>
      </c>
      <c r="F22" s="14" t="n">
        <v>343.9</v>
      </c>
      <c r="G22" s="15">
        <f>HYPERLINK("https://www.tradingview.com/chart/?symbol=NSE:NATIONALUM","Chart 📈")</f>
        <v/>
      </c>
    </row>
    <row r="23" ht="16" customHeight="1">
      <c r="A23" s="16" t="inlineStr">
        <is>
          <t>NIFTY METAL</t>
        </is>
      </c>
      <c r="B23" s="13" t="inlineStr">
        <is>
          <t>WELCORP</t>
        </is>
      </c>
      <c r="C23" s="14" t="n">
        <v>1917.1</v>
      </c>
      <c r="D23" s="14" t="n">
        <v>1777.22</v>
      </c>
      <c r="E23" s="14" t="n">
        <v>1624.72</v>
      </c>
      <c r="F23" s="14" t="n">
        <v>1235.99</v>
      </c>
      <c r="G23" s="15">
        <f>HYPERLINK("https://www.tradingview.com/chart/?symbol=NSE:WELCORP","Chart 📈")</f>
        <v/>
      </c>
    </row>
    <row r="24" ht="16" customHeight="1">
      <c r="A24" s="8" t="inlineStr">
        <is>
          <t>NIFTY PHARMA</t>
        </is>
      </c>
      <c r="B24" s="17" t="inlineStr">
        <is>
          <t>AJANTPHARM</t>
        </is>
      </c>
      <c r="C24" s="18" t="n">
        <v>3706.4</v>
      </c>
      <c r="D24" s="18" t="n">
        <v>3515.79</v>
      </c>
      <c r="E24" s="18" t="n">
        <v>3364.27</v>
      </c>
      <c r="F24" s="18" t="n">
        <v>3013.12</v>
      </c>
      <c r="G24" s="19">
        <f>HYPERLINK("https://www.tradingview.com/chart/?symbol=NSE:AJANTPHARM","Chart 📈")</f>
        <v/>
      </c>
    </row>
    <row r="25" ht="16" customHeight="1">
      <c r="A25" s="20" t="inlineStr">
        <is>
          <t>NIFTY PHARMA</t>
        </is>
      </c>
      <c r="B25" s="17" t="inlineStr">
        <is>
          <t>AUROPHARMA</t>
        </is>
      </c>
      <c r="C25" s="18" t="n">
        <v>1645</v>
      </c>
      <c r="D25" s="18" t="n">
        <v>1609.23</v>
      </c>
      <c r="E25" s="18" t="n">
        <v>1559.11</v>
      </c>
      <c r="F25" s="18" t="n">
        <v>1381.96</v>
      </c>
      <c r="G25" s="19">
        <f>HYPERLINK("https://www.tradingview.com/chart/?symbol=NSE:AUROPHARMA","Chart 📈")</f>
        <v/>
      </c>
    </row>
    <row r="26" ht="16" customHeight="1">
      <c r="A26" s="20" t="inlineStr">
        <is>
          <t>NIFTY PHARMA</t>
        </is>
      </c>
      <c r="B26" s="17" t="inlineStr">
        <is>
          <t>DIVISLAB</t>
        </is>
      </c>
      <c r="C26" s="18" t="n">
        <v>8588</v>
      </c>
      <c r="D26" s="18" t="n">
        <v>8126.85</v>
      </c>
      <c r="E26" s="18" t="n">
        <v>7549.9</v>
      </c>
      <c r="F26" s="18" t="n">
        <v>6756.91</v>
      </c>
      <c r="G26" s="19">
        <f>HYPERLINK("https://www.tradingview.com/chart/?symbol=NSE:DIVISLAB","Chart 📈")</f>
        <v/>
      </c>
    </row>
    <row r="27" ht="16" customHeight="1">
      <c r="A27" s="20" t="inlineStr">
        <is>
          <t>NIFTY PHARMA</t>
        </is>
      </c>
      <c r="B27" s="17" t="inlineStr">
        <is>
          <t>GLAND</t>
        </is>
      </c>
      <c r="C27" s="18" t="n">
        <v>2858.6</v>
      </c>
      <c r="D27" s="18" t="n">
        <v>2686.57</v>
      </c>
      <c r="E27" s="18" t="n">
        <v>2487.63</v>
      </c>
      <c r="F27" s="18" t="n">
        <v>2110.9</v>
      </c>
      <c r="G27" s="19">
        <f>HYPERLINK("https://www.tradingview.com/chart/?symbol=NSE:GLAND","Chart 📈")</f>
        <v/>
      </c>
    </row>
    <row r="28" ht="16" customHeight="1">
      <c r="A28" s="20" t="inlineStr">
        <is>
          <t>NIFTY PHARMA</t>
        </is>
      </c>
      <c r="B28" s="17" t="inlineStr">
        <is>
          <t>GLENMARK</t>
        </is>
      </c>
      <c r="C28" s="18" t="n">
        <v>2305</v>
      </c>
      <c r="D28" s="18" t="n">
        <v>2269.82</v>
      </c>
      <c r="E28" s="18" t="n">
        <v>2248.48</v>
      </c>
      <c r="F28" s="18" t="n">
        <v>2157.92</v>
      </c>
      <c r="G28" s="19">
        <f>HYPERLINK("https://www.tradingview.com/chart/?symbol=NSE:GLENMARK","Chart 📈")</f>
        <v/>
      </c>
    </row>
    <row r="29" ht="16" customHeight="1">
      <c r="A29" s="20" t="inlineStr">
        <is>
          <t>NIFTY PHARMA</t>
        </is>
      </c>
      <c r="B29" s="17" t="inlineStr">
        <is>
          <t>IPCALAB</t>
        </is>
      </c>
      <c r="C29" s="18" t="n">
        <v>1882.1</v>
      </c>
      <c r="D29" s="18" t="n">
        <v>1774.8</v>
      </c>
      <c r="E29" s="18" t="n">
        <v>1725.62</v>
      </c>
      <c r="F29" s="18" t="n">
        <v>1572.49</v>
      </c>
      <c r="G29" s="19">
        <f>HYPERLINK("https://www.tradingview.com/chart/?symbol=NSE:IPCALAB","Chart 📈")</f>
        <v/>
      </c>
    </row>
    <row r="30" ht="16" customHeight="1">
      <c r="A30" s="20" t="inlineStr">
        <is>
          <t>NIFTY PHARMA</t>
        </is>
      </c>
      <c r="B30" s="17" t="inlineStr">
        <is>
          <t>JBCHEPHARM</t>
        </is>
      </c>
      <c r="C30" s="18" t="n">
        <v>2408.9</v>
      </c>
      <c r="D30" s="18" t="n">
        <v>2383.66</v>
      </c>
      <c r="E30" s="18" t="n">
        <v>2287.69</v>
      </c>
      <c r="F30" s="18" t="n">
        <v>2042.21</v>
      </c>
      <c r="G30" s="19">
        <f>HYPERLINK("https://www.tradingview.com/chart/?symbol=NSE:JBCHEPHARM","Chart 📈")</f>
        <v/>
      </c>
    </row>
    <row r="31" ht="16" customHeight="1">
      <c r="A31" s="20" t="inlineStr">
        <is>
          <t>NIFTY PHARMA</t>
        </is>
      </c>
      <c r="B31" s="17" t="inlineStr">
        <is>
          <t>LAURUSLABS</t>
        </is>
      </c>
      <c r="C31" s="18" t="n">
        <v>1814</v>
      </c>
      <c r="D31" s="18" t="n">
        <v>1769.44</v>
      </c>
      <c r="E31" s="18" t="n">
        <v>1628.21</v>
      </c>
      <c r="F31" s="18" t="n">
        <v>1288.93</v>
      </c>
      <c r="G31" s="19">
        <f>HYPERLINK("https://www.tradingview.com/chart/?symbol=NSE:LAURUSLABS","Chart 📈")</f>
        <v/>
      </c>
    </row>
    <row r="32" ht="16" customHeight="1">
      <c r="A32" s="20" t="inlineStr">
        <is>
          <t>NIFTY PHARMA</t>
        </is>
      </c>
      <c r="B32" s="17" t="inlineStr">
        <is>
          <t>TORNTPHARM</t>
        </is>
      </c>
      <c r="C32" s="18" t="n">
        <v>4971</v>
      </c>
      <c r="D32" s="18" t="n">
        <v>4921.63</v>
      </c>
      <c r="E32" s="18" t="n">
        <v>4804.56</v>
      </c>
      <c r="F32" s="18" t="n">
        <v>4344.32</v>
      </c>
      <c r="G32" s="19">
        <f>HYPERLINK("https://www.tradingview.com/chart/?symbol=NSE:TORNTPHARM","Chart 📈")</f>
        <v/>
      </c>
    </row>
    <row r="33" ht="16" customHeight="1">
      <c r="A33" s="12" t="inlineStr">
        <is>
          <t>NIFTY MIDSMALL IT &amp; TELECOM</t>
        </is>
      </c>
      <c r="B33" s="13" t="inlineStr">
        <is>
          <t>AFFLE</t>
        </is>
      </c>
      <c r="C33" s="14" t="n">
        <v>1711.3</v>
      </c>
      <c r="D33" s="14" t="n">
        <v>1629.36</v>
      </c>
      <c r="E33" s="14" t="n">
        <v>1563.74</v>
      </c>
      <c r="F33" s="14" t="n">
        <v>1586.23</v>
      </c>
      <c r="G33" s="15">
        <f>HYPERLINK("https://www.tradingview.com/chart/?symbol=NSE:AFFLE","Chart 📈")</f>
        <v/>
      </c>
    </row>
    <row r="34" ht="16" customHeight="1">
      <c r="A34" s="16" t="inlineStr">
        <is>
          <t>NIFTY MIDSMALL IT &amp; TELECOM</t>
        </is>
      </c>
      <c r="B34" s="13" t="inlineStr">
        <is>
          <t>COFORGE</t>
        </is>
      </c>
      <c r="C34" s="14" t="n">
        <v>1773</v>
      </c>
      <c r="D34" s="14" t="n">
        <v>1723.62</v>
      </c>
      <c r="E34" s="14" t="n">
        <v>1599.81</v>
      </c>
      <c r="F34" s="14" t="n">
        <v>1511.86</v>
      </c>
      <c r="G34" s="15">
        <f>HYPERLINK("https://www.tradingview.com/chart/?symbol=NSE:COFORGE","Chart 📈")</f>
        <v/>
      </c>
    </row>
    <row r="35" ht="16" customHeight="1">
      <c r="A35" s="16" t="inlineStr">
        <is>
          <t>NIFTY MIDSMALL IT &amp; TELECOM</t>
        </is>
      </c>
      <c r="B35" s="13" t="inlineStr">
        <is>
          <t>HFCL</t>
        </is>
      </c>
      <c r="C35" s="14" t="n">
        <v>230.03</v>
      </c>
      <c r="D35" s="14" t="n">
        <v>213.35</v>
      </c>
      <c r="E35" s="14" t="n">
        <v>200.09</v>
      </c>
      <c r="F35" s="14" t="n">
        <v>138.9</v>
      </c>
      <c r="G35" s="15">
        <f>HYPERLINK("https://www.tradingview.com/chart/?symbol=NSE:HFCL","Chart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IDEA</t>
        </is>
      </c>
      <c r="C36" s="14" t="n">
        <v>14.12</v>
      </c>
      <c r="D36" s="14" t="n">
        <v>13.41</v>
      </c>
      <c r="E36" s="14" t="n">
        <v>13.38</v>
      </c>
      <c r="F36" s="14" t="n">
        <v>11.64</v>
      </c>
      <c r="G36" s="15">
        <f>HYPERLINK("https://www.tradingview.com/chart/?symbol=NSE:IDEA","Chart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OFSS</t>
        </is>
      </c>
      <c r="C37" s="14" t="n">
        <v>11623</v>
      </c>
      <c r="D37" s="14" t="n">
        <v>11534.83</v>
      </c>
      <c r="E37" s="14" t="n">
        <v>10989.15</v>
      </c>
      <c r="F37" s="14" t="n">
        <v>9275.4</v>
      </c>
      <c r="G37" s="15">
        <f>HYPERLINK("https://www.tradingview.com/chart/?symbol=NSE:OFSS","Chart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PERSISTENT</t>
        </is>
      </c>
      <c r="C38" s="14" t="n">
        <v>5442.5</v>
      </c>
      <c r="D38" s="14" t="n">
        <v>5398.77</v>
      </c>
      <c r="E38" s="14" t="n">
        <v>5212.69</v>
      </c>
      <c r="F38" s="14" t="n">
        <v>5249.98</v>
      </c>
      <c r="G38" s="15">
        <f>HYPERLINK("https://www.tradingview.com/chart/?symbol=NSE:PERSISTENT","Chart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TATATECH</t>
        </is>
      </c>
      <c r="C39" s="14" t="n">
        <v>835.8</v>
      </c>
      <c r="D39" s="14" t="n">
        <v>806.76</v>
      </c>
      <c r="E39" s="14" t="n">
        <v>759.41</v>
      </c>
      <c r="F39" s="14" t="n">
        <v>681.9299999999999</v>
      </c>
      <c r="G39" s="15">
        <f>HYPERLINK("https://www.tradingview.com/chart/?symbol=NSE:TATATECH","Chart 📈")</f>
        <v/>
      </c>
    </row>
    <row r="40" ht="16" customHeight="1">
      <c r="A40" s="8" t="inlineStr">
        <is>
          <t>NIFTY CONSUMER DURABLES</t>
        </is>
      </c>
      <c r="B40" s="17" t="inlineStr">
        <is>
          <t>DIXON</t>
        </is>
      </c>
      <c r="C40" s="18" t="n">
        <v>14150</v>
      </c>
      <c r="D40" s="18" t="n">
        <v>13958.83</v>
      </c>
      <c r="E40" s="18" t="n">
        <v>13338.72</v>
      </c>
      <c r="F40" s="18" t="n">
        <v>12934.4</v>
      </c>
      <c r="G40" s="19">
        <f>HYPERLINK("https://www.tradingview.com/chart/?symbol=NSE:DIXON","Chart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HAVELLS</t>
        </is>
      </c>
      <c r="C41" s="18" t="n">
        <v>1299.7</v>
      </c>
      <c r="D41" s="18" t="n">
        <v>1264</v>
      </c>
      <c r="E41" s="18" t="n">
        <v>1235.98</v>
      </c>
      <c r="F41" s="18" t="n">
        <v>1298.43</v>
      </c>
      <c r="G41" s="19">
        <f>HYPERLINK("https://www.tradingview.com/chart/?symbol=NSE:HAVELLS","Chart 📈")</f>
        <v/>
      </c>
    </row>
    <row r="42" ht="16" customHeight="1">
      <c r="A42" s="20" t="inlineStr">
        <is>
          <t>NIFTY CONSUMER DURABLES</t>
        </is>
      </c>
      <c r="B42" s="17" t="inlineStr">
        <is>
          <t>KAJARIACER</t>
        </is>
      </c>
      <c r="C42" s="18" t="n">
        <v>1225.8</v>
      </c>
      <c r="D42" s="18" t="n">
        <v>1219.84</v>
      </c>
      <c r="E42" s="18" t="n">
        <v>1192.54</v>
      </c>
      <c r="F42" s="18" t="n">
        <v>1132.89</v>
      </c>
      <c r="G42" s="19">
        <f>HYPERLINK("https://www.tradingview.com/chart/?symbol=NSE:KAJARIACER","Chart 📈")</f>
        <v/>
      </c>
    </row>
    <row r="43" ht="16" customHeight="1">
      <c r="A43" s="20" t="inlineStr">
        <is>
          <t>NIFTY CONSUMER DURABLES</t>
        </is>
      </c>
      <c r="B43" s="17" t="inlineStr">
        <is>
          <t>KALYANKJIL</t>
        </is>
      </c>
      <c r="C43" s="18" t="n">
        <v>601.6</v>
      </c>
      <c r="D43" s="18" t="n">
        <v>585.0599999999999</v>
      </c>
      <c r="E43" s="18" t="n">
        <v>522</v>
      </c>
      <c r="F43" s="18" t="n">
        <v>461.76</v>
      </c>
      <c r="G43" s="19">
        <f>HYPERLINK("https://www.tradingview.com/chart/?symbol=NSE:KALYANKJIL","Chart 📈")</f>
        <v/>
      </c>
    </row>
    <row r="44" ht="16" customHeight="1">
      <c r="A44" s="20" t="inlineStr">
        <is>
          <t>NIFTY CONSUMER DURABLES</t>
        </is>
      </c>
      <c r="B44" s="17" t="inlineStr">
        <is>
          <t>TITAN</t>
        </is>
      </c>
      <c r="C44" s="18" t="n">
        <v>5048.6</v>
      </c>
      <c r="D44" s="18" t="n">
        <v>4930.56</v>
      </c>
      <c r="E44" s="18" t="n">
        <v>4700.85</v>
      </c>
      <c r="F44" s="18" t="n">
        <v>4269.4</v>
      </c>
      <c r="G44" s="19">
        <f>HYPERLINK("https://www.tradingview.com/chart/?symbol=NSE:TITAN","Chart 📈")</f>
        <v/>
      </c>
    </row>
    <row r="45" ht="16" customHeight="1">
      <c r="A45" s="20" t="inlineStr">
        <is>
          <t>NIFTY CONSUMER DURABLES</t>
        </is>
      </c>
      <c r="B45" s="17" t="inlineStr">
        <is>
          <t>VGUARD</t>
        </is>
      </c>
      <c r="C45" s="18" t="n">
        <v>333.4</v>
      </c>
      <c r="D45" s="18" t="n">
        <v>319.03</v>
      </c>
      <c r="E45" s="18" t="n">
        <v>312.34</v>
      </c>
      <c r="F45" s="18" t="n">
        <v>323.14</v>
      </c>
      <c r="G45" s="19">
        <f>HYPERLINK("https://www.tradingview.com/chart/?symbol=NSE:VGUARD","Chart 📈")</f>
        <v/>
      </c>
    </row>
    <row r="46" ht="16" customHeight="1">
      <c r="A46" s="12" t="inlineStr">
        <is>
          <t>NIFTY OIL &amp; GAS</t>
        </is>
      </c>
      <c r="B46" s="13" t="inlineStr">
        <is>
          <t>AEGISLOG</t>
        </is>
      </c>
      <c r="C46" s="14" t="n">
        <v>1367.7</v>
      </c>
      <c r="D46" s="14" t="n">
        <v>1305.76</v>
      </c>
      <c r="E46" s="14" t="n">
        <v>1202.97</v>
      </c>
      <c r="F46" s="14" t="n">
        <v>915.02</v>
      </c>
      <c r="G46" s="15">
        <f>HYPERLINK("https://www.tradingview.com/chart/?symbol=NSE:AEGISLOG","Chart 📈")</f>
        <v/>
      </c>
    </row>
    <row r="47" ht="16" customHeight="1">
      <c r="A47" s="16" t="inlineStr">
        <is>
          <t>NIFTY OIL &amp; GAS</t>
        </is>
      </c>
      <c r="B47" s="13" t="inlineStr">
        <is>
          <t>CASTROLIND</t>
        </is>
      </c>
      <c r="C47" s="14" t="n">
        <v>186.85</v>
      </c>
      <c r="D47" s="14" t="n">
        <v>184.09</v>
      </c>
      <c r="E47" s="14" t="n">
        <v>181.22</v>
      </c>
      <c r="F47" s="14" t="n">
        <v>180.17</v>
      </c>
      <c r="G47" s="15">
        <f>HYPERLINK("https://www.tradingview.com/chart/?symbol=NSE:CASTROLIND","Chart 📈")</f>
        <v/>
      </c>
    </row>
    <row r="48" ht="16" customHeight="1">
      <c r="A48" s="16" t="inlineStr">
        <is>
          <t>NIFTY OIL &amp; GAS</t>
        </is>
      </c>
      <c r="B48" s="13" t="inlineStr">
        <is>
          <t>OIL</t>
        </is>
      </c>
      <c r="C48" s="14" t="n">
        <v>480.5</v>
      </c>
      <c r="D48" s="14" t="n">
        <v>458.61</v>
      </c>
      <c r="E48" s="14" t="n">
        <v>452.06</v>
      </c>
      <c r="F48" s="14" t="n">
        <v>445.61</v>
      </c>
      <c r="G48" s="15">
        <f>HYPERLINK("https://www.tradingview.com/chart/?symbol=NSE:OIL","Chart 📈")</f>
        <v/>
      </c>
    </row>
    <row r="49" ht="16" customHeight="1">
      <c r="A49" s="16" t="inlineStr">
        <is>
          <t>NIFTY OIL &amp; GAS</t>
        </is>
      </c>
      <c r="B49" s="13" t="inlineStr">
        <is>
          <t>PETRONET</t>
        </is>
      </c>
      <c r="C49" s="14" t="n">
        <v>286.25</v>
      </c>
      <c r="D49" s="14" t="n">
        <v>280.07</v>
      </c>
      <c r="E49" s="14" t="n">
        <v>278.21</v>
      </c>
      <c r="F49" s="14" t="n">
        <v>275.17</v>
      </c>
      <c r="G49" s="15">
        <f>HYPERLINK("https://www.tradingview.com/chart/?symbol=NSE:PETRONET","Chart 📈")</f>
        <v/>
      </c>
    </row>
    <row r="50" ht="16" customHeight="1">
      <c r="A50" s="8" t="inlineStr">
        <is>
          <t>NIFTY MEDIA</t>
        </is>
      </c>
      <c r="B50" s="17" t="inlineStr">
        <is>
          <t>NAZARA</t>
        </is>
      </c>
      <c r="C50" s="18" t="n">
        <v>355.55</v>
      </c>
      <c r="D50" s="18" t="n">
        <v>337.95</v>
      </c>
      <c r="E50" s="18" t="n">
        <v>317.18</v>
      </c>
      <c r="F50" s="18" t="n">
        <v>291.82</v>
      </c>
      <c r="G50" s="19">
        <f>HYPERLINK("https://www.tradingview.com/chart/?symbol=NSE:NAZARA","Chart 📈")</f>
        <v/>
      </c>
    </row>
    <row r="51" ht="16" customHeight="1">
      <c r="A51" s="20" t="inlineStr">
        <is>
          <t>NIFTY MEDIA</t>
        </is>
      </c>
      <c r="B51" s="17" t="inlineStr">
        <is>
          <t>PVRINOX</t>
        </is>
      </c>
      <c r="C51" s="18" t="n">
        <v>1198.1</v>
      </c>
      <c r="D51" s="18" t="n">
        <v>1134.85</v>
      </c>
      <c r="E51" s="18" t="n">
        <v>1073.86</v>
      </c>
      <c r="F51" s="18" t="n">
        <v>1037.23</v>
      </c>
      <c r="G51" s="19">
        <f>HYPERLINK("https://www.tradingview.com/chart/?symbol=NSE:PVRINOX","Chart 📈")</f>
        <v/>
      </c>
    </row>
    <row r="52" ht="16" customHeight="1">
      <c r="A52" s="20" t="inlineStr">
        <is>
          <t>NIFTY MEDIA</t>
        </is>
      </c>
      <c r="B52" s="17" t="inlineStr">
        <is>
          <t>ZEEL</t>
        </is>
      </c>
      <c r="C52" s="18" t="n">
        <v>105.32</v>
      </c>
      <c r="D52" s="18" t="n">
        <v>100.96</v>
      </c>
      <c r="E52" s="18" t="n">
        <v>101.1</v>
      </c>
      <c r="F52" s="18" t="n">
        <v>98.01000000000001</v>
      </c>
      <c r="G52" s="19">
        <f>HYPERLINK("https://www.tradingview.com/chart/?symbol=NSE:ZEEL","Chart 📈")</f>
        <v/>
      </c>
    </row>
    <row r="53" ht="16" customHeight="1">
      <c r="A53" s="12" t="inlineStr">
        <is>
          <t>NIFTY PSU BANK</t>
        </is>
      </c>
      <c r="B53" s="13" t="inlineStr">
        <is>
          <t>INDIANB</t>
        </is>
      </c>
      <c r="C53" s="14" t="n">
        <v>875</v>
      </c>
      <c r="D53" s="14" t="n">
        <v>864.9299999999999</v>
      </c>
      <c r="E53" s="14" t="n">
        <v>849.87</v>
      </c>
      <c r="F53" s="14" t="n">
        <v>826.33</v>
      </c>
      <c r="G53" s="15">
        <f>HYPERLINK("https://www.tradingview.com/chart/?symbol=NSE:INDIANB","Chart 📈")</f>
        <v/>
      </c>
    </row>
    <row r="54" ht="16" customHeight="1">
      <c r="A54" s="16" t="inlineStr">
        <is>
          <t>NIFTY PSU BANK</t>
        </is>
      </c>
      <c r="B54" s="13" t="inlineStr">
        <is>
          <t>PNB</t>
        </is>
      </c>
      <c r="C54" s="14" t="n">
        <v>116.5</v>
      </c>
      <c r="D54" s="14" t="n">
        <v>113.96</v>
      </c>
      <c r="E54" s="14" t="n">
        <v>110.69</v>
      </c>
      <c r="F54" s="14" t="n">
        <v>109.89</v>
      </c>
      <c r="G54" s="15">
        <f>HYPERLINK("https://www.tradingview.com/chart/?symbol=NSE:PNB","Chart 📈")</f>
        <v/>
      </c>
    </row>
    <row r="55" ht="16" customHeight="1">
      <c r="A55" s="16" t="inlineStr">
        <is>
          <t>NIFTY PSU BANK</t>
        </is>
      </c>
      <c r="B55" s="13" t="inlineStr">
        <is>
          <t>UNIONBANK</t>
        </is>
      </c>
      <c r="C55" s="14" t="n">
        <v>185.5</v>
      </c>
      <c r="D55" s="14" t="n">
        <v>179.41</v>
      </c>
      <c r="E55" s="14" t="n">
        <v>173.47</v>
      </c>
      <c r="F55" s="14" t="n">
        <v>163.83</v>
      </c>
      <c r="G55" s="15">
        <f>HYPERLINK("https://www.tradingview.com/chart/?symbol=NSE:UNIONBANK","Chart 📈")</f>
        <v/>
      </c>
    </row>
    <row r="56" ht="16" customHeight="1">
      <c r="A56" s="8" t="inlineStr">
        <is>
          <t>NIFTY FMCG</t>
        </is>
      </c>
      <c r="B56" s="17" t="inlineStr">
        <is>
          <t>BALRAMCHIN</t>
        </is>
      </c>
      <c r="C56" s="18" t="n">
        <v>653.25</v>
      </c>
      <c r="D56" s="18" t="n">
        <v>623.54</v>
      </c>
      <c r="E56" s="18" t="n">
        <v>593.65</v>
      </c>
      <c r="F56" s="18" t="n">
        <v>533.88</v>
      </c>
      <c r="G56" s="19">
        <f>HYPERLINK("https://www.tradingview.com/chart/?symbol=NSE:BALRAMCHIN","Chart 📈")</f>
        <v/>
      </c>
    </row>
    <row r="57" ht="16" customHeight="1">
      <c r="A57" s="20" t="inlineStr">
        <is>
          <t>NIFTY FMCG</t>
        </is>
      </c>
      <c r="B57" s="17" t="inlineStr">
        <is>
          <t>BRITANNIA</t>
        </is>
      </c>
      <c r="C57" s="18" t="n">
        <v>5495</v>
      </c>
      <c r="D57" s="18" t="n">
        <v>5473.33</v>
      </c>
      <c r="E57" s="18" t="n">
        <v>5384.87</v>
      </c>
      <c r="F57" s="18" t="n">
        <v>5483.74</v>
      </c>
      <c r="G57" s="19">
        <f>HYPERLINK("https://www.tradingview.com/chart/?symbol=NSE:BRITANNIA","Chart 📈")</f>
        <v/>
      </c>
    </row>
    <row r="58" ht="16" customHeight="1">
      <c r="A58" s="20" t="inlineStr">
        <is>
          <t>NIFTY FMCG</t>
        </is>
      </c>
      <c r="B58" s="17" t="inlineStr">
        <is>
          <t>RADICO</t>
        </is>
      </c>
      <c r="C58" s="18" t="n">
        <v>4732.9</v>
      </c>
      <c r="D58" s="18" t="n">
        <v>4449.45</v>
      </c>
      <c r="E58" s="18" t="n">
        <v>4134.54</v>
      </c>
      <c r="F58" s="18" t="n">
        <v>3479.52</v>
      </c>
      <c r="G58" s="19">
        <f>HYPERLINK("https://www.tradingview.com/chart/?symbol=NSE:RADICO","Chart 📈")</f>
        <v/>
      </c>
    </row>
    <row r="59" ht="16" customHeight="1">
      <c r="A59" s="20" t="inlineStr">
        <is>
          <t>NIFTY FMCG</t>
        </is>
      </c>
      <c r="B59" s="17" t="inlineStr">
        <is>
          <t>UNITDSPR</t>
        </is>
      </c>
      <c r="C59" s="18" t="n">
        <v>1520.9</v>
      </c>
      <c r="D59" s="18" t="n">
        <v>1498.03</v>
      </c>
      <c r="E59" s="18" t="n">
        <v>1431.84</v>
      </c>
      <c r="F59" s="18" t="n">
        <v>1358.13</v>
      </c>
      <c r="G59" s="19">
        <f>HYPERLINK("https://www.tradingview.com/chart/?symbol=NSE:UNITDSPR","Chart 📈")</f>
        <v/>
      </c>
    </row>
    <row r="60" ht="16" customHeight="1">
      <c r="A60" s="12" t="inlineStr">
        <is>
          <t>NIFTY BANK</t>
        </is>
      </c>
      <c r="B60" s="13" t="inlineStr">
        <is>
          <t>AUBANK</t>
        </is>
      </c>
      <c r="C60" s="14" t="n">
        <v>1075.7</v>
      </c>
      <c r="D60" s="14" t="n">
        <v>1061.79</v>
      </c>
      <c r="E60" s="14" t="n">
        <v>1040.82</v>
      </c>
      <c r="F60" s="14" t="n">
        <v>971.55</v>
      </c>
      <c r="G60" s="15">
        <f>HYPERLINK("https://www.tradingview.com/chart/?symbol=NSE:AUBANK","Chart 📈")</f>
        <v/>
      </c>
    </row>
    <row r="61" ht="16" customHeight="1">
      <c r="A61" s="16" t="inlineStr">
        <is>
          <t>NIFTY BANK</t>
        </is>
      </c>
      <c r="B61" s="13" t="inlineStr">
        <is>
          <t>FEDERALBNK</t>
        </is>
      </c>
      <c r="C61" s="14" t="n">
        <v>357.8</v>
      </c>
      <c r="D61" s="14" t="n">
        <v>351.65</v>
      </c>
      <c r="E61" s="14" t="n">
        <v>337.33</v>
      </c>
      <c r="F61" s="14" t="n">
        <v>291.35</v>
      </c>
      <c r="G61" s="15">
        <f>HYPERLINK("https://www.tradingview.com/chart/?symbol=NSE:FEDERALBNK","Chart 📈")</f>
        <v/>
      </c>
    </row>
    <row r="62" ht="16" customHeight="1">
      <c r="A62" s="16" t="inlineStr">
        <is>
          <t>NIFTY BANK</t>
        </is>
      </c>
      <c r="B62" s="13" t="inlineStr">
        <is>
          <t>IDFCFIRSTB</t>
        </is>
      </c>
      <c r="C62" s="14" t="n">
        <v>84.76000000000001</v>
      </c>
      <c r="D62" s="14" t="n">
        <v>84.16</v>
      </c>
      <c r="E62" s="14" t="n">
        <v>80.92</v>
      </c>
      <c r="F62" s="14" t="n">
        <v>75.95999999999999</v>
      </c>
      <c r="G62" s="15">
        <f>HYPERLINK("https://www.tradingview.com/chart/?symbol=NSE:IDFCFIRSTB","Chart 📈")</f>
        <v/>
      </c>
    </row>
    <row r="63" ht="16" customHeight="1">
      <c r="A63" s="16" t="inlineStr">
        <is>
          <t>NIFTY BANK</t>
        </is>
      </c>
      <c r="B63" s="13" t="inlineStr">
        <is>
          <t>INDUSINDBK</t>
        </is>
      </c>
      <c r="C63" s="14" t="n">
        <v>1015</v>
      </c>
      <c r="D63" s="14" t="n">
        <v>1013.78</v>
      </c>
      <c r="E63" s="14" t="n">
        <v>986.89</v>
      </c>
      <c r="F63" s="14" t="n">
        <v>908.0599999999999</v>
      </c>
      <c r="G63" s="15">
        <f>HYPERLINK("https://www.tradingview.com/chart/?symbol=NSE:INDUSINDBK","Chart 📈")</f>
        <v/>
      </c>
    </row>
    <row r="64" ht="16" customHeight="1">
      <c r="A64" s="8" t="inlineStr">
        <is>
          <t>NIFTY FINANCIAL SERVICES</t>
        </is>
      </c>
      <c r="B64" s="17" t="inlineStr">
        <is>
          <t>BAJAJFINSV</t>
        </is>
      </c>
      <c r="C64" s="18" t="n">
        <v>2011.2</v>
      </c>
      <c r="D64" s="18" t="n">
        <v>1989.34</v>
      </c>
      <c r="E64" s="18" t="n">
        <v>1917.27</v>
      </c>
      <c r="F64" s="18" t="n">
        <v>1897.08</v>
      </c>
      <c r="G64" s="19">
        <f>HYPERLINK("https://www.tradingview.com/chart/?symbol=NSE:BAJAJFINSV","Chart 📈")</f>
        <v/>
      </c>
    </row>
    <row r="65" ht="16" customHeight="1">
      <c r="A65" s="20" t="inlineStr">
        <is>
          <t>NIFTY FINANCIAL SERVICES</t>
        </is>
      </c>
      <c r="B65" s="17" t="inlineStr">
        <is>
          <t>BAJFINANCE</t>
        </is>
      </c>
      <c r="C65" s="18" t="n">
        <v>1094.3</v>
      </c>
      <c r="D65" s="18" t="n">
        <v>1085.23</v>
      </c>
      <c r="E65" s="18" t="n">
        <v>1040.3</v>
      </c>
      <c r="F65" s="18" t="n">
        <v>974.45</v>
      </c>
      <c r="G65" s="19">
        <f>HYPERLINK("https://www.tradingview.com/chart/?symbol=NSE:BAJFINANCE","Chart 📈")</f>
        <v/>
      </c>
    </row>
    <row r="66" ht="16" customHeight="1">
      <c r="A66" s="20" t="inlineStr">
        <is>
          <t>NIFTY FINANCIAL SERVICES</t>
        </is>
      </c>
      <c r="B66" s="17" t="inlineStr">
        <is>
          <t>CHOLAFIN</t>
        </is>
      </c>
      <c r="C66" s="18" t="n">
        <v>1868</v>
      </c>
      <c r="D66" s="18" t="n">
        <v>1859.7</v>
      </c>
      <c r="E66" s="18" t="n">
        <v>1786.53</v>
      </c>
      <c r="F66" s="18" t="n">
        <v>1669.32</v>
      </c>
      <c r="G66" s="19">
        <f>HYPERLINK("https://www.tradingview.com/chart/?symbol=NSE:CHOLAFIN","Chart 📈")</f>
        <v/>
      </c>
    </row>
    <row r="67" ht="16" customHeight="1">
      <c r="A67" s="20" t="inlineStr">
        <is>
          <t>NIFTY FINANCIAL SERVICES</t>
        </is>
      </c>
      <c r="B67" s="17" t="inlineStr">
        <is>
          <t>MCX</t>
        </is>
      </c>
      <c r="C67" s="18" t="n">
        <v>3040</v>
      </c>
      <c r="D67" s="18" t="n">
        <v>2827.86</v>
      </c>
      <c r="E67" s="18" t="n">
        <v>2819.95</v>
      </c>
      <c r="F67" s="18" t="n">
        <v>2569.09</v>
      </c>
      <c r="G67" s="19">
        <f>HYPERLINK("https://www.tradingview.com/chart/?symbol=NSE:MCX","Chart 📈")</f>
        <v/>
      </c>
    </row>
    <row r="68" ht="16" customHeight="1">
      <c r="A68" s="20" t="inlineStr">
        <is>
          <t>NIFTY FINANCIAL SERVICES</t>
        </is>
      </c>
      <c r="B68" s="17" t="inlineStr">
        <is>
          <t>SHRIRAMFIN</t>
        </is>
      </c>
      <c r="C68" s="18" t="n">
        <v>1108.4</v>
      </c>
      <c r="D68" s="18" t="n">
        <v>1093.82</v>
      </c>
      <c r="E68" s="18" t="n">
        <v>1052.42</v>
      </c>
      <c r="F68" s="18" t="n">
        <v>948.76</v>
      </c>
      <c r="G68" s="19">
        <f>HYPERLINK("https://www.tradingview.com/chart/?symbol=NSE:SHRIRAMFIN","Chart 📈")</f>
        <v/>
      </c>
    </row>
    <row r="69" ht="16" customHeight="1">
      <c r="A69" s="12" t="inlineStr">
        <is>
          <t>NIFTY ENERGY</t>
        </is>
      </c>
      <c r="B69" s="13" t="inlineStr">
        <is>
          <t>ABB</t>
        </is>
      </c>
      <c r="C69" s="14" t="n">
        <v>7546</v>
      </c>
      <c r="D69" s="14" t="n">
        <v>7492.25</v>
      </c>
      <c r="E69" s="14" t="n">
        <v>7241.59</v>
      </c>
      <c r="F69" s="14" t="n">
        <v>6401.02</v>
      </c>
      <c r="G69" s="15">
        <f>HYPERLINK("https://www.tradingview.com/chart/?symbol=NSE:ABB","Chart 📈")</f>
        <v/>
      </c>
    </row>
    <row r="70" ht="16" customHeight="1">
      <c r="A70" s="16" t="inlineStr">
        <is>
          <t>NIFTY ENERGY</t>
        </is>
      </c>
      <c r="B70" s="13" t="inlineStr">
        <is>
          <t>BHEL</t>
        </is>
      </c>
      <c r="C70" s="14" t="n">
        <v>425</v>
      </c>
      <c r="D70" s="14" t="n">
        <v>414.51</v>
      </c>
      <c r="E70" s="14" t="n">
        <v>403.39</v>
      </c>
      <c r="F70" s="14" t="n">
        <v>338.29</v>
      </c>
      <c r="G70" s="15">
        <f>HYPERLINK("https://www.tradingview.com/chart/?symbol=NSE:BHEL","Chart 📈")</f>
        <v/>
      </c>
    </row>
    <row r="71" ht="16" customHeight="1">
      <c r="A71" s="16" t="inlineStr">
        <is>
          <t>NIFTY ENERGY</t>
        </is>
      </c>
      <c r="B71" s="13" t="inlineStr">
        <is>
          <t>CESC</t>
        </is>
      </c>
      <c r="C71" s="14" t="n">
        <v>167.98</v>
      </c>
      <c r="D71" s="14" t="n">
        <v>165.36</v>
      </c>
      <c r="E71" s="14" t="n">
        <v>166.85</v>
      </c>
      <c r="F71" s="14" t="n">
        <v>166.38</v>
      </c>
      <c r="G71" s="15">
        <f>HYPERLINK("https://www.tradingview.com/chart/?symbol=NSE:CESC","Chart 📈")</f>
        <v/>
      </c>
    </row>
    <row r="72" ht="16" customHeight="1">
      <c r="A72" s="16" t="inlineStr">
        <is>
          <t>NIFTY ENERGY</t>
        </is>
      </c>
      <c r="B72" s="13" t="inlineStr">
        <is>
          <t>CGPOWER</t>
        </is>
      </c>
      <c r="C72" s="14" t="n">
        <v>894.2</v>
      </c>
      <c r="D72" s="14" t="n">
        <v>885.25</v>
      </c>
      <c r="E72" s="14" t="n">
        <v>886.29</v>
      </c>
      <c r="F72" s="14" t="n">
        <v>804.11</v>
      </c>
      <c r="G72" s="15">
        <f>HYPERLINK("https://www.tradingview.com/chart/?symbol=NSE:CGPOWER","Chart 📈")</f>
        <v/>
      </c>
    </row>
    <row r="73" ht="16" customHeight="1">
      <c r="A73" s="16" t="inlineStr">
        <is>
          <t>NIFTY ENERGY</t>
        </is>
      </c>
      <c r="B73" s="13" t="inlineStr">
        <is>
          <t>POWERINDIA</t>
        </is>
      </c>
      <c r="C73" s="14" t="n">
        <v>35275</v>
      </c>
      <c r="D73" s="14" t="n">
        <v>33892.9</v>
      </c>
      <c r="E73" s="14" t="n">
        <v>33332.14</v>
      </c>
      <c r="F73" s="14" t="n">
        <v>28496.69</v>
      </c>
      <c r="G73" s="15">
        <f>HYPERLINK("https://www.tradingview.com/chart/?symbol=NSE:POWERINDIA","Chart 📈")</f>
        <v/>
      </c>
    </row>
    <row r="74" ht="16" customHeight="1">
      <c r="A74" s="16" t="inlineStr">
        <is>
          <t>NIFTY ENERGY</t>
        </is>
      </c>
      <c r="B74" s="13" t="inlineStr">
        <is>
          <t>SIEMENS</t>
        </is>
      </c>
      <c r="C74" s="14" t="n">
        <v>3957</v>
      </c>
      <c r="D74" s="14" t="n">
        <v>3860.05</v>
      </c>
      <c r="E74" s="14" t="n">
        <v>3738.07</v>
      </c>
      <c r="F74" s="14" t="n">
        <v>3468.51</v>
      </c>
      <c r="G74" s="15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2026-08-18T11:33:21Z</dcterms:created>
  <dcterms:modified xmlns:dcterms="http://purl.org/dc/terms/" xmlns:xsi="http://www.w3.org/2001/XMLSchema-instance" xsi:type="dcterms:W3CDTF">2026-08-18T11:33:21Z</dcterms:modified>
</cp:coreProperties>
</file>