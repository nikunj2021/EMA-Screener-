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06-Oct-2026  17:14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9</v>
      </c>
      <c r="D4" s="5" t="n">
        <v>9</v>
      </c>
      <c r="E4" s="5" t="n">
        <v>11</v>
      </c>
      <c r="F4" s="6" t="n">
        <v>0.45</v>
      </c>
      <c r="G4" s="6" t="n">
        <v>0.45</v>
      </c>
      <c r="H4" s="6" t="n">
        <v>0.55</v>
      </c>
      <c r="I4" s="7" t="n">
        <v>0.4833</v>
      </c>
    </row>
    <row r="5" ht="17" customHeight="1">
      <c r="A5" s="8" t="inlineStr">
        <is>
          <t>NIFTY MEDIA</t>
        </is>
      </c>
      <c r="B5" s="9" t="n">
        <v>10</v>
      </c>
      <c r="C5" s="9" t="n">
        <v>4</v>
      </c>
      <c r="D5" s="9" t="n">
        <v>4</v>
      </c>
      <c r="E5" s="9" t="n">
        <v>5</v>
      </c>
      <c r="F5" s="10" t="n">
        <v>0.4</v>
      </c>
      <c r="G5" s="10" t="n">
        <v>0.4</v>
      </c>
      <c r="H5" s="10" t="n">
        <v>0.5</v>
      </c>
      <c r="I5" s="11" t="n">
        <v>0.4333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8</v>
      </c>
      <c r="D6" s="5" t="n">
        <v>5</v>
      </c>
      <c r="E6" s="5" t="n">
        <v>7</v>
      </c>
      <c r="F6" s="6" t="n">
        <v>0.4</v>
      </c>
      <c r="G6" s="6" t="n">
        <v>0.25</v>
      </c>
      <c r="H6" s="6" t="n">
        <v>0.35</v>
      </c>
      <c r="I6" s="7" t="n">
        <v>0.3333</v>
      </c>
    </row>
    <row r="7" ht="17" customHeight="1">
      <c r="A7" s="8" t="inlineStr">
        <is>
          <t>NIFTY METAL</t>
        </is>
      </c>
      <c r="B7" s="9" t="n">
        <v>15</v>
      </c>
      <c r="C7" s="9" t="n">
        <v>3</v>
      </c>
      <c r="D7" s="9" t="n">
        <v>4</v>
      </c>
      <c r="E7" s="9" t="n">
        <v>7</v>
      </c>
      <c r="F7" s="10" t="n">
        <v>0.2</v>
      </c>
      <c r="G7" s="10" t="n">
        <v>0.267</v>
      </c>
      <c r="H7" s="10" t="n">
        <v>0.467</v>
      </c>
      <c r="I7" s="11" t="n">
        <v>0.3113</v>
      </c>
    </row>
    <row r="8" ht="17" customHeight="1">
      <c r="A8" s="4" t="inlineStr">
        <is>
          <t>NIFTY REALTY</t>
        </is>
      </c>
      <c r="B8" s="5" t="n">
        <v>10</v>
      </c>
      <c r="C8" s="5" t="n">
        <v>2</v>
      </c>
      <c r="D8" s="5" t="n">
        <v>2</v>
      </c>
      <c r="E8" s="5" t="n">
        <v>5</v>
      </c>
      <c r="F8" s="6" t="n">
        <v>0.2</v>
      </c>
      <c r="G8" s="6" t="n">
        <v>0.2</v>
      </c>
      <c r="H8" s="6" t="n">
        <v>0.5</v>
      </c>
      <c r="I8" s="7" t="n">
        <v>0.3</v>
      </c>
    </row>
    <row r="9" ht="17" customHeight="1">
      <c r="A9" s="8" t="inlineStr">
        <is>
          <t>NIFTY OIL &amp; GAS</t>
        </is>
      </c>
      <c r="B9" s="9" t="n">
        <v>15</v>
      </c>
      <c r="C9" s="9" t="n">
        <v>4</v>
      </c>
      <c r="D9" s="9" t="n">
        <v>3</v>
      </c>
      <c r="E9" s="9" t="n">
        <v>4</v>
      </c>
      <c r="F9" s="10" t="n">
        <v>0.267</v>
      </c>
      <c r="G9" s="10" t="n">
        <v>0.2</v>
      </c>
      <c r="H9" s="10" t="n">
        <v>0.267</v>
      </c>
      <c r="I9" s="11" t="n">
        <v>0.2447</v>
      </c>
    </row>
    <row r="10" ht="17" customHeight="1">
      <c r="A10" s="4" t="inlineStr">
        <is>
          <t>NIFTY FMCG</t>
        </is>
      </c>
      <c r="B10" s="5" t="n">
        <v>15</v>
      </c>
      <c r="C10" s="5" t="n">
        <v>6</v>
      </c>
      <c r="D10" s="5" t="n">
        <v>3</v>
      </c>
      <c r="E10" s="5" t="n">
        <v>2</v>
      </c>
      <c r="F10" s="6" t="n">
        <v>0.4</v>
      </c>
      <c r="G10" s="6" t="n">
        <v>0.2</v>
      </c>
      <c r="H10" s="6" t="n">
        <v>0.133</v>
      </c>
      <c r="I10" s="7" t="n">
        <v>0.2443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6</v>
      </c>
      <c r="D11" s="9" t="n">
        <v>5</v>
      </c>
      <c r="E11" s="9" t="n">
        <v>2</v>
      </c>
      <c r="F11" s="10" t="n">
        <v>0.3</v>
      </c>
      <c r="G11" s="10" t="n">
        <v>0.25</v>
      </c>
      <c r="H11" s="10" t="n">
        <v>0.1</v>
      </c>
      <c r="I11" s="11" t="n">
        <v>0.2167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3</v>
      </c>
      <c r="E12" s="5" t="n">
        <v>4</v>
      </c>
      <c r="F12" s="6" t="n">
        <v>0.133</v>
      </c>
      <c r="G12" s="6" t="n">
        <v>0.2</v>
      </c>
      <c r="H12" s="6" t="n">
        <v>0.267</v>
      </c>
      <c r="I12" s="7" t="n">
        <v>0.2</v>
      </c>
    </row>
    <row r="13" ht="17" customHeight="1">
      <c r="A13" s="8" t="inlineStr">
        <is>
          <t>NIFTY ENERGY</t>
        </is>
      </c>
      <c r="B13" s="9" t="n">
        <v>40</v>
      </c>
      <c r="C13" s="9" t="n">
        <v>7</v>
      </c>
      <c r="D13" s="9" t="n">
        <v>4</v>
      </c>
      <c r="E13" s="9" t="n">
        <v>10</v>
      </c>
      <c r="F13" s="10" t="n">
        <v>0.175</v>
      </c>
      <c r="G13" s="10" t="n">
        <v>0.1</v>
      </c>
      <c r="H13" s="10" t="n">
        <v>0.25</v>
      </c>
      <c r="I13" s="11" t="n">
        <v>0.175</v>
      </c>
    </row>
    <row r="14" ht="17" customHeight="1">
      <c r="A14" s="4" t="inlineStr">
        <is>
          <t>NIFTY AUTO</t>
        </is>
      </c>
      <c r="B14" s="5" t="n">
        <v>15</v>
      </c>
      <c r="C14" s="5" t="n">
        <v>0</v>
      </c>
      <c r="D14" s="5" t="n">
        <v>1</v>
      </c>
      <c r="E14" s="5" t="n">
        <v>5</v>
      </c>
      <c r="F14" s="6" t="n">
        <v>0</v>
      </c>
      <c r="G14" s="6" t="n">
        <v>0.067</v>
      </c>
      <c r="H14" s="6" t="n">
        <v>0.333</v>
      </c>
      <c r="I14" s="7" t="n">
        <v>0.1333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0</v>
      </c>
      <c r="E15" s="9" t="n">
        <v>3</v>
      </c>
      <c r="F15" s="10" t="n">
        <v>0.083</v>
      </c>
      <c r="G15" s="10" t="n">
        <v>0</v>
      </c>
      <c r="H15" s="10" t="n">
        <v>0.25</v>
      </c>
      <c r="I15" s="11" t="n">
        <v>0.111</v>
      </c>
    </row>
    <row r="16" ht="17" customHeight="1">
      <c r="A16" s="4" t="inlineStr">
        <is>
          <t>NIFTY IT</t>
        </is>
      </c>
      <c r="B16" s="5" t="n">
        <v>10</v>
      </c>
      <c r="C16" s="5" t="n">
        <v>0</v>
      </c>
      <c r="D16" s="5" t="n">
        <v>0</v>
      </c>
      <c r="E16" s="5" t="n">
        <v>1</v>
      </c>
      <c r="F16" s="6" t="n">
        <v>0</v>
      </c>
      <c r="G16" s="6" t="n">
        <v>0</v>
      </c>
      <c r="H16" s="6" t="n">
        <v>0.1</v>
      </c>
      <c r="I16" s="7" t="n">
        <v>0.0333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0.083</v>
      </c>
      <c r="I17" s="11" t="n">
        <v>0.0277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3573.4</v>
      </c>
      <c r="D3" s="14" t="n">
        <v>3545.84</v>
      </c>
      <c r="E3" s="14" t="n">
        <v>3499.86</v>
      </c>
      <c r="F3" s="14" t="n">
        <v>3150.23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1692.8</v>
      </c>
      <c r="D4" s="14" t="n">
        <v>1683.85</v>
      </c>
      <c r="E4" s="14" t="n">
        <v>1650.02</v>
      </c>
      <c r="F4" s="14" t="n">
        <v>1470.33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9550</v>
      </c>
      <c r="D5" s="14" t="n">
        <v>9324.469999999999</v>
      </c>
      <c r="E5" s="14" t="n">
        <v>8871.98</v>
      </c>
      <c r="F5" s="14" t="n">
        <v>7470.22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3006.1</v>
      </c>
      <c r="D6" s="14" t="n">
        <v>2914.32</v>
      </c>
      <c r="E6" s="14" t="n">
        <v>2805.26</v>
      </c>
      <c r="F6" s="14" t="n">
        <v>2340.9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LAURUSLABS</t>
        </is>
      </c>
      <c r="C7" s="14" t="n">
        <v>2050</v>
      </c>
      <c r="D7" s="14" t="n">
        <v>1972.48</v>
      </c>
      <c r="E7" s="14" t="n">
        <v>1874.26</v>
      </c>
      <c r="F7" s="14" t="n">
        <v>1480.09</v>
      </c>
      <c r="G7" s="15">
        <f>HYPERLINK("https://www.tradingview.com/chart/?symbol=NSE:LAURUSLABS","Chart 📈")</f>
        <v/>
      </c>
    </row>
    <row r="8" ht="16" customHeight="1">
      <c r="A8" s="16" t="inlineStr">
        <is>
          <t>NIFTY PHARMA</t>
        </is>
      </c>
      <c r="B8" s="13" t="inlineStr">
        <is>
          <t>MANKIND</t>
        </is>
      </c>
      <c r="C8" s="14" t="n">
        <v>2500</v>
      </c>
      <c r="D8" s="14" t="n">
        <v>2444.82</v>
      </c>
      <c r="E8" s="14" t="n">
        <v>2421.51</v>
      </c>
      <c r="F8" s="14" t="n">
        <v>2369.25</v>
      </c>
      <c r="G8" s="15">
        <f>HYPERLINK("https://www.tradingview.com/chart/?symbol=NSE:MANKIND","Chart 📈")</f>
        <v/>
      </c>
    </row>
    <row r="9" ht="16" customHeight="1">
      <c r="A9" s="16" t="inlineStr">
        <is>
          <t>NIFTY PHARMA</t>
        </is>
      </c>
      <c r="B9" s="13" t="inlineStr">
        <is>
          <t>ZYDUSLIFE</t>
        </is>
      </c>
      <c r="C9" s="14" t="n">
        <v>1159.5</v>
      </c>
      <c r="D9" s="14" t="n">
        <v>1157.96</v>
      </c>
      <c r="E9" s="14" t="n">
        <v>1142.04</v>
      </c>
      <c r="F9" s="14" t="n">
        <v>1058.49</v>
      </c>
      <c r="G9" s="15">
        <f>HYPERLINK("https://www.tradingview.com/chart/?symbol=NSE:ZYDUSLIFE","Chart 📈")</f>
        <v/>
      </c>
    </row>
    <row r="10" ht="16" customHeight="1">
      <c r="A10" s="8" t="inlineStr">
        <is>
          <t>NIFTY MEDIA</t>
        </is>
      </c>
      <c r="B10" s="17" t="inlineStr">
        <is>
          <t>NAZARA</t>
        </is>
      </c>
      <c r="C10" s="18" t="n">
        <v>379.55</v>
      </c>
      <c r="D10" s="18" t="n">
        <v>374.87</v>
      </c>
      <c r="E10" s="18" t="n">
        <v>358.21</v>
      </c>
      <c r="F10" s="18" t="n">
        <v>310.6</v>
      </c>
      <c r="G10" s="19">
        <f>HYPERLINK("https://www.tradingview.com/chart/?symbol=NSE:NAZARA","Chart 📈")</f>
        <v/>
      </c>
    </row>
    <row r="11" ht="16" customHeight="1">
      <c r="A11" s="20" t="inlineStr">
        <is>
          <t>NIFTY MEDIA</t>
        </is>
      </c>
      <c r="B11" s="17" t="inlineStr">
        <is>
          <t>PVRINOX</t>
        </is>
      </c>
      <c r="C11" s="18" t="n">
        <v>1249.4</v>
      </c>
      <c r="D11" s="18" t="n">
        <v>1240.74</v>
      </c>
      <c r="E11" s="18" t="n">
        <v>1201.4</v>
      </c>
      <c r="F11" s="18" t="n">
        <v>1100.59</v>
      </c>
      <c r="G11" s="19">
        <f>HYPERLINK("https://www.tradingview.com/chart/?symbol=NSE:PVRINOX","Chart 📈")</f>
        <v/>
      </c>
    </row>
    <row r="12" ht="16" customHeight="1">
      <c r="A12" s="20" t="inlineStr">
        <is>
          <t>NIFTY MEDIA</t>
        </is>
      </c>
      <c r="B12" s="17" t="inlineStr">
        <is>
          <t>SAREGAMA</t>
        </is>
      </c>
      <c r="C12" s="18" t="n">
        <v>503.7</v>
      </c>
      <c r="D12" s="18" t="n">
        <v>498.23</v>
      </c>
      <c r="E12" s="18" t="n">
        <v>495.87</v>
      </c>
      <c r="F12" s="18" t="n">
        <v>449.77</v>
      </c>
      <c r="G12" s="19">
        <f>HYPERLINK("https://www.tradingview.com/chart/?symbol=NSE:SAREGAMA","Chart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632.1</v>
      </c>
      <c r="D13" s="18" t="n">
        <v>530.91</v>
      </c>
      <c r="E13" s="18" t="n">
        <v>504.73</v>
      </c>
      <c r="F13" s="18" t="n">
        <v>523.24</v>
      </c>
      <c r="G13" s="19">
        <f>HYPERLINK("https://www.tradingview.com/chart/?symbol=NSE:SUNTV","Chart 📈")</f>
        <v/>
      </c>
    </row>
    <row r="14" ht="16" customHeight="1">
      <c r="A14" s="12" t="inlineStr">
        <is>
          <t>NIFTY MIDSMALL IT &amp; TELECOM</t>
        </is>
      </c>
      <c r="B14" s="13" t="inlineStr">
        <is>
          <t>COFORGE</t>
        </is>
      </c>
      <c r="C14" s="14" t="n">
        <v>1849.7</v>
      </c>
      <c r="D14" s="14" t="n">
        <v>1817.68</v>
      </c>
      <c r="E14" s="14" t="n">
        <v>1781.09</v>
      </c>
      <c r="F14" s="14" t="n">
        <v>1614.39</v>
      </c>
      <c r="G14" s="15">
        <f>HYPERLINK("https://www.tradingview.com/chart/?symbol=NSE:COFORGE","Chart 📈")</f>
        <v/>
      </c>
    </row>
    <row r="15" ht="16" customHeight="1">
      <c r="A15" s="16" t="inlineStr">
        <is>
          <t>NIFTY MIDSMALL IT &amp; TELECOM</t>
        </is>
      </c>
      <c r="B15" s="13" t="inlineStr">
        <is>
          <t>CYIENT</t>
        </is>
      </c>
      <c r="C15" s="14" t="n">
        <v>1119.4</v>
      </c>
      <c r="D15" s="14" t="n">
        <v>1079.06</v>
      </c>
      <c r="E15" s="14" t="n">
        <v>1021.19</v>
      </c>
      <c r="F15" s="14" t="n">
        <v>984.79</v>
      </c>
      <c r="G15" s="15">
        <f>HYPERLINK("https://www.tradingview.com/chart/?symbol=NSE:CYIENT","Chart 📈")</f>
        <v/>
      </c>
    </row>
    <row r="16" ht="16" customHeight="1">
      <c r="A16" s="16" t="inlineStr">
        <is>
          <t>NIFTY MIDSMALL IT &amp; TELECOM</t>
        </is>
      </c>
      <c r="B16" s="13" t="inlineStr">
        <is>
          <t>HFCL</t>
        </is>
      </c>
      <c r="C16" s="14" t="n">
        <v>262.78</v>
      </c>
      <c r="D16" s="14" t="n">
        <v>229.96</v>
      </c>
      <c r="E16" s="14" t="n">
        <v>222.3</v>
      </c>
      <c r="F16" s="14" t="n">
        <v>166.24</v>
      </c>
      <c r="G16" s="15">
        <f>HYPERLINK("https://www.tradingview.com/chart/?symbol=NSE:HFCL","Chart 📈")</f>
        <v/>
      </c>
    </row>
    <row r="17" ht="16" customHeight="1">
      <c r="A17" s="16" t="inlineStr">
        <is>
          <t>NIFTY MIDSMALL IT &amp; TELECOM</t>
        </is>
      </c>
      <c r="B17" s="13" t="inlineStr">
        <is>
          <t>INDUSTOWER</t>
        </is>
      </c>
      <c r="C17" s="14" t="n">
        <v>389.1</v>
      </c>
      <c r="D17" s="14" t="n">
        <v>377.58</v>
      </c>
      <c r="E17" s="14" t="n">
        <v>379.1</v>
      </c>
      <c r="F17" s="14" t="n">
        <v>386.48</v>
      </c>
      <c r="G17" s="15">
        <f>HYPERLINK("https://www.tradingview.com/chart/?symbol=NSE:INDUSTOWER","Chart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PERSISTENT</t>
        </is>
      </c>
      <c r="C18" s="14" t="n">
        <v>5521</v>
      </c>
      <c r="D18" s="14" t="n">
        <v>5417.7</v>
      </c>
      <c r="E18" s="14" t="n">
        <v>5404.9</v>
      </c>
      <c r="F18" s="14" t="n">
        <v>5321.06</v>
      </c>
      <c r="G18" s="15">
        <f>HYPERLINK("https://www.tradingview.com/chart/?symbol=NSE:PERSISTENT","Chart 📈")</f>
        <v/>
      </c>
    </row>
    <row r="19" ht="16" customHeight="1">
      <c r="A19" s="8" t="inlineStr">
        <is>
          <t>NIFTY METAL</t>
        </is>
      </c>
      <c r="B19" s="17" t="inlineStr">
        <is>
          <t>JSL</t>
        </is>
      </c>
      <c r="C19" s="18" t="n">
        <v>750.95</v>
      </c>
      <c r="D19" s="18" t="n">
        <v>741.89</v>
      </c>
      <c r="E19" s="18" t="n">
        <v>734.58</v>
      </c>
      <c r="F19" s="18" t="n">
        <v>737.48</v>
      </c>
      <c r="G19" s="19">
        <f>HYPERLINK("https://www.tradingview.com/chart/?symbol=NSE:JSL","Chart 📈")</f>
        <v/>
      </c>
    </row>
    <row r="20" ht="16" customHeight="1">
      <c r="A20" s="20" t="inlineStr">
        <is>
          <t>NIFTY METAL</t>
        </is>
      </c>
      <c r="B20" s="17" t="inlineStr">
        <is>
          <t>WELCORP</t>
        </is>
      </c>
      <c r="C20" s="18" t="n">
        <v>2660.9</v>
      </c>
      <c r="D20" s="18" t="n">
        <v>2616.28</v>
      </c>
      <c r="E20" s="18" t="n">
        <v>2359.62</v>
      </c>
      <c r="F20" s="18" t="n">
        <v>1625.93</v>
      </c>
      <c r="G20" s="19">
        <f>HYPERLINK("https://www.tradingview.com/chart/?symbol=NSE:WELCORP","Chart 📈")</f>
        <v/>
      </c>
    </row>
    <row r="21" ht="16" customHeight="1">
      <c r="A21" s="12" t="inlineStr">
        <is>
          <t>NIFTY REALTY</t>
        </is>
      </c>
      <c r="B21" s="13" t="inlineStr">
        <is>
          <t>DLF</t>
        </is>
      </c>
      <c r="C21" s="14" t="n">
        <v>666.1</v>
      </c>
      <c r="D21" s="14" t="n">
        <v>663.01</v>
      </c>
      <c r="E21" s="14" t="n">
        <v>658.1</v>
      </c>
      <c r="F21" s="14" t="n">
        <v>645.0700000000001</v>
      </c>
      <c r="G21" s="15">
        <f>HYPERLINK("https://www.tradingview.com/chart/?symbol=NSE:DLF","Chart 📈")</f>
        <v/>
      </c>
    </row>
    <row r="22" ht="16" customHeight="1">
      <c r="A22" s="16" t="inlineStr">
        <is>
          <t>NIFTY REALTY</t>
        </is>
      </c>
      <c r="B22" s="13" t="inlineStr">
        <is>
          <t>RAYMOND</t>
        </is>
      </c>
      <c r="C22" s="14" t="n">
        <v>1294.3</v>
      </c>
      <c r="D22" s="14" t="n">
        <v>1096.82</v>
      </c>
      <c r="E22" s="14" t="n">
        <v>903.62</v>
      </c>
      <c r="F22" s="14" t="n">
        <v>647.92</v>
      </c>
      <c r="G22" s="15">
        <f>HYPERLINK("https://www.tradingview.com/chart/?symbol=NSE:RAYMOND","Chart 📈")</f>
        <v/>
      </c>
    </row>
    <row r="23" ht="16" customHeight="1">
      <c r="A23" s="8" t="inlineStr">
        <is>
          <t>NIFTY OIL &amp; GAS</t>
        </is>
      </c>
      <c r="B23" s="17" t="inlineStr">
        <is>
          <t>AEGISLOG</t>
        </is>
      </c>
      <c r="C23" s="18" t="n">
        <v>1395.9</v>
      </c>
      <c r="D23" s="18" t="n">
        <v>1363.52</v>
      </c>
      <c r="E23" s="18" t="n">
        <v>1315.12</v>
      </c>
      <c r="F23" s="18" t="n">
        <v>1051.48</v>
      </c>
      <c r="G23" s="19">
        <f>HYPERLINK("https://www.tradingview.com/chart/?symbol=NSE:AEGISLOG","Chart 📈")</f>
        <v/>
      </c>
    </row>
    <row r="24" ht="16" customHeight="1">
      <c r="A24" s="20" t="inlineStr">
        <is>
          <t>NIFTY OIL &amp; GAS</t>
        </is>
      </c>
      <c r="B24" s="17" t="inlineStr">
        <is>
          <t>CASTROLIND</t>
        </is>
      </c>
      <c r="C24" s="18" t="n">
        <v>200.2</v>
      </c>
      <c r="D24" s="18" t="n">
        <v>195.75</v>
      </c>
      <c r="E24" s="18" t="n">
        <v>190.51</v>
      </c>
      <c r="F24" s="18" t="n">
        <v>183.53</v>
      </c>
      <c r="G24" s="19">
        <f>HYPERLINK("https://www.tradingview.com/chart/?symbol=NSE:CASTROLIND","Chart 📈")</f>
        <v/>
      </c>
    </row>
    <row r="25" ht="16" customHeight="1">
      <c r="A25" s="20" t="inlineStr">
        <is>
          <t>NIFTY OIL &amp; GAS</t>
        </is>
      </c>
      <c r="B25" s="17" t="inlineStr">
        <is>
          <t>PETRONET</t>
        </is>
      </c>
      <c r="C25" s="18" t="n">
        <v>297.5</v>
      </c>
      <c r="D25" s="18" t="n">
        <v>287.69</v>
      </c>
      <c r="E25" s="18" t="n">
        <v>285.65</v>
      </c>
      <c r="F25" s="18" t="n">
        <v>279.52</v>
      </c>
      <c r="G25" s="19">
        <f>HYPERLINK("https://www.tradingview.com/chart/?symbol=NSE:PETRONET","Chart 📈")</f>
        <v/>
      </c>
    </row>
    <row r="26" ht="16" customHeight="1">
      <c r="A26" s="12" t="inlineStr">
        <is>
          <t>NIFTY FMCG</t>
        </is>
      </c>
      <c r="B26" s="13" t="inlineStr">
        <is>
          <t>BALRAMCHIN</t>
        </is>
      </c>
      <c r="C26" s="14" t="n">
        <v>691.3</v>
      </c>
      <c r="D26" s="14" t="n">
        <v>672.51</v>
      </c>
      <c r="E26" s="14" t="n">
        <v>657.49</v>
      </c>
      <c r="F26" s="14" t="n">
        <v>571.98</v>
      </c>
      <c r="G26" s="15">
        <f>HYPERLINK("https://www.tradingview.com/chart/?symbol=NSE:BALRAMCHIN","Chart 📈")</f>
        <v/>
      </c>
    </row>
    <row r="27" ht="16" customHeight="1">
      <c r="A27" s="16" t="inlineStr">
        <is>
          <t>NIFTY FMCG</t>
        </is>
      </c>
      <c r="B27" s="13" t="inlineStr">
        <is>
          <t>RADICO</t>
        </is>
      </c>
      <c r="C27" s="14" t="n">
        <v>4460.1</v>
      </c>
      <c r="D27" s="14" t="n">
        <v>4414.9</v>
      </c>
      <c r="E27" s="14" t="n">
        <v>4374.82</v>
      </c>
      <c r="F27" s="14" t="n">
        <v>3786.05</v>
      </c>
      <c r="G27" s="15">
        <f>HYPERLINK("https://www.tradingview.com/chart/?symbol=NSE:RADICO","Chart 📈")</f>
        <v/>
      </c>
    </row>
    <row r="28" ht="16" customHeight="1">
      <c r="A28" s="8" t="inlineStr">
        <is>
          <t>NIFTY FINANCIAL SERVICES</t>
        </is>
      </c>
      <c r="B28" s="17" t="inlineStr">
        <is>
          <t>KOTAKBANK</t>
        </is>
      </c>
      <c r="C28" s="18" t="n">
        <v>431.9</v>
      </c>
      <c r="D28" s="18" t="n">
        <v>414.05</v>
      </c>
      <c r="E28" s="18" t="n">
        <v>408.01</v>
      </c>
      <c r="F28" s="18" t="n">
        <v>402.71</v>
      </c>
      <c r="G28" s="19">
        <f>HYPERLINK("https://www.tradingview.com/chart/?symbol=NSE:KOTAKBANK","Chart 📈")</f>
        <v/>
      </c>
    </row>
    <row r="29" ht="16" customHeight="1">
      <c r="A29" s="20" t="inlineStr">
        <is>
          <t>NIFTY FINANCIAL SERVICES</t>
        </is>
      </c>
      <c r="B29" s="17" t="inlineStr">
        <is>
          <t>MCX</t>
        </is>
      </c>
      <c r="C29" s="18" t="n">
        <v>3310</v>
      </c>
      <c r="D29" s="18" t="n">
        <v>3252.35</v>
      </c>
      <c r="E29" s="18" t="n">
        <v>3155.48</v>
      </c>
      <c r="F29" s="18" t="n">
        <v>2770.51</v>
      </c>
      <c r="G29" s="19">
        <f>HYPERLINK("https://www.tradingview.com/chart/?symbol=NSE:MCX","Chart 📈")</f>
        <v/>
      </c>
    </row>
    <row r="30" ht="16" customHeight="1">
      <c r="A30" s="12" t="inlineStr">
        <is>
          <t>NIFTY CONSUMER DURABLES</t>
        </is>
      </c>
      <c r="B30" s="13" t="inlineStr">
        <is>
          <t>WHIRLPOOL</t>
        </is>
      </c>
      <c r="C30" s="14" t="n">
        <v>867.8</v>
      </c>
      <c r="D30" s="14" t="n">
        <v>835.12</v>
      </c>
      <c r="E30" s="14" t="n">
        <v>812.36</v>
      </c>
      <c r="F30" s="14" t="n">
        <v>866.3200000000001</v>
      </c>
      <c r="G30" s="15">
        <f>HYPERLINK("https://www.tradingview.com/chart/?symbol=NSE:WHIRLPOOL","Chart 📈")</f>
        <v/>
      </c>
    </row>
    <row r="31" ht="16" customHeight="1">
      <c r="A31" s="8" t="inlineStr">
        <is>
          <t>NIFTY ENERGY</t>
        </is>
      </c>
      <c r="B31" s="17" t="inlineStr">
        <is>
          <t>BHEL</t>
        </is>
      </c>
      <c r="C31" s="18" t="n">
        <v>452</v>
      </c>
      <c r="D31" s="18" t="n">
        <v>424.97</v>
      </c>
      <c r="E31" s="18" t="n">
        <v>419.52</v>
      </c>
      <c r="F31" s="18" t="n">
        <v>365.84</v>
      </c>
      <c r="G31" s="19">
        <f>HYPERLINK("https://www.tradingview.com/chart/?symbol=NSE:BHEL","Chart 📈")</f>
        <v/>
      </c>
    </row>
    <row r="32" ht="16" customHeight="1">
      <c r="A32" s="20" t="inlineStr">
        <is>
          <t>NIFTY ENERGY</t>
        </is>
      </c>
      <c r="B32" s="17" t="inlineStr">
        <is>
          <t>CGPOWER</t>
        </is>
      </c>
      <c r="C32" s="18" t="n">
        <v>912</v>
      </c>
      <c r="D32" s="18" t="n">
        <v>884.76</v>
      </c>
      <c r="E32" s="18" t="n">
        <v>886.15</v>
      </c>
      <c r="F32" s="18" t="n">
        <v>832.9400000000001</v>
      </c>
      <c r="G32" s="19">
        <f>HYPERLINK("https://www.tradingview.com/chart/?symbol=NSE:CGPOWER","Chart 📈")</f>
        <v/>
      </c>
    </row>
    <row r="33" ht="16" customHeight="1">
      <c r="A33" s="20" t="inlineStr">
        <is>
          <t>NIFTY ENERGY</t>
        </is>
      </c>
      <c r="B33" s="17" t="inlineStr">
        <is>
          <t>SCHNEIDER</t>
        </is>
      </c>
      <c r="C33" s="18" t="n">
        <v>1274</v>
      </c>
      <c r="D33" s="18" t="n">
        <v>1233.48</v>
      </c>
      <c r="E33" s="18" t="n">
        <v>1245.77</v>
      </c>
      <c r="F33" s="18" t="n">
        <v>1139.64</v>
      </c>
      <c r="G33" s="19">
        <f>HYPERLINK("https://www.tradingview.com/chart/?symbol=NSE:SCHNEIDER","Chart 📈")</f>
        <v/>
      </c>
    </row>
    <row r="34" ht="16" customHeight="1">
      <c r="A34" s="20" t="inlineStr">
        <is>
          <t>NIFTY ENERGY</t>
        </is>
      </c>
      <c r="B34" s="17" t="inlineStr">
        <is>
          <t>SIEMENS</t>
        </is>
      </c>
      <c r="C34" s="18" t="n">
        <v>3854</v>
      </c>
      <c r="D34" s="18" t="n">
        <v>3833.97</v>
      </c>
      <c r="E34" s="18" t="n">
        <v>3841.93</v>
      </c>
      <c r="F34" s="18" t="n">
        <v>3607.75</v>
      </c>
      <c r="G34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2026-10-06T17:14:42Z</dcterms:created>
  <dcterms:modified xmlns:dcterms="http://purl.org/dc/terms/" xmlns:xsi="http://www.w3.org/2001/XMLSchema-instance" xsi:type="dcterms:W3CDTF">2026-10-06T17:14:42Z</dcterms:modified>
</cp:coreProperties>
</file>