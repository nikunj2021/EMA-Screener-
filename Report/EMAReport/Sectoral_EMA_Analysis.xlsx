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23-Sep-2026  15:28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10</v>
      </c>
      <c r="E4" s="5" t="n">
        <v>13</v>
      </c>
      <c r="F4" s="6" t="n">
        <v>0.867</v>
      </c>
      <c r="G4" s="6" t="n">
        <v>0.667</v>
      </c>
      <c r="H4" s="6" t="n">
        <v>0.867</v>
      </c>
      <c r="I4" s="7" t="n">
        <v>0.8003</v>
      </c>
    </row>
    <row r="5" ht="17" customHeight="1">
      <c r="A5" s="8" t="inlineStr">
        <is>
          <t>NIFTY PHARMA</t>
        </is>
      </c>
      <c r="B5" s="9" t="n">
        <v>20</v>
      </c>
      <c r="C5" s="9" t="n">
        <v>14</v>
      </c>
      <c r="D5" s="9" t="n">
        <v>14</v>
      </c>
      <c r="E5" s="9" t="n">
        <v>13</v>
      </c>
      <c r="F5" s="10" t="n">
        <v>0.7</v>
      </c>
      <c r="G5" s="10" t="n">
        <v>0.7</v>
      </c>
      <c r="H5" s="10" t="n">
        <v>0.65</v>
      </c>
      <c r="I5" s="11" t="n">
        <v>0.6833</v>
      </c>
    </row>
    <row r="6" ht="17" customHeight="1">
      <c r="A6" s="4" t="inlineStr">
        <is>
          <t>NIFTY REALTY</t>
        </is>
      </c>
      <c r="B6" s="5" t="n">
        <v>10</v>
      </c>
      <c r="C6" s="5" t="n">
        <v>6</v>
      </c>
      <c r="D6" s="5" t="n">
        <v>6</v>
      </c>
      <c r="E6" s="5" t="n">
        <v>6</v>
      </c>
      <c r="F6" s="6" t="n">
        <v>0.6</v>
      </c>
      <c r="G6" s="6" t="n">
        <v>0.6</v>
      </c>
      <c r="H6" s="6" t="n">
        <v>0.6</v>
      </c>
      <c r="I6" s="7" t="n">
        <v>0.6</v>
      </c>
    </row>
    <row r="7" ht="17" customHeight="1">
      <c r="A7" s="8" t="inlineStr">
        <is>
          <t>NIFTY MEDIA</t>
        </is>
      </c>
      <c r="B7" s="9" t="n">
        <v>10</v>
      </c>
      <c r="C7" s="9" t="n">
        <v>5</v>
      </c>
      <c r="D7" s="9" t="n">
        <v>5</v>
      </c>
      <c r="E7" s="9" t="n">
        <v>4</v>
      </c>
      <c r="F7" s="10" t="n">
        <v>0.5</v>
      </c>
      <c r="G7" s="10" t="n">
        <v>0.5</v>
      </c>
      <c r="H7" s="10" t="n">
        <v>0.4</v>
      </c>
      <c r="I7" s="11" t="n">
        <v>0.4667</v>
      </c>
    </row>
    <row r="8" ht="17" customHeight="1">
      <c r="A8" s="4" t="inlineStr">
        <is>
          <t>NIFTY OIL &amp; GAS</t>
        </is>
      </c>
      <c r="B8" s="5" t="n">
        <v>15</v>
      </c>
      <c r="C8" s="5" t="n">
        <v>8</v>
      </c>
      <c r="D8" s="5" t="n">
        <v>7</v>
      </c>
      <c r="E8" s="5" t="n">
        <v>5</v>
      </c>
      <c r="F8" s="6" t="n">
        <v>0.5329999999999999</v>
      </c>
      <c r="G8" s="6" t="n">
        <v>0.467</v>
      </c>
      <c r="H8" s="6" t="n">
        <v>0.333</v>
      </c>
      <c r="I8" s="7" t="n">
        <v>0.4443</v>
      </c>
    </row>
    <row r="9" ht="17" customHeight="1">
      <c r="A9" s="8" t="inlineStr">
        <is>
          <t>NIFTY FMCG</t>
        </is>
      </c>
      <c r="B9" s="9" t="n">
        <v>15</v>
      </c>
      <c r="C9" s="9" t="n">
        <v>7</v>
      </c>
      <c r="D9" s="9" t="n">
        <v>5</v>
      </c>
      <c r="E9" s="9" t="n">
        <v>5</v>
      </c>
      <c r="F9" s="10" t="n">
        <v>0.467</v>
      </c>
      <c r="G9" s="10" t="n">
        <v>0.333</v>
      </c>
      <c r="H9" s="10" t="n">
        <v>0.333</v>
      </c>
      <c r="I9" s="11" t="n">
        <v>0.3777</v>
      </c>
    </row>
    <row r="10" ht="17" customHeight="1">
      <c r="A10" s="4" t="inlineStr">
        <is>
          <t>NIFTY AUTO</t>
        </is>
      </c>
      <c r="B10" s="5" t="n">
        <v>15</v>
      </c>
      <c r="C10" s="5" t="n">
        <v>4</v>
      </c>
      <c r="D10" s="5" t="n">
        <v>4</v>
      </c>
      <c r="E10" s="5" t="n">
        <v>8</v>
      </c>
      <c r="F10" s="6" t="n">
        <v>0.267</v>
      </c>
      <c r="G10" s="6" t="n">
        <v>0.267</v>
      </c>
      <c r="H10" s="6" t="n">
        <v>0.5329999999999999</v>
      </c>
      <c r="I10" s="7" t="n">
        <v>0.3557</v>
      </c>
    </row>
    <row r="11" ht="17" customHeight="1">
      <c r="A11" s="8" t="inlineStr">
        <is>
          <t>NIFTY PSU BANK</t>
        </is>
      </c>
      <c r="B11" s="9" t="n">
        <v>12</v>
      </c>
      <c r="C11" s="9" t="n">
        <v>4</v>
      </c>
      <c r="D11" s="9" t="n">
        <v>4</v>
      </c>
      <c r="E11" s="9" t="n">
        <v>4</v>
      </c>
      <c r="F11" s="10" t="n">
        <v>0.333</v>
      </c>
      <c r="G11" s="10" t="n">
        <v>0.333</v>
      </c>
      <c r="H11" s="10" t="n">
        <v>0.333</v>
      </c>
      <c r="I11" s="11" t="n">
        <v>0.333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6</v>
      </c>
      <c r="D12" s="5" t="n">
        <v>5</v>
      </c>
      <c r="E12" s="5" t="n">
        <v>6</v>
      </c>
      <c r="F12" s="6" t="n">
        <v>0.3</v>
      </c>
      <c r="G12" s="6" t="n">
        <v>0.25</v>
      </c>
      <c r="H12" s="6" t="n">
        <v>0.3</v>
      </c>
      <c r="I12" s="7" t="n">
        <v>0.2833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3</v>
      </c>
      <c r="D13" s="9" t="n">
        <v>4</v>
      </c>
      <c r="E13" s="9" t="n">
        <v>7</v>
      </c>
      <c r="F13" s="10" t="n">
        <v>0.15</v>
      </c>
      <c r="G13" s="10" t="n">
        <v>0.2</v>
      </c>
      <c r="H13" s="10" t="n">
        <v>0.35</v>
      </c>
      <c r="I13" s="11" t="n">
        <v>0.2333</v>
      </c>
    </row>
    <row r="14" ht="17" customHeight="1">
      <c r="A14" s="4" t="inlineStr">
        <is>
          <t>NIFTY ENERGY</t>
        </is>
      </c>
      <c r="B14" s="5" t="n">
        <v>40</v>
      </c>
      <c r="C14" s="5" t="n">
        <v>8</v>
      </c>
      <c r="D14" s="5" t="n">
        <v>5</v>
      </c>
      <c r="E14" s="5" t="n">
        <v>11</v>
      </c>
      <c r="F14" s="6" t="n">
        <v>0.2</v>
      </c>
      <c r="G14" s="6" t="n">
        <v>0.125</v>
      </c>
      <c r="H14" s="6" t="n">
        <v>0.275</v>
      </c>
      <c r="I14" s="7" t="n">
        <v>0.2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3</v>
      </c>
      <c r="D15" s="9" t="n">
        <v>3</v>
      </c>
      <c r="E15" s="9" t="n">
        <v>3</v>
      </c>
      <c r="F15" s="10" t="n">
        <v>0.2</v>
      </c>
      <c r="G15" s="10" t="n">
        <v>0.2</v>
      </c>
      <c r="H15" s="10" t="n">
        <v>0.2</v>
      </c>
      <c r="I15" s="11" t="n">
        <v>0.2</v>
      </c>
    </row>
    <row r="16" ht="17" customHeight="1">
      <c r="A16" s="4" t="inlineStr">
        <is>
          <t>NIFTY BANK</t>
        </is>
      </c>
      <c r="B16" s="5" t="n">
        <v>12</v>
      </c>
      <c r="C16" s="5" t="n">
        <v>1</v>
      </c>
      <c r="D16" s="5" t="n">
        <v>1</v>
      </c>
      <c r="E16" s="5" t="n">
        <v>4</v>
      </c>
      <c r="F16" s="6" t="n">
        <v>0.083</v>
      </c>
      <c r="G16" s="6" t="n">
        <v>0.083</v>
      </c>
      <c r="H16" s="6" t="n">
        <v>0.333</v>
      </c>
      <c r="I16" s="7" t="n">
        <v>0.1663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2993.2</v>
      </c>
      <c r="D3" s="14" t="n">
        <v>2992.96</v>
      </c>
      <c r="E3" s="14" t="n">
        <v>2991.64</v>
      </c>
      <c r="F3" s="14" t="n">
        <v>2739.36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2195</v>
      </c>
      <c r="D4" s="14" t="n">
        <v>2164.27</v>
      </c>
      <c r="E4" s="14" t="n">
        <v>2080.09</v>
      </c>
      <c r="F4" s="14" t="n">
        <v>1946.53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595.45</v>
      </c>
      <c r="D5" s="14" t="n">
        <v>586.35</v>
      </c>
      <c r="E5" s="14" t="n">
        <v>579.3</v>
      </c>
      <c r="F5" s="14" t="n">
        <v>562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JINDALSTEL</t>
        </is>
      </c>
      <c r="C6" s="14" t="n">
        <v>1175.3</v>
      </c>
      <c r="D6" s="14" t="n">
        <v>1134.63</v>
      </c>
      <c r="E6" s="14" t="n">
        <v>1125.37</v>
      </c>
      <c r="F6" s="14" t="n">
        <v>1121.81</v>
      </c>
      <c r="G6" s="15">
        <f>HYPERLINK("https://www.tradingview.com/chart/?symbol=NSE:JINDALSTEL","Chart 📈")</f>
        <v/>
      </c>
    </row>
    <row r="7" ht="16" customHeight="1">
      <c r="A7" s="16" t="inlineStr">
        <is>
          <t>NIFTY METAL</t>
        </is>
      </c>
      <c r="B7" s="13" t="inlineStr">
        <is>
          <t>JSL</t>
        </is>
      </c>
      <c r="C7" s="14" t="n">
        <v>758.55</v>
      </c>
      <c r="D7" s="14" t="n">
        <v>740.27</v>
      </c>
      <c r="E7" s="14" t="n">
        <v>731.38</v>
      </c>
      <c r="F7" s="14" t="n">
        <v>740.3</v>
      </c>
      <c r="G7" s="15">
        <f>HYPERLINK("https://www.tradingview.com/chart/?symbol=NSE:JSL","Chart 📈")</f>
        <v/>
      </c>
    </row>
    <row r="8" ht="16" customHeight="1">
      <c r="A8" s="16" t="inlineStr">
        <is>
          <t>NIFTY METAL</t>
        </is>
      </c>
      <c r="B8" s="13" t="inlineStr">
        <is>
          <t>JSWSTEEL</t>
        </is>
      </c>
      <c r="C8" s="14" t="n">
        <v>1297.8</v>
      </c>
      <c r="D8" s="14" t="n">
        <v>1281.93</v>
      </c>
      <c r="E8" s="14" t="n">
        <v>1280.76</v>
      </c>
      <c r="F8" s="14" t="n">
        <v>1238.31</v>
      </c>
      <c r="G8" s="15">
        <f>HYPERLINK("https://www.tradingview.com/chart/?symbol=NSE:JSWSTEEL","Chart 📈")</f>
        <v/>
      </c>
    </row>
    <row r="9" ht="16" customHeight="1">
      <c r="A9" s="16" t="inlineStr">
        <is>
          <t>NIFTY METAL</t>
        </is>
      </c>
      <c r="B9" s="13" t="inlineStr">
        <is>
          <t>RATNAMANI</t>
        </is>
      </c>
      <c r="C9" s="14" t="n">
        <v>2800.8</v>
      </c>
      <c r="D9" s="14" t="n">
        <v>2714.05</v>
      </c>
      <c r="E9" s="14" t="n">
        <v>2614.52</v>
      </c>
      <c r="F9" s="14" t="n">
        <v>2496.69</v>
      </c>
      <c r="G9" s="15">
        <f>HYPERLINK("https://www.tradingview.com/chart/?symbol=NSE:RATNAMANI","Chart 📈")</f>
        <v/>
      </c>
    </row>
    <row r="10" ht="16" customHeight="1">
      <c r="A10" s="16" t="inlineStr">
        <is>
          <t>NIFTY METAL</t>
        </is>
      </c>
      <c r="B10" s="13" t="inlineStr">
        <is>
          <t>SAIL</t>
        </is>
      </c>
      <c r="C10" s="14" t="n">
        <v>185.44</v>
      </c>
      <c r="D10" s="14" t="n">
        <v>180.83</v>
      </c>
      <c r="E10" s="14" t="n">
        <v>179.31</v>
      </c>
      <c r="F10" s="14" t="n">
        <v>168.74</v>
      </c>
      <c r="G10" s="15">
        <f>HYPERLINK("https://www.tradingview.com/chart/?symbol=NSE:SAIL","Chart 📈")</f>
        <v/>
      </c>
    </row>
    <row r="11" ht="16" customHeight="1">
      <c r="A11" s="16" t="inlineStr">
        <is>
          <t>NIFTY METAL</t>
        </is>
      </c>
      <c r="B11" s="13" t="inlineStr">
        <is>
          <t>TATASTEEL</t>
        </is>
      </c>
      <c r="C11" s="14" t="n">
        <v>190.82</v>
      </c>
      <c r="D11" s="14" t="n">
        <v>185.71</v>
      </c>
      <c r="E11" s="14" t="n">
        <v>187.13</v>
      </c>
      <c r="F11" s="14" t="n">
        <v>188.41</v>
      </c>
      <c r="G11" s="15">
        <f>HYPERLINK("https://www.tradingview.com/chart/?symbol=NSE:TATASTEEL","Chart 📈")</f>
        <v/>
      </c>
    </row>
    <row r="12" ht="16" customHeight="1">
      <c r="A12" s="16" t="inlineStr">
        <is>
          <t>NIFTY METAL</t>
        </is>
      </c>
      <c r="B12" s="13" t="inlineStr">
        <is>
          <t>WELCORP</t>
        </is>
      </c>
      <c r="C12" s="14" t="n">
        <v>2796.8</v>
      </c>
      <c r="D12" s="14" t="n">
        <v>2537.94</v>
      </c>
      <c r="E12" s="14" t="n">
        <v>2220.4</v>
      </c>
      <c r="F12" s="14" t="n">
        <v>1528.6</v>
      </c>
      <c r="G12" s="15">
        <f>HYPERLINK("https://www.tradingview.com/chart/?symbol=NSE:WELCORP","Chart 📈")</f>
        <v/>
      </c>
    </row>
    <row r="13" ht="16" customHeight="1">
      <c r="A13" s="8" t="inlineStr">
        <is>
          <t>NIFTY PHARMA</t>
        </is>
      </c>
      <c r="B13" s="17" t="inlineStr">
        <is>
          <t>ABBOTINDIA</t>
        </is>
      </c>
      <c r="C13" s="18" t="n">
        <v>26935</v>
      </c>
      <c r="D13" s="18" t="n">
        <v>26416.48</v>
      </c>
      <c r="E13" s="18" t="n">
        <v>26497.05</v>
      </c>
      <c r="F13" s="18" t="n">
        <v>26792.03</v>
      </c>
      <c r="G13" s="19">
        <f>HYPERLINK("https://www.tradingview.com/chart/?symbol=NSE:ABBOTINDIA","Chart 📈")</f>
        <v/>
      </c>
    </row>
    <row r="14" ht="16" customHeight="1">
      <c r="A14" s="20" t="inlineStr">
        <is>
          <t>NIFTY PHARMA</t>
        </is>
      </c>
      <c r="B14" s="17" t="inlineStr">
        <is>
          <t>AJANTPHARM</t>
        </is>
      </c>
      <c r="C14" s="18" t="n">
        <v>3568.1</v>
      </c>
      <c r="D14" s="18" t="n">
        <v>3535.03</v>
      </c>
      <c r="E14" s="18" t="n">
        <v>3479.34</v>
      </c>
      <c r="F14" s="18" t="n">
        <v>3125.82</v>
      </c>
      <c r="G14" s="19">
        <f>HYPERLINK("https://www.tradingview.com/chart/?symbol=NSE:AJANTPHARM","Chart 📈")</f>
        <v/>
      </c>
    </row>
    <row r="15" ht="16" customHeight="1">
      <c r="A15" s="20" t="inlineStr">
        <is>
          <t>NIFTY PHARMA</t>
        </is>
      </c>
      <c r="B15" s="17" t="inlineStr">
        <is>
          <t>AUROPHARMA</t>
        </is>
      </c>
      <c r="C15" s="18" t="n">
        <v>1721.5</v>
      </c>
      <c r="D15" s="18" t="n">
        <v>1677.71</v>
      </c>
      <c r="E15" s="18" t="n">
        <v>1632.88</v>
      </c>
      <c r="F15" s="18" t="n">
        <v>1450.66</v>
      </c>
      <c r="G15" s="19">
        <f>HYPERLINK("https://www.tradingview.com/chart/?symbol=NSE:AUROPHARMA","Chart 📈")</f>
        <v/>
      </c>
    </row>
    <row r="16" ht="16" customHeight="1">
      <c r="A16" s="20" t="inlineStr">
        <is>
          <t>NIFTY PHARMA</t>
        </is>
      </c>
      <c r="B16" s="17" t="inlineStr">
        <is>
          <t>DIVISLAB</t>
        </is>
      </c>
      <c r="C16" s="18" t="n">
        <v>9624</v>
      </c>
      <c r="D16" s="18" t="n">
        <v>9223.940000000001</v>
      </c>
      <c r="E16" s="18" t="n">
        <v>8640.67</v>
      </c>
      <c r="F16" s="18" t="n">
        <v>7305.4</v>
      </c>
      <c r="G16" s="19">
        <f>HYPERLINK("https://www.tradingview.com/chart/?symbol=NSE:DIVISLAB","Chart 📈")</f>
        <v/>
      </c>
    </row>
    <row r="17" ht="16" customHeight="1">
      <c r="A17" s="20" t="inlineStr">
        <is>
          <t>NIFTY PHARMA</t>
        </is>
      </c>
      <c r="B17" s="17" t="inlineStr">
        <is>
          <t>GLAND</t>
        </is>
      </c>
      <c r="C17" s="18" t="n">
        <v>2910.2</v>
      </c>
      <c r="D17" s="18" t="n">
        <v>2897.75</v>
      </c>
      <c r="E17" s="18" t="n">
        <v>2759.93</v>
      </c>
      <c r="F17" s="18" t="n">
        <v>2298.84</v>
      </c>
      <c r="G17" s="19">
        <f>HYPERLINK("https://www.tradingview.com/chart/?symbol=NSE:GLAND","Chart 📈")</f>
        <v/>
      </c>
    </row>
    <row r="18" ht="16" customHeight="1">
      <c r="A18" s="20" t="inlineStr">
        <is>
          <t>NIFTY PHARMA</t>
        </is>
      </c>
      <c r="B18" s="17" t="inlineStr">
        <is>
          <t>GLENMARK</t>
        </is>
      </c>
      <c r="C18" s="18" t="n">
        <v>2475</v>
      </c>
      <c r="D18" s="18" t="n">
        <v>2424.02</v>
      </c>
      <c r="E18" s="18" t="n">
        <v>2365.53</v>
      </c>
      <c r="F18" s="18" t="n">
        <v>2221.12</v>
      </c>
      <c r="G18" s="19">
        <f>HYPERLINK("https://www.tradingview.com/chart/?symbol=NSE:GLENMARK","Chart 📈")</f>
        <v/>
      </c>
    </row>
    <row r="19" ht="16" customHeight="1">
      <c r="A19" s="20" t="inlineStr">
        <is>
          <t>NIFTY PHARMA</t>
        </is>
      </c>
      <c r="B19" s="17" t="inlineStr">
        <is>
          <t>IPCALAB</t>
        </is>
      </c>
      <c r="C19" s="18" t="n">
        <v>1962.6</v>
      </c>
      <c r="D19" s="18" t="n">
        <v>1955.01</v>
      </c>
      <c r="E19" s="18" t="n">
        <v>1879.42</v>
      </c>
      <c r="F19" s="18" t="n">
        <v>1663.62</v>
      </c>
      <c r="G19" s="19">
        <f>HYPERLINK("https://www.tradingview.com/chart/?symbol=NSE:IPCALAB","Chart 📈")</f>
        <v/>
      </c>
    </row>
    <row r="20" ht="16" customHeight="1">
      <c r="A20" s="20" t="inlineStr">
        <is>
          <t>NIFTY PHARMA</t>
        </is>
      </c>
      <c r="B20" s="17" t="inlineStr">
        <is>
          <t>LAURUSLABS</t>
        </is>
      </c>
      <c r="C20" s="18" t="n">
        <v>2034</v>
      </c>
      <c r="D20" s="18" t="n">
        <v>1933.63</v>
      </c>
      <c r="E20" s="18" t="n">
        <v>1820.21</v>
      </c>
      <c r="F20" s="18" t="n">
        <v>1435.04</v>
      </c>
      <c r="G20" s="19">
        <f>HYPERLINK("https://www.tradingview.com/chart/?symbol=NSE:LAURUSLABS","Chart 📈")</f>
        <v/>
      </c>
    </row>
    <row r="21" ht="16" customHeight="1">
      <c r="A21" s="20" t="inlineStr">
        <is>
          <t>NIFTY PHARMA</t>
        </is>
      </c>
      <c r="B21" s="17" t="inlineStr">
        <is>
          <t>MANKIND</t>
        </is>
      </c>
      <c r="C21" s="18" t="n">
        <v>2465</v>
      </c>
      <c r="D21" s="18" t="n">
        <v>2360.05</v>
      </c>
      <c r="E21" s="18" t="n">
        <v>2386.73</v>
      </c>
      <c r="F21" s="18" t="n">
        <v>2365.8</v>
      </c>
      <c r="G21" s="19">
        <f>HYPERLINK("https://www.tradingview.com/chart/?symbol=NSE:MANKIND","Chart 📈")</f>
        <v/>
      </c>
    </row>
    <row r="22" ht="16" customHeight="1">
      <c r="A22" s="20" t="inlineStr">
        <is>
          <t>NIFTY PHARMA</t>
        </is>
      </c>
      <c r="B22" s="17" t="inlineStr">
        <is>
          <t>TORNTPHARM</t>
        </is>
      </c>
      <c r="C22" s="18" t="n">
        <v>4985</v>
      </c>
      <c r="D22" s="18" t="n">
        <v>4926.24</v>
      </c>
      <c r="E22" s="18" t="n">
        <v>4887.62</v>
      </c>
      <c r="F22" s="18" t="n">
        <v>4480.92</v>
      </c>
      <c r="G22" s="19">
        <f>HYPERLINK("https://www.tradingview.com/chart/?symbol=NSE:TORNTPHARM","Chart 📈")</f>
        <v/>
      </c>
    </row>
    <row r="23" ht="16" customHeight="1">
      <c r="A23" s="20" t="inlineStr">
        <is>
          <t>NIFTY PHARMA</t>
        </is>
      </c>
      <c r="B23" s="17" t="inlineStr">
        <is>
          <t>ZYDUSLIFE</t>
        </is>
      </c>
      <c r="C23" s="18" t="n">
        <v>1170.1</v>
      </c>
      <c r="D23" s="18" t="n">
        <v>1141.68</v>
      </c>
      <c r="E23" s="18" t="n">
        <v>1130.01</v>
      </c>
      <c r="F23" s="18" t="n">
        <v>1052.85</v>
      </c>
      <c r="G23" s="19">
        <f>HYPERLINK("https://www.tradingview.com/chart/?symbol=NSE:ZYDUSLIFE","Chart 📈")</f>
        <v/>
      </c>
    </row>
    <row r="24" ht="16" customHeight="1">
      <c r="A24" s="12" t="inlineStr">
        <is>
          <t>NIFTY REALTY</t>
        </is>
      </c>
      <c r="B24" s="13" t="inlineStr">
        <is>
          <t>DLF</t>
        </is>
      </c>
      <c r="C24" s="14" t="n">
        <v>675</v>
      </c>
      <c r="D24" s="14" t="n">
        <v>658.38</v>
      </c>
      <c r="E24" s="14" t="n">
        <v>654.48</v>
      </c>
      <c r="F24" s="14" t="n">
        <v>644.91</v>
      </c>
      <c r="G24" s="15">
        <f>HYPERLINK("https://www.tradingview.com/chart/?symbol=NSE:DLF","Chart 📈")</f>
        <v/>
      </c>
    </row>
    <row r="25" ht="16" customHeight="1">
      <c r="A25" s="16" t="inlineStr">
        <is>
          <t>NIFTY REALTY</t>
        </is>
      </c>
      <c r="B25" s="13" t="inlineStr">
        <is>
          <t>LODHA</t>
        </is>
      </c>
      <c r="C25" s="14" t="n">
        <v>1162.5</v>
      </c>
      <c r="D25" s="14" t="n">
        <v>1160.63</v>
      </c>
      <c r="E25" s="14" t="n">
        <v>1158.26</v>
      </c>
      <c r="F25" s="14" t="n">
        <v>1077.73</v>
      </c>
      <c r="G25" s="15">
        <f>HYPERLINK("https://www.tradingview.com/chart/?symbol=NSE:LODHA","Chart 📈")</f>
        <v/>
      </c>
    </row>
    <row r="26" ht="16" customHeight="1">
      <c r="A26" s="16" t="inlineStr">
        <is>
          <t>NIFTY REALTY</t>
        </is>
      </c>
      <c r="B26" s="13" t="inlineStr">
        <is>
          <t>OBEROIRLTY</t>
        </is>
      </c>
      <c r="C26" s="14" t="n">
        <v>1850</v>
      </c>
      <c r="D26" s="14" t="n">
        <v>1807.98</v>
      </c>
      <c r="E26" s="14" t="n">
        <v>1811.81</v>
      </c>
      <c r="F26" s="14" t="n">
        <v>1725.23</v>
      </c>
      <c r="G26" s="15">
        <f>HYPERLINK("https://www.tradingview.com/chart/?symbol=NSE:OBEROIRLTY","Chart 📈")</f>
        <v/>
      </c>
    </row>
    <row r="27" ht="16" customHeight="1">
      <c r="A27" s="16" t="inlineStr">
        <is>
          <t>NIFTY REALTY</t>
        </is>
      </c>
      <c r="B27" s="13" t="inlineStr">
        <is>
          <t>PHOENIXLTD</t>
        </is>
      </c>
      <c r="C27" s="14" t="n">
        <v>1993.2</v>
      </c>
      <c r="D27" s="14" t="n">
        <v>1911.03</v>
      </c>
      <c r="E27" s="14" t="n">
        <v>1915.36</v>
      </c>
      <c r="F27" s="14" t="n">
        <v>1829.68</v>
      </c>
      <c r="G27" s="15">
        <f>HYPERLINK("https://www.tradingview.com/chart/?symbol=NSE:PHOENIXLTD","Chart 📈")</f>
        <v/>
      </c>
    </row>
    <row r="28" ht="16" customHeight="1">
      <c r="A28" s="16" t="inlineStr">
        <is>
          <t>NIFTY REALTY</t>
        </is>
      </c>
      <c r="B28" s="13" t="inlineStr">
        <is>
          <t>RAYMOND</t>
        </is>
      </c>
      <c r="C28" s="14" t="n">
        <v>1114.65</v>
      </c>
      <c r="D28" s="14" t="n">
        <v>906.12</v>
      </c>
      <c r="E28" s="14" t="n">
        <v>765.62</v>
      </c>
      <c r="F28" s="14" t="n">
        <v>597.7</v>
      </c>
      <c r="G28" s="15">
        <f>HYPERLINK("https://www.tradingview.com/chart/?symbol=NSE:RAYMOND","Chart 📈")</f>
        <v/>
      </c>
    </row>
    <row r="29" ht="16" customHeight="1">
      <c r="A29" s="8" t="inlineStr">
        <is>
          <t>NIFTY MEDIA</t>
        </is>
      </c>
      <c r="B29" s="17" t="inlineStr">
        <is>
          <t>NAZARA</t>
        </is>
      </c>
      <c r="C29" s="18" t="n">
        <v>372.7</v>
      </c>
      <c r="D29" s="18" t="n">
        <v>364.56</v>
      </c>
      <c r="E29" s="18" t="n">
        <v>348.87</v>
      </c>
      <c r="F29" s="18" t="n">
        <v>304.3</v>
      </c>
      <c r="G29" s="19">
        <f>HYPERLINK("https://www.tradingview.com/chart/?symbol=NSE:NAZARA","Chart 📈")</f>
        <v/>
      </c>
    </row>
    <row r="30" ht="16" customHeight="1">
      <c r="A30" s="20" t="inlineStr">
        <is>
          <t>NIFTY MEDIA</t>
        </is>
      </c>
      <c r="B30" s="17" t="inlineStr">
        <is>
          <t>PVRINOX</t>
        </is>
      </c>
      <c r="C30" s="18" t="n">
        <v>1317.5</v>
      </c>
      <c r="D30" s="18" t="n">
        <v>1255.61</v>
      </c>
      <c r="E30" s="18" t="n">
        <v>1188.64</v>
      </c>
      <c r="F30" s="18" t="n">
        <v>1088.71</v>
      </c>
      <c r="G30" s="19">
        <f>HYPERLINK("https://www.tradingview.com/chart/?symbol=NSE:PVRINOX","Chart 📈")</f>
        <v/>
      </c>
    </row>
    <row r="31" ht="16" customHeight="1">
      <c r="A31" s="20" t="inlineStr">
        <is>
          <t>NIFTY MEDIA</t>
        </is>
      </c>
      <c r="B31" s="17" t="inlineStr">
        <is>
          <t>SAREGAMA</t>
        </is>
      </c>
      <c r="C31" s="18" t="n">
        <v>507</v>
      </c>
      <c r="D31" s="18" t="n">
        <v>498.28</v>
      </c>
      <c r="E31" s="18" t="n">
        <v>494.85</v>
      </c>
      <c r="F31" s="18" t="n">
        <v>446.52</v>
      </c>
      <c r="G31" s="19">
        <f>HYPERLINK("https://www.tradingview.com/chart/?symbol=NSE:SAREGAMA","Chart 📈")</f>
        <v/>
      </c>
    </row>
    <row r="32" ht="16" customHeight="1">
      <c r="A32" s="20" t="inlineStr">
        <is>
          <t>NIFTY MEDIA</t>
        </is>
      </c>
      <c r="B32" s="17" t="inlineStr">
        <is>
          <t>TIPSMUSIC</t>
        </is>
      </c>
      <c r="C32" s="18" t="n">
        <v>670.5</v>
      </c>
      <c r="D32" s="18" t="n">
        <v>657.39</v>
      </c>
      <c r="E32" s="18" t="n">
        <v>657.79</v>
      </c>
      <c r="F32" s="18" t="n">
        <v>622.03</v>
      </c>
      <c r="G32" s="19">
        <f>HYPERLINK("https://www.tradingview.com/chart/?symbol=NSE:TIPSMUSIC","Chart 📈")</f>
        <v/>
      </c>
    </row>
    <row r="33" ht="16" customHeight="1">
      <c r="A33" s="12" t="inlineStr">
        <is>
          <t>NIFTY OIL &amp; GAS</t>
        </is>
      </c>
      <c r="B33" s="13" t="inlineStr">
        <is>
          <t>AEGISLOG</t>
        </is>
      </c>
      <c r="C33" s="14" t="n">
        <v>1404.5</v>
      </c>
      <c r="D33" s="14" t="n">
        <v>1355.76</v>
      </c>
      <c r="E33" s="14" t="n">
        <v>1292.98</v>
      </c>
      <c r="F33" s="14" t="n">
        <v>1017.67</v>
      </c>
      <c r="G33" s="15">
        <f>HYPERLINK("https://www.tradingview.com/chart/?symbol=NSE:AEGISLOG","Chart 📈")</f>
        <v/>
      </c>
    </row>
    <row r="34" ht="16" customHeight="1">
      <c r="A34" s="16" t="inlineStr">
        <is>
          <t>NIFTY OIL &amp; GAS</t>
        </is>
      </c>
      <c r="B34" s="13" t="inlineStr">
        <is>
          <t>CASTROLIND</t>
        </is>
      </c>
      <c r="C34" s="14" t="n">
        <v>193.23</v>
      </c>
      <c r="D34" s="14" t="n">
        <v>190.1</v>
      </c>
      <c r="E34" s="14" t="n">
        <v>186.58</v>
      </c>
      <c r="F34" s="14" t="n">
        <v>182.03</v>
      </c>
      <c r="G34" s="15">
        <f>HYPERLINK("https://www.tradingview.com/chart/?symbol=NSE:CASTROLIND","Chart 📈")</f>
        <v/>
      </c>
    </row>
    <row r="35" ht="16" customHeight="1">
      <c r="A35" s="8" t="inlineStr">
        <is>
          <t>NIFTY FMCG</t>
        </is>
      </c>
      <c r="B35" s="17" t="inlineStr">
        <is>
          <t>MARICO</t>
        </is>
      </c>
      <c r="C35" s="18" t="n">
        <v>832.3</v>
      </c>
      <c r="D35" s="18" t="n">
        <v>821.52</v>
      </c>
      <c r="E35" s="18" t="n">
        <v>829.5700000000001</v>
      </c>
      <c r="F35" s="18" t="n">
        <v>799.35</v>
      </c>
      <c r="G35" s="19">
        <f>HYPERLINK("https://www.tradingview.com/chart/?symbol=NSE:MARICO","Chart 📈")</f>
        <v/>
      </c>
    </row>
    <row r="36" ht="16" customHeight="1">
      <c r="A36" s="20" t="inlineStr">
        <is>
          <t>NIFTY FMCG</t>
        </is>
      </c>
      <c r="B36" s="17" t="inlineStr">
        <is>
          <t>RADICO</t>
        </is>
      </c>
      <c r="C36" s="18" t="n">
        <v>4601.9</v>
      </c>
      <c r="D36" s="18" t="n">
        <v>4479.25</v>
      </c>
      <c r="E36" s="18" t="n">
        <v>4372.94</v>
      </c>
      <c r="F36" s="18" t="n">
        <v>3730.1</v>
      </c>
      <c r="G36" s="19">
        <f>HYPERLINK("https://www.tradingview.com/chart/?symbol=NSE:RADICO","Chart 📈")</f>
        <v/>
      </c>
    </row>
    <row r="37" ht="16" customHeight="1">
      <c r="A37" s="20" t="inlineStr">
        <is>
          <t>NIFTY FMCG</t>
        </is>
      </c>
      <c r="B37" s="17" t="inlineStr">
        <is>
          <t>UNITDSPR</t>
        </is>
      </c>
      <c r="C37" s="18" t="n">
        <v>1441</v>
      </c>
      <c r="D37" s="18" t="n">
        <v>1428.92</v>
      </c>
      <c r="E37" s="18" t="n">
        <v>1439.77</v>
      </c>
      <c r="F37" s="18" t="n">
        <v>1383.83</v>
      </c>
      <c r="G37" s="19">
        <f>HYPERLINK("https://www.tradingview.com/chart/?symbol=NSE:UNITDSPR","Chart 📈")</f>
        <v/>
      </c>
    </row>
    <row r="38" ht="16" customHeight="1">
      <c r="A38" s="12" t="inlineStr">
        <is>
          <t>NIFTY AUTO</t>
        </is>
      </c>
      <c r="B38" s="13" t="inlineStr">
        <is>
          <t>BOSCHLTD</t>
        </is>
      </c>
      <c r="C38" s="14" t="n">
        <v>47955</v>
      </c>
      <c r="D38" s="14" t="n">
        <v>47655.17</v>
      </c>
      <c r="E38" s="14" t="n">
        <v>45738.65</v>
      </c>
      <c r="F38" s="14" t="n">
        <v>40591.99</v>
      </c>
      <c r="G38" s="15">
        <f>HYPERLINK("https://www.tradingview.com/chart/?symbol=NSE:BOSCHLTD","Chart 📈")</f>
        <v/>
      </c>
    </row>
    <row r="39" ht="16" customHeight="1">
      <c r="A39" s="16" t="inlineStr">
        <is>
          <t>NIFTY AUTO</t>
        </is>
      </c>
      <c r="B39" s="13" t="inlineStr">
        <is>
          <t>HEROMOTOCO</t>
        </is>
      </c>
      <c r="C39" s="14" t="n">
        <v>5394</v>
      </c>
      <c r="D39" s="14" t="n">
        <v>5360.1</v>
      </c>
      <c r="E39" s="14" t="n">
        <v>5339.49</v>
      </c>
      <c r="F39" s="14" t="n">
        <v>5252.57</v>
      </c>
      <c r="G39" s="15">
        <f>HYPERLINK("https://www.tradingview.com/chart/?symbol=NSE:HEROMOTOCO","Chart 📈")</f>
        <v/>
      </c>
    </row>
    <row r="40" ht="16" customHeight="1">
      <c r="A40" s="16" t="inlineStr">
        <is>
          <t>NIFTY AUTO</t>
        </is>
      </c>
      <c r="B40" s="13" t="inlineStr">
        <is>
          <t>MOTHERSON</t>
        </is>
      </c>
      <c r="C40" s="14" t="n">
        <v>164.4</v>
      </c>
      <c r="D40" s="14" t="n">
        <v>162.8</v>
      </c>
      <c r="E40" s="14" t="n">
        <v>159.18</v>
      </c>
      <c r="F40" s="14" t="n">
        <v>139.71</v>
      </c>
      <c r="G40" s="15">
        <f>HYPERLINK("https://www.tradingview.com/chart/?symbol=NSE:MOTHERSON","Chart 📈")</f>
        <v/>
      </c>
    </row>
    <row r="41" ht="16" customHeight="1">
      <c r="A41" s="8" t="inlineStr">
        <is>
          <t>NIFTY PSU BANK</t>
        </is>
      </c>
      <c r="B41" s="17" t="inlineStr">
        <is>
          <t>MAHABANK</t>
        </is>
      </c>
      <c r="C41" s="18" t="n">
        <v>84.11</v>
      </c>
      <c r="D41" s="18" t="n">
        <v>82.76000000000001</v>
      </c>
      <c r="E41" s="18" t="n">
        <v>82.26000000000001</v>
      </c>
      <c r="F41" s="18" t="n">
        <v>75.2</v>
      </c>
      <c r="G41" s="19">
        <f>HYPERLINK("https://www.tradingview.com/chart/?symbol=NSE:MAHABANK","Chart 📈")</f>
        <v/>
      </c>
    </row>
    <row r="42" ht="16" customHeight="1">
      <c r="A42" s="20" t="inlineStr">
        <is>
          <t>NIFTY PSU BANK</t>
        </is>
      </c>
      <c r="B42" s="17" t="inlineStr">
        <is>
          <t>PNB</t>
        </is>
      </c>
      <c r="C42" s="18" t="n">
        <v>118.3</v>
      </c>
      <c r="D42" s="18" t="n">
        <v>116.51</v>
      </c>
      <c r="E42" s="18" t="n">
        <v>114.47</v>
      </c>
      <c r="F42" s="18" t="n">
        <v>111.91</v>
      </c>
      <c r="G42" s="19">
        <f>HYPERLINK("https://www.tradingview.com/chart/?symbol=NSE:PNB","Chart 📈")</f>
        <v/>
      </c>
    </row>
    <row r="43" ht="16" customHeight="1">
      <c r="A43" s="12" t="inlineStr">
        <is>
          <t>NIFTY FINANCIAL SERVICES</t>
        </is>
      </c>
      <c r="B43" s="13" t="inlineStr">
        <is>
          <t>LICHSGFIN</t>
        </is>
      </c>
      <c r="C43" s="14" t="n">
        <v>572.5</v>
      </c>
      <c r="D43" s="14" t="n">
        <v>548.61</v>
      </c>
      <c r="E43" s="14" t="n">
        <v>536.38</v>
      </c>
      <c r="F43" s="14" t="n">
        <v>533.33</v>
      </c>
      <c r="G43" s="15">
        <f>HYPERLINK("https://www.tradingview.com/chart/?symbol=NSE:LICHSGFIN","Chart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MCX</t>
        </is>
      </c>
      <c r="C44" s="14" t="n">
        <v>3374</v>
      </c>
      <c r="D44" s="14" t="n">
        <v>3238.5</v>
      </c>
      <c r="E44" s="14" t="n">
        <v>3106.9</v>
      </c>
      <c r="F44" s="14" t="n">
        <v>2720.63</v>
      </c>
      <c r="G44" s="15">
        <f>HYPERLINK("https://www.tradingview.com/chart/?symbol=NSE:MCX","Chart 📈")</f>
        <v/>
      </c>
    </row>
    <row r="45" ht="16" customHeight="1">
      <c r="A45" s="8" t="inlineStr">
        <is>
          <t>NIFTY MIDSMALL IT &amp; TELECOM</t>
        </is>
      </c>
      <c r="B45" s="17" t="inlineStr">
        <is>
          <t>CYIENT</t>
        </is>
      </c>
      <c r="C45" s="18" t="n">
        <v>1072.2</v>
      </c>
      <c r="D45" s="18" t="n">
        <v>1053.25</v>
      </c>
      <c r="E45" s="18" t="n">
        <v>990.04</v>
      </c>
      <c r="F45" s="18" t="n">
        <v>976.01</v>
      </c>
      <c r="G45" s="19">
        <f>HYPERLINK("https://www.tradingview.com/chart/?symbol=NSE:CYIENT","Chart 📈")</f>
        <v/>
      </c>
    </row>
    <row r="46" ht="16" customHeight="1">
      <c r="A46" s="20" t="inlineStr">
        <is>
          <t>NIFTY MIDSMALL IT &amp; TELECOM</t>
        </is>
      </c>
      <c r="B46" s="17" t="inlineStr">
        <is>
          <t>IDEA</t>
        </is>
      </c>
      <c r="C46" s="18" t="n">
        <v>14.52</v>
      </c>
      <c r="D46" s="18" t="n">
        <v>14.44</v>
      </c>
      <c r="E46" s="18" t="n">
        <v>14.15</v>
      </c>
      <c r="F46" s="18" t="n">
        <v>12.48</v>
      </c>
      <c r="G46" s="19">
        <f>HYPERLINK("https://www.tradingview.com/chart/?symbol=NSE:IDEA","Chart 📈")</f>
        <v/>
      </c>
    </row>
    <row r="47" ht="16" customHeight="1">
      <c r="A47" s="12" t="inlineStr">
        <is>
          <t>NIFTY ENERGY</t>
        </is>
      </c>
      <c r="B47" s="13" t="inlineStr">
        <is>
          <t>CGPOWER</t>
        </is>
      </c>
      <c r="C47" s="14" t="n">
        <v>895</v>
      </c>
      <c r="D47" s="14" t="n">
        <v>891.78</v>
      </c>
      <c r="E47" s="14" t="n">
        <v>889.38</v>
      </c>
      <c r="F47" s="14" t="n">
        <v>830.98</v>
      </c>
      <c r="G47" s="15">
        <f>HYPERLINK("https://www.tradingview.com/chart/?symbol=NSE:CGPOWER","Chart 📈")</f>
        <v/>
      </c>
    </row>
    <row r="48" ht="16" customHeight="1">
      <c r="A48" s="16" t="inlineStr">
        <is>
          <t>NIFTY ENERGY</t>
        </is>
      </c>
      <c r="B48" s="13" t="inlineStr">
        <is>
          <t>COALINDIA</t>
        </is>
      </c>
      <c r="C48" s="14" t="n">
        <v>424.55</v>
      </c>
      <c r="D48" s="14" t="n">
        <v>417.25</v>
      </c>
      <c r="E48" s="14" t="n">
        <v>415.97</v>
      </c>
      <c r="F48" s="14" t="n">
        <v>414.89</v>
      </c>
      <c r="G48" s="15">
        <f>HYPERLINK("https://www.tradingview.com/chart/?symbol=NSE:COALINDIA","Chart 📈")</f>
        <v/>
      </c>
    </row>
    <row r="49" ht="16" customHeight="1">
      <c r="A49" s="16" t="inlineStr">
        <is>
          <t>NIFTY ENERGY</t>
        </is>
      </c>
      <c r="B49" s="13" t="inlineStr">
        <is>
          <t>GVT&amp;D</t>
        </is>
      </c>
      <c r="C49" s="14" t="n">
        <v>4417</v>
      </c>
      <c r="D49" s="14" t="n">
        <v>4386.52</v>
      </c>
      <c r="E49" s="14" t="n">
        <v>4402.75</v>
      </c>
      <c r="F49" s="14" t="n">
        <v>4108.62</v>
      </c>
      <c r="G49" s="15">
        <f>HYPERLINK("https://www.tradingview.com/chart/?symbol=NSE:GVT&amp;D","Chart 📈")</f>
        <v/>
      </c>
    </row>
    <row r="50" ht="16" customHeight="1">
      <c r="A50" s="8" t="inlineStr">
        <is>
          <t>NIFTY CONSUMER DURABLES</t>
        </is>
      </c>
      <c r="B50" s="17" t="inlineStr">
        <is>
          <t>KAJARIACER</t>
        </is>
      </c>
      <c r="C50" s="18" t="n">
        <v>1216.4</v>
      </c>
      <c r="D50" s="18" t="n">
        <v>1213.86</v>
      </c>
      <c r="E50" s="18" t="n">
        <v>1205.39</v>
      </c>
      <c r="F50" s="18" t="n">
        <v>1140.62</v>
      </c>
      <c r="G50" s="19">
        <f>HYPERLINK("https://www.tradingview.com/chart/?symbol=NSE:KAJARIACER","Chart 📈")</f>
        <v/>
      </c>
    </row>
    <row r="51" ht="16" customHeight="1">
      <c r="A51" s="12" t="inlineStr">
        <is>
          <t>NIFTY BANK</t>
        </is>
      </c>
      <c r="B51" s="13" t="inlineStr">
        <is>
          <t>IDFCFIRSTB</t>
        </is>
      </c>
      <c r="C51" s="14" t="n">
        <v>87.90000000000001</v>
      </c>
      <c r="D51" s="14" t="n">
        <v>85.84999999999999</v>
      </c>
      <c r="E51" s="14" t="n">
        <v>84.11</v>
      </c>
      <c r="F51" s="14" t="n">
        <v>78.23999999999999</v>
      </c>
      <c r="G51" s="15">
        <f>HYPERLINK("https://www.tradingview.com/chart/?symbol=NSE:IDFCFIRSTB","Chart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2026-09-23T15:28:26Z</dcterms:created>
  <dcterms:modified xmlns:dcterms="http://purl.org/dc/terms/" xmlns:xsi="http://www.w3.org/2001/XMLSchema-instance" xsi:type="dcterms:W3CDTF">2026-09-23T15:28:26Z</dcterms:modified>
</cp:coreProperties>
</file>