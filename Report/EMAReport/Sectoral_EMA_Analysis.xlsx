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23-Apr-2026  18:13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14</v>
      </c>
      <c r="D4" s="5" t="n">
        <v>14</v>
      </c>
      <c r="E4" s="5" t="n">
        <v>15</v>
      </c>
      <c r="F4" s="6" t="n">
        <v>0.9329999999999999</v>
      </c>
      <c r="G4" s="6" t="n">
        <v>0.9329999999999999</v>
      </c>
      <c r="H4" s="6" t="n">
        <v>1</v>
      </c>
      <c r="I4" s="7" t="n">
        <v>0.9553</v>
      </c>
    </row>
    <row r="5" ht="17" customHeight="1">
      <c r="A5" s="8" t="inlineStr">
        <is>
          <t>NIFTY MEDIA</t>
        </is>
      </c>
      <c r="B5" s="9" t="n">
        <v>10</v>
      </c>
      <c r="C5" s="9" t="n">
        <v>10</v>
      </c>
      <c r="D5" s="9" t="n">
        <v>10</v>
      </c>
      <c r="E5" s="9" t="n">
        <v>4</v>
      </c>
      <c r="F5" s="10" t="n">
        <v>1</v>
      </c>
      <c r="G5" s="10" t="n">
        <v>1</v>
      </c>
      <c r="H5" s="10" t="n">
        <v>0.4</v>
      </c>
      <c r="I5" s="11" t="n">
        <v>0.8</v>
      </c>
    </row>
    <row r="6" ht="17" customHeight="1">
      <c r="A6" s="4" t="inlineStr">
        <is>
          <t>NIFTY PHARMA</t>
        </is>
      </c>
      <c r="B6" s="5" t="n">
        <v>20</v>
      </c>
      <c r="C6" s="5" t="n">
        <v>15</v>
      </c>
      <c r="D6" s="5" t="n">
        <v>15</v>
      </c>
      <c r="E6" s="5" t="n">
        <v>16</v>
      </c>
      <c r="F6" s="6" t="n">
        <v>0.75</v>
      </c>
      <c r="G6" s="6" t="n">
        <v>0.75</v>
      </c>
      <c r="H6" s="6" t="n">
        <v>0.8</v>
      </c>
      <c r="I6" s="7" t="n">
        <v>0.7667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13</v>
      </c>
      <c r="D7" s="9" t="n">
        <v>13</v>
      </c>
      <c r="E7" s="9" t="n">
        <v>7</v>
      </c>
      <c r="F7" s="10" t="n">
        <v>0.867</v>
      </c>
      <c r="G7" s="10" t="n">
        <v>0.867</v>
      </c>
      <c r="H7" s="10" t="n">
        <v>0.467</v>
      </c>
      <c r="I7" s="11" t="n">
        <v>0.7337</v>
      </c>
    </row>
    <row r="8" ht="17" customHeight="1">
      <c r="A8" s="4" t="inlineStr">
        <is>
          <t>NIFTY FMCG</t>
        </is>
      </c>
      <c r="B8" s="5" t="n">
        <v>15</v>
      </c>
      <c r="C8" s="5" t="n">
        <v>14</v>
      </c>
      <c r="D8" s="5" t="n">
        <v>11</v>
      </c>
      <c r="E8" s="5" t="n">
        <v>8</v>
      </c>
      <c r="F8" s="6" t="n">
        <v>0.9329999999999999</v>
      </c>
      <c r="G8" s="6" t="n">
        <v>0.733</v>
      </c>
      <c r="H8" s="6" t="n">
        <v>0.5329999999999999</v>
      </c>
      <c r="I8" s="7" t="n">
        <v>0.733</v>
      </c>
    </row>
    <row r="9" ht="17" customHeight="1">
      <c r="A9" s="8" t="inlineStr">
        <is>
          <t>NIFTY PSU BANK</t>
        </is>
      </c>
      <c r="B9" s="9" t="n">
        <v>12</v>
      </c>
      <c r="C9" s="9" t="n">
        <v>9</v>
      </c>
      <c r="D9" s="9" t="n">
        <v>7</v>
      </c>
      <c r="E9" s="9" t="n">
        <v>7</v>
      </c>
      <c r="F9" s="10" t="n">
        <v>0.75</v>
      </c>
      <c r="G9" s="10" t="n">
        <v>0.583</v>
      </c>
      <c r="H9" s="10" t="n">
        <v>0.583</v>
      </c>
      <c r="I9" s="11" t="n">
        <v>0.6386999999999999</v>
      </c>
    </row>
    <row r="10" ht="17" customHeight="1">
      <c r="A10" s="4" t="inlineStr">
        <is>
          <t>NIFTY REALTY</t>
        </is>
      </c>
      <c r="B10" s="5" t="n">
        <v>10</v>
      </c>
      <c r="C10" s="5" t="n">
        <v>9</v>
      </c>
      <c r="D10" s="5" t="n">
        <v>8</v>
      </c>
      <c r="E10" s="5" t="n">
        <v>2</v>
      </c>
      <c r="F10" s="6" t="n">
        <v>0.9</v>
      </c>
      <c r="G10" s="6" t="n">
        <v>0.8</v>
      </c>
      <c r="H10" s="6" t="n">
        <v>0.2</v>
      </c>
      <c r="I10" s="7" t="n">
        <v>0.6333</v>
      </c>
    </row>
    <row r="11" ht="17" customHeight="1">
      <c r="A11" s="8" t="inlineStr">
        <is>
          <t>NIFTY ENERGY</t>
        </is>
      </c>
      <c r="B11" s="9" t="n">
        <v>40</v>
      </c>
      <c r="C11" s="9" t="n">
        <v>25</v>
      </c>
      <c r="D11" s="9" t="n">
        <v>25</v>
      </c>
      <c r="E11" s="9" t="n">
        <v>23</v>
      </c>
      <c r="F11" s="10" t="n">
        <v>0.625</v>
      </c>
      <c r="G11" s="10" t="n">
        <v>0.625</v>
      </c>
      <c r="H11" s="10" t="n">
        <v>0.575</v>
      </c>
      <c r="I11" s="11" t="n">
        <v>0.6083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14</v>
      </c>
      <c r="D12" s="5" t="n">
        <v>10</v>
      </c>
      <c r="E12" s="5" t="n">
        <v>3</v>
      </c>
      <c r="F12" s="6" t="n">
        <v>0.9329999999999999</v>
      </c>
      <c r="G12" s="6" t="n">
        <v>0.667</v>
      </c>
      <c r="H12" s="6" t="n">
        <v>0.2</v>
      </c>
      <c r="I12" s="7" t="n">
        <v>0.6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11</v>
      </c>
      <c r="D13" s="9" t="n">
        <v>10</v>
      </c>
      <c r="E13" s="9" t="n">
        <v>8</v>
      </c>
      <c r="F13" s="10" t="n">
        <v>0.55</v>
      </c>
      <c r="G13" s="10" t="n">
        <v>0.5</v>
      </c>
      <c r="H13" s="10" t="n">
        <v>0.4</v>
      </c>
      <c r="I13" s="11" t="n">
        <v>0.4833</v>
      </c>
    </row>
    <row r="14" ht="17" customHeight="1">
      <c r="A14" s="4" t="inlineStr">
        <is>
          <t>NIFTY AUTO</t>
        </is>
      </c>
      <c r="B14" s="5" t="n">
        <v>15</v>
      </c>
      <c r="C14" s="5" t="n">
        <v>7</v>
      </c>
      <c r="D14" s="5" t="n">
        <v>6</v>
      </c>
      <c r="E14" s="5" t="n">
        <v>7</v>
      </c>
      <c r="F14" s="6" t="n">
        <v>0.467</v>
      </c>
      <c r="G14" s="6" t="n">
        <v>0.4</v>
      </c>
      <c r="H14" s="6" t="n">
        <v>0.467</v>
      </c>
      <c r="I14" s="7" t="n">
        <v>0.4447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12</v>
      </c>
      <c r="D15" s="9" t="n">
        <v>7</v>
      </c>
      <c r="E15" s="9" t="n">
        <v>3</v>
      </c>
      <c r="F15" s="10" t="n">
        <v>0.6</v>
      </c>
      <c r="G15" s="10" t="n">
        <v>0.35</v>
      </c>
      <c r="H15" s="10" t="n">
        <v>0.15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3</v>
      </c>
      <c r="E16" s="5" t="n">
        <v>3</v>
      </c>
      <c r="F16" s="6" t="n">
        <v>0.333</v>
      </c>
      <c r="G16" s="6" t="n">
        <v>0.25</v>
      </c>
      <c r="H16" s="6" t="n">
        <v>0.25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0</v>
      </c>
      <c r="E17" s="9" t="n">
        <v>0</v>
      </c>
      <c r="F17" s="10" t="n">
        <v>0.2</v>
      </c>
      <c r="G17" s="10" t="n">
        <v>0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2300</v>
      </c>
      <c r="D3" s="14" t="n">
        <v>2105.58</v>
      </c>
      <c r="E3" s="14" t="n">
        <v>2084.09</v>
      </c>
      <c r="F3" s="14" t="n">
        <v>2238.67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1041.35</v>
      </c>
      <c r="D4" s="14" t="n">
        <v>982.4299999999999</v>
      </c>
      <c r="E4" s="14" t="n">
        <v>949.16</v>
      </c>
      <c r="F4" s="14" t="n">
        <v>847.2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549.45</v>
      </c>
      <c r="D5" s="14" t="n">
        <v>533.55</v>
      </c>
      <c r="E5" s="14" t="n">
        <v>527.26</v>
      </c>
      <c r="F5" s="14" t="n">
        <v>429.67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592.1</v>
      </c>
      <c r="D6" s="14" t="n">
        <v>568.96</v>
      </c>
      <c r="E6" s="14" t="n">
        <v>570.75</v>
      </c>
      <c r="F6" s="14" t="n">
        <v>536.3099999999999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1254.5</v>
      </c>
      <c r="D7" s="14" t="n">
        <v>1218.74</v>
      </c>
      <c r="E7" s="14" t="n">
        <v>1182.7</v>
      </c>
      <c r="F7" s="14" t="n">
        <v>1084.32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775.8</v>
      </c>
      <c r="D8" s="14" t="n">
        <v>762.25</v>
      </c>
      <c r="E8" s="14" t="n">
        <v>758.97</v>
      </c>
      <c r="F8" s="14" t="n">
        <v>741.84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1257</v>
      </c>
      <c r="D9" s="14" t="n">
        <v>1214.28</v>
      </c>
      <c r="E9" s="14" t="n">
        <v>1199.59</v>
      </c>
      <c r="F9" s="14" t="n">
        <v>1149.75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439.25</v>
      </c>
      <c r="D10" s="14" t="n">
        <v>412.88</v>
      </c>
      <c r="E10" s="14" t="n">
        <v>387.64</v>
      </c>
      <c r="F10" s="14" t="n">
        <v>300.61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87.31</v>
      </c>
      <c r="D11" s="14" t="n">
        <v>84.54000000000001</v>
      </c>
      <c r="E11" s="14" t="n">
        <v>81.81999999999999</v>
      </c>
      <c r="F11" s="14" t="n">
        <v>76.16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2459.8</v>
      </c>
      <c r="D12" s="14" t="n">
        <v>2356.66</v>
      </c>
      <c r="E12" s="14" t="n">
        <v>2319.66</v>
      </c>
      <c r="F12" s="14" t="n">
        <v>2385.37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176.45</v>
      </c>
      <c r="D13" s="14" t="n">
        <v>165.83</v>
      </c>
      <c r="E13" s="14" t="n">
        <v>159.21</v>
      </c>
      <c r="F13" s="14" t="n">
        <v>143.64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210.91</v>
      </c>
      <c r="D14" s="14" t="n">
        <v>205.11</v>
      </c>
      <c r="E14" s="14" t="n">
        <v>199.75</v>
      </c>
      <c r="F14" s="14" t="n">
        <v>181.12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735.6</v>
      </c>
      <c r="D15" s="14" t="n">
        <v>731.39</v>
      </c>
      <c r="E15" s="14" t="n">
        <v>697.89</v>
      </c>
      <c r="F15" s="14" t="n">
        <v>581.3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1204.1</v>
      </c>
      <c r="D16" s="14" t="n">
        <v>992.76</v>
      </c>
      <c r="E16" s="14" t="n">
        <v>901.53</v>
      </c>
      <c r="F16" s="14" t="n">
        <v>847.21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MEDIA</t>
        </is>
      </c>
      <c r="B17" s="17" t="inlineStr">
        <is>
          <t>DISHTV</t>
        </is>
      </c>
      <c r="C17" s="18" t="n">
        <v>4.02</v>
      </c>
      <c r="D17" s="18" t="n">
        <v>3.25</v>
      </c>
      <c r="E17" s="18" t="n">
        <v>3.1</v>
      </c>
      <c r="F17" s="18" t="n">
        <v>3.92</v>
      </c>
      <c r="G17" s="19">
        <f>HYPERLINK("https://www.tradingview.com/chart/?symbol=NSE:DISHTV","Chart 📈")</f>
        <v/>
      </c>
    </row>
    <row r="18" ht="16" customHeight="1">
      <c r="A18" s="20" t="inlineStr">
        <is>
          <t>NIFTY MEDIA</t>
        </is>
      </c>
      <c r="B18" s="17" t="inlineStr">
        <is>
          <t>NAZARA</t>
        </is>
      </c>
      <c r="C18" s="18" t="n">
        <v>272.16</v>
      </c>
      <c r="D18" s="18" t="n">
        <v>256.55</v>
      </c>
      <c r="E18" s="18" t="n">
        <v>255.05</v>
      </c>
      <c r="F18" s="18" t="n">
        <v>266.3</v>
      </c>
      <c r="G18" s="19">
        <f>HYPERLINK("https://www.tradingview.com/chart/?symbol=NSE:NAZARA","Chart 📈")</f>
        <v/>
      </c>
    </row>
    <row r="19" ht="16" customHeight="1">
      <c r="A19" s="20" t="inlineStr">
        <is>
          <t>NIFTY MEDIA</t>
        </is>
      </c>
      <c r="B19" s="17" t="inlineStr">
        <is>
          <t>SUNTV</t>
        </is>
      </c>
      <c r="C19" s="18" t="n">
        <v>625.85</v>
      </c>
      <c r="D19" s="18" t="n">
        <v>616.3</v>
      </c>
      <c r="E19" s="18" t="n">
        <v>597.91</v>
      </c>
      <c r="F19" s="18" t="n">
        <v>582.0700000000001</v>
      </c>
      <c r="G19" s="19">
        <f>HYPERLINK("https://www.tradingview.com/chart/?symbol=NSE:SUNTV","Chart 📈")</f>
        <v/>
      </c>
    </row>
    <row r="20" ht="16" customHeight="1">
      <c r="A20" s="20" t="inlineStr">
        <is>
          <t>NIFTY MEDIA</t>
        </is>
      </c>
      <c r="B20" s="17" t="inlineStr">
        <is>
          <t>TIPSMUSIC</t>
        </is>
      </c>
      <c r="C20" s="18" t="n">
        <v>647.7</v>
      </c>
      <c r="D20" s="18" t="n">
        <v>561.21</v>
      </c>
      <c r="E20" s="18" t="n">
        <v>543.97</v>
      </c>
      <c r="F20" s="18" t="n">
        <v>555.99</v>
      </c>
      <c r="G20" s="19">
        <f>HYPERLINK("https://www.tradingview.com/chart/?symbol=NSE:TIPSMUSIC","Chart 📈")</f>
        <v/>
      </c>
    </row>
    <row r="21" ht="16" customHeight="1">
      <c r="A21" s="12" t="inlineStr">
        <is>
          <t>NIFTY PHARMA</t>
        </is>
      </c>
      <c r="B21" s="13" t="inlineStr">
        <is>
          <t>ALKEM</t>
        </is>
      </c>
      <c r="C21" s="14" t="n">
        <v>5520.5</v>
      </c>
      <c r="D21" s="14" t="n">
        <v>5473.21</v>
      </c>
      <c r="E21" s="14" t="n">
        <v>5470.67</v>
      </c>
      <c r="F21" s="14" t="n">
        <v>5423.4</v>
      </c>
      <c r="G21" s="15">
        <f>HYPERLINK("https://www.tradingview.com/chart/?symbol=NSE:ALKEM","Chart 📈")</f>
        <v/>
      </c>
    </row>
    <row r="22" ht="16" customHeight="1">
      <c r="A22" s="16" t="inlineStr">
        <is>
          <t>NIFTY PHARMA</t>
        </is>
      </c>
      <c r="B22" s="13" t="inlineStr">
        <is>
          <t>AUROPHARMA</t>
        </is>
      </c>
      <c r="C22" s="14" t="n">
        <v>1435.4</v>
      </c>
      <c r="D22" s="14" t="n">
        <v>1353.35</v>
      </c>
      <c r="E22" s="14" t="n">
        <v>1293.59</v>
      </c>
      <c r="F22" s="14" t="n">
        <v>1211.17</v>
      </c>
      <c r="G22" s="15">
        <f>HYPERLINK("https://www.tradingview.com/chart/?symbol=NSE:AUROPHARMA","Chart 📈")</f>
        <v/>
      </c>
    </row>
    <row r="23" ht="16" customHeight="1">
      <c r="A23" s="16" t="inlineStr">
        <is>
          <t>NIFTY PHARMA</t>
        </is>
      </c>
      <c r="B23" s="13" t="inlineStr">
        <is>
          <t>DIVISLAB</t>
        </is>
      </c>
      <c r="C23" s="14" t="n">
        <v>6378.5</v>
      </c>
      <c r="D23" s="14" t="n">
        <v>6157.11</v>
      </c>
      <c r="E23" s="14" t="n">
        <v>6167.28</v>
      </c>
      <c r="F23" s="14" t="n">
        <v>6240.12</v>
      </c>
      <c r="G23" s="15">
        <f>HYPERLINK("https://www.tradingview.com/chart/?symbol=NSE:DIVISLAB","Chart 📈")</f>
        <v/>
      </c>
    </row>
    <row r="24" ht="16" customHeight="1">
      <c r="A24" s="16" t="inlineStr">
        <is>
          <t>NIFTY PHARMA</t>
        </is>
      </c>
      <c r="B24" s="13" t="inlineStr">
        <is>
          <t>DRREDDY</t>
        </is>
      </c>
      <c r="C24" s="14" t="n">
        <v>1331</v>
      </c>
      <c r="D24" s="14" t="n">
        <v>1244.99</v>
      </c>
      <c r="E24" s="14" t="n">
        <v>1253.31</v>
      </c>
      <c r="F24" s="14" t="n">
        <v>1248.7</v>
      </c>
      <c r="G24" s="15">
        <f>HYPERLINK("https://www.tradingview.com/chart/?symbol=NSE:DRREDDY","Chart 📈")</f>
        <v/>
      </c>
    </row>
    <row r="25" ht="16" customHeight="1">
      <c r="A25" s="16" t="inlineStr">
        <is>
          <t>NIFTY PHARMA</t>
        </is>
      </c>
      <c r="B25" s="13" t="inlineStr">
        <is>
          <t>GLAND</t>
        </is>
      </c>
      <c r="C25" s="14" t="n">
        <v>1795.4</v>
      </c>
      <c r="D25" s="14" t="n">
        <v>1745.87</v>
      </c>
      <c r="E25" s="14" t="n">
        <v>1739.1</v>
      </c>
      <c r="F25" s="14" t="n">
        <v>1748.08</v>
      </c>
      <c r="G25" s="15">
        <f>HYPERLINK("https://www.tradingview.com/chart/?symbol=NSE:GLAND","Chart 📈")</f>
        <v/>
      </c>
    </row>
    <row r="26" ht="16" customHeight="1">
      <c r="A26" s="16" t="inlineStr">
        <is>
          <t>NIFTY PHARMA</t>
        </is>
      </c>
      <c r="B26" s="13" t="inlineStr">
        <is>
          <t>GLENMARK</t>
        </is>
      </c>
      <c r="C26" s="14" t="n">
        <v>2335</v>
      </c>
      <c r="D26" s="14" t="n">
        <v>2200.79</v>
      </c>
      <c r="E26" s="14" t="n">
        <v>2138.74</v>
      </c>
      <c r="F26" s="14" t="n">
        <v>1966.87</v>
      </c>
      <c r="G26" s="15">
        <f>HYPERLINK("https://www.tradingview.com/chart/?symbol=NSE:GLENMARK","Chart 📈")</f>
        <v/>
      </c>
    </row>
    <row r="27" ht="16" customHeight="1">
      <c r="A27" s="16" t="inlineStr">
        <is>
          <t>NIFTY PHARMA</t>
        </is>
      </c>
      <c r="B27" s="13" t="inlineStr">
        <is>
          <t>GRANULES</t>
        </is>
      </c>
      <c r="C27" s="14" t="n">
        <v>686.95</v>
      </c>
      <c r="D27" s="14" t="n">
        <v>641.3200000000001</v>
      </c>
      <c r="E27" s="14" t="n">
        <v>614.2</v>
      </c>
      <c r="F27" s="14" t="n">
        <v>565.41</v>
      </c>
      <c r="G27" s="15">
        <f>HYPERLINK("https://www.tradingview.com/chart/?symbol=NSE:GRANULES","Chart 📈")</f>
        <v/>
      </c>
    </row>
    <row r="28" ht="16" customHeight="1">
      <c r="A28" s="16" t="inlineStr">
        <is>
          <t>NIFTY PHARMA</t>
        </is>
      </c>
      <c r="B28" s="13" t="inlineStr">
        <is>
          <t>IPCALAB</t>
        </is>
      </c>
      <c r="C28" s="14" t="n">
        <v>1526.1</v>
      </c>
      <c r="D28" s="14" t="n">
        <v>1490.03</v>
      </c>
      <c r="E28" s="14" t="n">
        <v>1490.49</v>
      </c>
      <c r="F28" s="14" t="n">
        <v>1449.33</v>
      </c>
      <c r="G28" s="15">
        <f>HYPERLINK("https://www.tradingview.com/chart/?symbol=NSE:IPCALAB","Chart 📈")</f>
        <v/>
      </c>
    </row>
    <row r="29" ht="16" customHeight="1">
      <c r="A29" s="16" t="inlineStr">
        <is>
          <t>NIFTY PHARMA</t>
        </is>
      </c>
      <c r="B29" s="13" t="inlineStr">
        <is>
          <t>JBCHEPHARM</t>
        </is>
      </c>
      <c r="C29" s="14" t="n">
        <v>2011.5</v>
      </c>
      <c r="D29" s="14" t="n">
        <v>2005.13</v>
      </c>
      <c r="E29" s="14" t="n">
        <v>1994.22</v>
      </c>
      <c r="F29" s="14" t="n">
        <v>1844.78</v>
      </c>
      <c r="G29" s="15">
        <f>HYPERLINK("https://www.tradingview.com/chart/?symbol=NSE:JBCHEPHARM","Chart 📈")</f>
        <v/>
      </c>
    </row>
    <row r="30" ht="16" customHeight="1">
      <c r="A30" s="16" t="inlineStr">
        <is>
          <t>NIFTY PHARMA</t>
        </is>
      </c>
      <c r="B30" s="13" t="inlineStr">
        <is>
          <t>LAURUSLABS</t>
        </is>
      </c>
      <c r="C30" s="14" t="n">
        <v>1129</v>
      </c>
      <c r="D30" s="14" t="n">
        <v>1081.59</v>
      </c>
      <c r="E30" s="14" t="n">
        <v>1050.83</v>
      </c>
      <c r="F30" s="14" t="n">
        <v>954.28</v>
      </c>
      <c r="G30" s="15">
        <f>HYPERLINK("https://www.tradingview.com/chart/?symbol=NSE:LAURUSLABS","Chart 📈")</f>
        <v/>
      </c>
    </row>
    <row r="31" ht="16" customHeight="1">
      <c r="A31" s="16" t="inlineStr">
        <is>
          <t>NIFTY PHARMA</t>
        </is>
      </c>
      <c r="B31" s="13" t="inlineStr">
        <is>
          <t>LUPIN</t>
        </is>
      </c>
      <c r="C31" s="14" t="n">
        <v>2341.4</v>
      </c>
      <c r="D31" s="14" t="n">
        <v>2313.78</v>
      </c>
      <c r="E31" s="14" t="n">
        <v>2279.79</v>
      </c>
      <c r="F31" s="14" t="n">
        <v>2144.22</v>
      </c>
      <c r="G31" s="15">
        <f>HYPERLINK("https://www.tradingview.com/chart/?symbol=NSE:LUPIN","Chart 📈")</f>
        <v/>
      </c>
    </row>
    <row r="32" ht="16" customHeight="1">
      <c r="A32" s="16" t="inlineStr">
        <is>
          <t>NIFTY PHARMA</t>
        </is>
      </c>
      <c r="B32" s="13" t="inlineStr">
        <is>
          <t>MANKIND</t>
        </is>
      </c>
      <c r="C32" s="14" t="n">
        <v>2292.9</v>
      </c>
      <c r="D32" s="14" t="n">
        <v>2123.1</v>
      </c>
      <c r="E32" s="14" t="n">
        <v>2117.09</v>
      </c>
      <c r="F32" s="14" t="n">
        <v>2254.23</v>
      </c>
      <c r="G32" s="15">
        <f>HYPERLINK("https://www.tradingview.com/chart/?symbol=NSE:MANKIND","Chart 📈")</f>
        <v/>
      </c>
    </row>
    <row r="33" ht="16" customHeight="1">
      <c r="A33" s="16" t="inlineStr">
        <is>
          <t>NIFTY PHARMA</t>
        </is>
      </c>
      <c r="B33" s="13" t="inlineStr">
        <is>
          <t>NATCOPHARM</t>
        </is>
      </c>
      <c r="C33" s="14" t="n">
        <v>1071.45</v>
      </c>
      <c r="D33" s="14" t="n">
        <v>1053.36</v>
      </c>
      <c r="E33" s="14" t="n">
        <v>996.4299999999999</v>
      </c>
      <c r="F33" s="14" t="n">
        <v>914.22</v>
      </c>
      <c r="G33" s="15">
        <f>HYPERLINK("https://www.tradingview.com/chart/?symbol=NSE:NATCOPHARM","Chart 📈")</f>
        <v/>
      </c>
    </row>
    <row r="34" ht="16" customHeight="1">
      <c r="A34" s="16" t="inlineStr">
        <is>
          <t>NIFTY PHARMA</t>
        </is>
      </c>
      <c r="B34" s="13" t="inlineStr">
        <is>
          <t>ZYDUSLIFE</t>
        </is>
      </c>
      <c r="C34" s="14" t="n">
        <v>946.35</v>
      </c>
      <c r="D34" s="14" t="n">
        <v>915.5700000000001</v>
      </c>
      <c r="E34" s="14" t="n">
        <v>908.42</v>
      </c>
      <c r="F34" s="14" t="n">
        <v>920.6</v>
      </c>
      <c r="G34" s="15">
        <f>HYPERLINK("https://www.tradingview.com/chart/?symbol=NSE:ZYDUSLIFE","Chart 📈")</f>
        <v/>
      </c>
    </row>
    <row r="35" ht="16" customHeight="1">
      <c r="A35" s="8" t="inlineStr">
        <is>
          <t>NIFTY CONSUMER DURABLES</t>
        </is>
      </c>
      <c r="B35" s="17" t="inlineStr">
        <is>
          <t>AMBER</t>
        </is>
      </c>
      <c r="C35" s="18" t="n">
        <v>7795</v>
      </c>
      <c r="D35" s="18" t="n">
        <v>7332.53</v>
      </c>
      <c r="E35" s="18" t="n">
        <v>7131.7</v>
      </c>
      <c r="F35" s="18" t="n">
        <v>7070.39</v>
      </c>
      <c r="G35" s="19">
        <f>HYPERLINK("https://www.tradingview.com/chart/?symbol=NSE:AMBER","Chart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BLUESTARCO</t>
        </is>
      </c>
      <c r="C36" s="18" t="n">
        <v>1829.8</v>
      </c>
      <c r="D36" s="18" t="n">
        <v>1777.56</v>
      </c>
      <c r="E36" s="18" t="n">
        <v>1790.5</v>
      </c>
      <c r="F36" s="18" t="n">
        <v>1817.64</v>
      </c>
      <c r="G36" s="19">
        <f>HYPERLINK("https://www.tradingview.com/chart/?symbol=NSE:BLUESTARCO","Chart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CENTURYPLY</t>
        </is>
      </c>
      <c r="C37" s="18" t="n">
        <v>787.2</v>
      </c>
      <c r="D37" s="18" t="n">
        <v>738.5599999999999</v>
      </c>
      <c r="E37" s="18" t="n">
        <v>734.99</v>
      </c>
      <c r="F37" s="18" t="n">
        <v>753.52</v>
      </c>
      <c r="G37" s="19">
        <f>HYPERLINK("https://www.tradingview.com/chart/?symbol=NSE:CENTURYPLY","Chart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CERA</t>
        </is>
      </c>
      <c r="C38" s="18" t="n">
        <v>5469.8</v>
      </c>
      <c r="D38" s="18" t="n">
        <v>5115.86</v>
      </c>
      <c r="E38" s="18" t="n">
        <v>5027.3</v>
      </c>
      <c r="F38" s="18" t="n">
        <v>5434.57</v>
      </c>
      <c r="G38" s="19">
        <f>HYPERLINK("https://www.tradingview.com/chart/?symbol=NSE:CERA","Chart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KAJARIACER</t>
        </is>
      </c>
      <c r="C39" s="18" t="n">
        <v>1191.9</v>
      </c>
      <c r="D39" s="18" t="n">
        <v>1094.36</v>
      </c>
      <c r="E39" s="18" t="n">
        <v>1030.13</v>
      </c>
      <c r="F39" s="18" t="n">
        <v>1026.02</v>
      </c>
      <c r="G39" s="19">
        <f>HYPERLINK("https://www.tradingview.com/chart/?symbol=NSE:KAJARIACER","Chart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TITAN</t>
        </is>
      </c>
      <c r="C40" s="18" t="n">
        <v>4456.5</v>
      </c>
      <c r="D40" s="18" t="n">
        <v>4355.48</v>
      </c>
      <c r="E40" s="18" t="n">
        <v>4240.59</v>
      </c>
      <c r="F40" s="18" t="n">
        <v>3930.28</v>
      </c>
      <c r="G40" s="19">
        <f>HYPERLINK("https://www.tradingview.com/chart/?symbol=NSE:TITAN","Chart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VOLTAS</t>
        </is>
      </c>
      <c r="C41" s="18" t="n">
        <v>1445.5</v>
      </c>
      <c r="D41" s="18" t="n">
        <v>1385.78</v>
      </c>
      <c r="E41" s="18" t="n">
        <v>1392.51</v>
      </c>
      <c r="F41" s="18" t="n">
        <v>1379.9</v>
      </c>
      <c r="G41" s="19">
        <f>HYPERLINK("https://www.tradingview.com/chart/?symbol=NSE:VOLTAS","Chart 📈")</f>
        <v/>
      </c>
    </row>
    <row r="42" ht="16" customHeight="1">
      <c r="A42" s="12" t="inlineStr">
        <is>
          <t>NIFTY FMCG</t>
        </is>
      </c>
      <c r="B42" s="13" t="inlineStr">
        <is>
          <t>BALRAMCHIN</t>
        </is>
      </c>
      <c r="C42" s="14" t="n">
        <v>540.3</v>
      </c>
      <c r="D42" s="14" t="n">
        <v>497.93</v>
      </c>
      <c r="E42" s="14" t="n">
        <v>482.12</v>
      </c>
      <c r="F42" s="14" t="n">
        <v>489.48</v>
      </c>
      <c r="G42" s="15">
        <f>HYPERLINK("https://www.tradingview.com/chart/?symbol=NSE:BALRAMCHIN","Chart 📈")</f>
        <v/>
      </c>
    </row>
    <row r="43" ht="16" customHeight="1">
      <c r="A43" s="16" t="inlineStr">
        <is>
          <t>NIFTY FMCG</t>
        </is>
      </c>
      <c r="B43" s="13" t="inlineStr">
        <is>
          <t>HINDUNILVR</t>
        </is>
      </c>
      <c r="C43" s="14" t="n">
        <v>2366.4</v>
      </c>
      <c r="D43" s="14" t="n">
        <v>2205.9</v>
      </c>
      <c r="E43" s="14" t="n">
        <v>2224.07</v>
      </c>
      <c r="F43" s="14" t="n">
        <v>2334.82</v>
      </c>
      <c r="G43" s="15">
        <f>HYPERLINK("https://www.tradingview.com/chart/?symbol=NSE:HINDUNILVR","Chart 📈")</f>
        <v/>
      </c>
    </row>
    <row r="44" ht="16" customHeight="1">
      <c r="A44" s="16" t="inlineStr">
        <is>
          <t>NIFTY FMCG</t>
        </is>
      </c>
      <c r="B44" s="13" t="inlineStr">
        <is>
          <t>MARICO</t>
        </is>
      </c>
      <c r="C44" s="14" t="n">
        <v>778.9</v>
      </c>
      <c r="D44" s="14" t="n">
        <v>758.65</v>
      </c>
      <c r="E44" s="14" t="n">
        <v>757.86</v>
      </c>
      <c r="F44" s="14" t="n">
        <v>740.9400000000001</v>
      </c>
      <c r="G44" s="15">
        <f>HYPERLINK("https://www.tradingview.com/chart/?symbol=NSE:MARICO","Chart 📈")</f>
        <v/>
      </c>
    </row>
    <row r="45" ht="16" customHeight="1">
      <c r="A45" s="16" t="inlineStr">
        <is>
          <t>NIFTY FMCG</t>
        </is>
      </c>
      <c r="B45" s="13" t="inlineStr">
        <is>
          <t>NESTLEIND</t>
        </is>
      </c>
      <c r="C45" s="14" t="n">
        <v>1410.5</v>
      </c>
      <c r="D45" s="14" t="n">
        <v>1277.96</v>
      </c>
      <c r="E45" s="14" t="n">
        <v>1260.79</v>
      </c>
      <c r="F45" s="14" t="n">
        <v>1241.13</v>
      </c>
      <c r="G45" s="15">
        <f>HYPERLINK("https://www.tradingview.com/chart/?symbol=NSE:NESTLEIND","Chart 📈")</f>
        <v/>
      </c>
    </row>
    <row r="46" ht="16" customHeight="1">
      <c r="A46" s="16" t="inlineStr">
        <is>
          <t>NIFTY FMCG</t>
        </is>
      </c>
      <c r="B46" s="13" t="inlineStr">
        <is>
          <t>RADICO</t>
        </is>
      </c>
      <c r="C46" s="14" t="n">
        <v>3199.2</v>
      </c>
      <c r="D46" s="14" t="n">
        <v>2950.88</v>
      </c>
      <c r="E46" s="14" t="n">
        <v>2865.62</v>
      </c>
      <c r="F46" s="14" t="n">
        <v>2866.12</v>
      </c>
      <c r="G46" s="15">
        <f>HYPERLINK("https://www.tradingview.com/chart/?symbol=NSE:RADICO","Chart 📈")</f>
        <v/>
      </c>
    </row>
    <row r="47" ht="16" customHeight="1">
      <c r="A47" s="16" t="inlineStr">
        <is>
          <t>NIFTY FMCG</t>
        </is>
      </c>
      <c r="B47" s="13" t="inlineStr">
        <is>
          <t>TATACONSUM</t>
        </is>
      </c>
      <c r="C47" s="14" t="n">
        <v>1184.4</v>
      </c>
      <c r="D47" s="14" t="n">
        <v>1106.2</v>
      </c>
      <c r="E47" s="14" t="n">
        <v>1108.34</v>
      </c>
      <c r="F47" s="14" t="n">
        <v>1128.02</v>
      </c>
      <c r="G47" s="15">
        <f>HYPERLINK("https://www.tradingview.com/chart/?symbol=NSE:TATACONSUM","Chart 📈")</f>
        <v/>
      </c>
    </row>
    <row r="48" ht="16" customHeight="1">
      <c r="A48" s="16" t="inlineStr">
        <is>
          <t>NIFTY FMCG</t>
        </is>
      </c>
      <c r="B48" s="13" t="inlineStr">
        <is>
          <t>UNITDSPR</t>
        </is>
      </c>
      <c r="C48" s="14" t="n">
        <v>1382.3</v>
      </c>
      <c r="D48" s="14" t="n">
        <v>1304.84</v>
      </c>
      <c r="E48" s="14" t="n">
        <v>1321.02</v>
      </c>
      <c r="F48" s="14" t="n">
        <v>1375.74</v>
      </c>
      <c r="G48" s="15">
        <f>HYPERLINK("https://www.tradingview.com/chart/?symbol=NSE:UNITDSPR","Chart 📈")</f>
        <v/>
      </c>
    </row>
    <row r="49" ht="16" customHeight="1">
      <c r="A49" s="16" t="inlineStr">
        <is>
          <t>NIFTY FMCG</t>
        </is>
      </c>
      <c r="B49" s="13" t="inlineStr">
        <is>
          <t>VBL</t>
        </is>
      </c>
      <c r="C49" s="14" t="n">
        <v>484.25</v>
      </c>
      <c r="D49" s="14" t="n">
        <v>445.35</v>
      </c>
      <c r="E49" s="14" t="n">
        <v>440.85</v>
      </c>
      <c r="F49" s="14" t="n">
        <v>465.45</v>
      </c>
      <c r="G49" s="15">
        <f>HYPERLINK("https://www.tradingview.com/chart/?symbol=NSE:VBL","Chart 📈")</f>
        <v/>
      </c>
    </row>
    <row r="50" ht="16" customHeight="1">
      <c r="A50" s="8" t="inlineStr">
        <is>
          <t>NIFTY PSU BANK</t>
        </is>
      </c>
      <c r="B50" s="17" t="inlineStr">
        <is>
          <t>MAHABANK</t>
        </is>
      </c>
      <c r="C50" s="18" t="n">
        <v>77.31</v>
      </c>
      <c r="D50" s="18" t="n">
        <v>71.53</v>
      </c>
      <c r="E50" s="18" t="n">
        <v>68.39</v>
      </c>
      <c r="F50" s="18" t="n">
        <v>61.32</v>
      </c>
      <c r="G50" s="19">
        <f>HYPERLINK("https://www.tradingview.com/chart/?symbol=NSE:MAHABANK","Chart 📈")</f>
        <v/>
      </c>
    </row>
    <row r="51" ht="16" customHeight="1">
      <c r="A51" s="20" t="inlineStr">
        <is>
          <t>NIFTY PSU BANK</t>
        </is>
      </c>
      <c r="B51" s="17" t="inlineStr">
        <is>
          <t>SBIN</t>
        </is>
      </c>
      <c r="C51" s="18" t="n">
        <v>1094.25</v>
      </c>
      <c r="D51" s="18" t="n">
        <v>1075.58</v>
      </c>
      <c r="E51" s="18" t="n">
        <v>1076.53</v>
      </c>
      <c r="F51" s="18" t="n">
        <v>985.95</v>
      </c>
      <c r="G51" s="19">
        <f>HYPERLINK("https://www.tradingview.com/chart/?symbol=NSE:SBIN","Chart 📈")</f>
        <v/>
      </c>
    </row>
    <row r="52" ht="16" customHeight="1">
      <c r="A52" s="12" t="inlineStr">
        <is>
          <t>NIFTY REALTY</t>
        </is>
      </c>
      <c r="B52" s="13" t="inlineStr">
        <is>
          <t>OBEROIRLTY</t>
        </is>
      </c>
      <c r="C52" s="14" t="n">
        <v>1707.7</v>
      </c>
      <c r="D52" s="14" t="n">
        <v>1628.93</v>
      </c>
      <c r="E52" s="14" t="n">
        <v>1578.47</v>
      </c>
      <c r="F52" s="14" t="n">
        <v>1619.32</v>
      </c>
      <c r="G52" s="15">
        <f>HYPERLINK("https://www.tradingview.com/chart/?symbol=NSE:OBEROIRLTY","Chart 📈")</f>
        <v/>
      </c>
    </row>
    <row r="53" ht="16" customHeight="1">
      <c r="A53" s="16" t="inlineStr">
        <is>
          <t>NIFTY REALTY</t>
        </is>
      </c>
      <c r="B53" s="13" t="inlineStr">
        <is>
          <t>PHOENIXLTD</t>
        </is>
      </c>
      <c r="C53" s="14" t="n">
        <v>1785.3</v>
      </c>
      <c r="D53" s="14" t="n">
        <v>1708.14</v>
      </c>
      <c r="E53" s="14" t="n">
        <v>1684.58</v>
      </c>
      <c r="F53" s="14" t="n">
        <v>1677.45</v>
      </c>
      <c r="G53" s="15">
        <f>HYPERLINK("https://www.tradingview.com/chart/?symbol=NSE:PHOENIXLTD","Chart 📈")</f>
        <v/>
      </c>
    </row>
    <row r="54" ht="16" customHeight="1">
      <c r="A54" s="8" t="inlineStr">
        <is>
          <t>NIFTY ENERGY</t>
        </is>
      </c>
      <c r="B54" s="17" t="inlineStr">
        <is>
          <t>ABB</t>
        </is>
      </c>
      <c r="C54" s="18" t="n">
        <v>7575.5</v>
      </c>
      <c r="D54" s="18" t="n">
        <v>6791.72</v>
      </c>
      <c r="E54" s="18" t="n">
        <v>6320.04</v>
      </c>
      <c r="F54" s="18" t="n">
        <v>5711.61</v>
      </c>
      <c r="G54" s="19">
        <f>HYPERLINK("https://www.tradingview.com/chart/?symbol=NSE:ABB","Chart 📈")</f>
        <v/>
      </c>
    </row>
    <row r="55" ht="16" customHeight="1">
      <c r="A55" s="20" t="inlineStr">
        <is>
          <t>NIFTY ENERGY</t>
        </is>
      </c>
      <c r="B55" s="17" t="inlineStr">
        <is>
          <t>ADANIENSOL</t>
        </is>
      </c>
      <c r="C55" s="18" t="n">
        <v>1361.25</v>
      </c>
      <c r="D55" s="18" t="n">
        <v>1157.4</v>
      </c>
      <c r="E55" s="18" t="n">
        <v>1069.88</v>
      </c>
      <c r="F55" s="18" t="n">
        <v>977.75</v>
      </c>
      <c r="G55" s="19">
        <f>HYPERLINK("https://www.tradingview.com/chart/?symbol=NSE:ADANIENSOL","Chart 📈")</f>
        <v/>
      </c>
    </row>
    <row r="56" ht="16" customHeight="1">
      <c r="A56" s="20" t="inlineStr">
        <is>
          <t>NIFTY ENERGY</t>
        </is>
      </c>
      <c r="B56" s="17" t="inlineStr">
        <is>
          <t>ADANIGREEN</t>
        </is>
      </c>
      <c r="C56" s="18" t="n">
        <v>1214.15</v>
      </c>
      <c r="D56" s="18" t="n">
        <v>1048.81</v>
      </c>
      <c r="E56" s="18" t="n">
        <v>982.8099999999999</v>
      </c>
      <c r="F56" s="18" t="n">
        <v>976.98</v>
      </c>
      <c r="G56" s="19">
        <f>HYPERLINK("https://www.tradingview.com/chart/?symbol=NSE:ADANIGREEN","Chart 📈")</f>
        <v/>
      </c>
    </row>
    <row r="57" ht="16" customHeight="1">
      <c r="A57" s="20" t="inlineStr">
        <is>
          <t>NIFTY ENERGY</t>
        </is>
      </c>
      <c r="B57" s="17" t="inlineStr">
        <is>
          <t>ADANIPOWER</t>
        </is>
      </c>
      <c r="C57" s="18" t="n">
        <v>214.18</v>
      </c>
      <c r="D57" s="18" t="n">
        <v>181.82</v>
      </c>
      <c r="E57" s="18" t="n">
        <v>164.31</v>
      </c>
      <c r="F57" s="18" t="n">
        <v>144.84</v>
      </c>
      <c r="G57" s="19">
        <f>HYPERLINK("https://www.tradingview.com/chart/?symbol=NSE:ADANIPOWER","Chart 📈")</f>
        <v/>
      </c>
    </row>
    <row r="58" ht="16" customHeight="1">
      <c r="A58" s="20" t="inlineStr">
        <is>
          <t>NIFTY ENERGY</t>
        </is>
      </c>
      <c r="B58" s="17" t="inlineStr">
        <is>
          <t>BHEL</t>
        </is>
      </c>
      <c r="C58" s="18" t="n">
        <v>337.6</v>
      </c>
      <c r="D58" s="18" t="n">
        <v>293.67</v>
      </c>
      <c r="E58" s="18" t="n">
        <v>276.83</v>
      </c>
      <c r="F58" s="18" t="n">
        <v>261.14</v>
      </c>
      <c r="G58" s="19">
        <f>HYPERLINK("https://www.tradingview.com/chart/?symbol=NSE:BHEL","Chart 📈")</f>
        <v/>
      </c>
    </row>
    <row r="59" ht="16" customHeight="1">
      <c r="A59" s="20" t="inlineStr">
        <is>
          <t>NIFTY ENERGY</t>
        </is>
      </c>
      <c r="B59" s="17" t="inlineStr">
        <is>
          <t>CESC</t>
        </is>
      </c>
      <c r="C59" s="18" t="n">
        <v>180.18</v>
      </c>
      <c r="D59" s="18" t="n">
        <v>165.48</v>
      </c>
      <c r="E59" s="18" t="n">
        <v>160.29</v>
      </c>
      <c r="F59" s="18" t="n">
        <v>160.67</v>
      </c>
      <c r="G59" s="19">
        <f>HYPERLINK("https://www.tradingview.com/chart/?symbol=NSE:CESC","Chart 📈")</f>
        <v/>
      </c>
    </row>
    <row r="60" ht="16" customHeight="1">
      <c r="A60" s="20" t="inlineStr">
        <is>
          <t>NIFTY ENERGY</t>
        </is>
      </c>
      <c r="B60" s="17" t="inlineStr">
        <is>
          <t>CGPOWER</t>
        </is>
      </c>
      <c r="C60" s="18" t="n">
        <v>837.8</v>
      </c>
      <c r="D60" s="18" t="n">
        <v>748.9299999999999</v>
      </c>
      <c r="E60" s="18" t="n">
        <v>713.66</v>
      </c>
      <c r="F60" s="18" t="n">
        <v>688.87</v>
      </c>
      <c r="G60" s="19">
        <f>HYPERLINK("https://www.tradingview.com/chart/?symbol=NSE:CGPOWER","Chart 📈")</f>
        <v/>
      </c>
    </row>
    <row r="61" ht="16" customHeight="1">
      <c r="A61" s="20" t="inlineStr">
        <is>
          <t>NIFTY ENERGY</t>
        </is>
      </c>
      <c r="B61" s="17" t="inlineStr">
        <is>
          <t>COALINDIA</t>
        </is>
      </c>
      <c r="C61" s="18" t="n">
        <v>450.65</v>
      </c>
      <c r="D61" s="18" t="n">
        <v>444.8</v>
      </c>
      <c r="E61" s="18" t="n">
        <v>438.9</v>
      </c>
      <c r="F61" s="18" t="n">
        <v>406.42</v>
      </c>
      <c r="G61" s="19">
        <f>HYPERLINK("https://www.tradingview.com/chart/?symbol=NSE:COALINDIA","Chart 📈")</f>
        <v/>
      </c>
    </row>
    <row r="62" ht="16" customHeight="1">
      <c r="A62" s="20" t="inlineStr">
        <is>
          <t>NIFTY ENERGY</t>
        </is>
      </c>
      <c r="B62" s="17" t="inlineStr">
        <is>
          <t>GVT&amp;D</t>
        </is>
      </c>
      <c r="C62" s="18" t="n">
        <v>4496.4</v>
      </c>
      <c r="D62" s="18" t="n">
        <v>4017.25</v>
      </c>
      <c r="E62" s="18" t="n">
        <v>3766.78</v>
      </c>
      <c r="F62" s="18" t="n">
        <v>3112.31</v>
      </c>
      <c r="G62" s="19">
        <f>HYPERLINK("https://www.tradingview.com/chart/?symbol=NSE:GVT&amp;D","Chart 📈")</f>
        <v/>
      </c>
    </row>
    <row r="63" ht="16" customHeight="1">
      <c r="A63" s="20" t="inlineStr">
        <is>
          <t>NIFTY ENERGY</t>
        </is>
      </c>
      <c r="B63" s="17" t="inlineStr">
        <is>
          <t>JPPOWER</t>
        </is>
      </c>
      <c r="C63" s="18" t="n">
        <v>19.88</v>
      </c>
      <c r="D63" s="18" t="n">
        <v>17.5</v>
      </c>
      <c r="E63" s="18" t="n">
        <v>16.38</v>
      </c>
      <c r="F63" s="18" t="n">
        <v>16.78</v>
      </c>
      <c r="G63" s="19">
        <f>HYPERLINK("https://www.tradingview.com/chart/?symbol=NSE:JPPOWER","Chart 📈")</f>
        <v/>
      </c>
    </row>
    <row r="64" ht="16" customHeight="1">
      <c r="A64" s="20" t="inlineStr">
        <is>
          <t>NIFTY ENERGY</t>
        </is>
      </c>
      <c r="B64" s="17" t="inlineStr">
        <is>
          <t>JSWENERGY</t>
        </is>
      </c>
      <c r="C64" s="18" t="n">
        <v>561.4</v>
      </c>
      <c r="D64" s="18" t="n">
        <v>520.25</v>
      </c>
      <c r="E64" s="18" t="n">
        <v>503.9</v>
      </c>
      <c r="F64" s="18" t="n">
        <v>501.39</v>
      </c>
      <c r="G64" s="19">
        <f>HYPERLINK("https://www.tradingview.com/chart/?symbol=NSE:JSWENERGY","Chart 📈")</f>
        <v/>
      </c>
    </row>
    <row r="65" ht="16" customHeight="1">
      <c r="A65" s="20" t="inlineStr">
        <is>
          <t>NIFTY ENERGY</t>
        </is>
      </c>
      <c r="B65" s="17" t="inlineStr">
        <is>
          <t>NHPC</t>
        </is>
      </c>
      <c r="C65" s="18" t="n">
        <v>81.45999999999999</v>
      </c>
      <c r="D65" s="18" t="n">
        <v>79.2</v>
      </c>
      <c r="E65" s="18" t="n">
        <v>77.65000000000001</v>
      </c>
      <c r="F65" s="18" t="n">
        <v>79.47</v>
      </c>
      <c r="G65" s="19">
        <f>HYPERLINK("https://www.tradingview.com/chart/?symbol=NSE:NHPC","Chart 📈")</f>
        <v/>
      </c>
    </row>
    <row r="66" ht="16" customHeight="1">
      <c r="A66" s="20" t="inlineStr">
        <is>
          <t>NIFTY ENERGY</t>
        </is>
      </c>
      <c r="B66" s="17" t="inlineStr">
        <is>
          <t>NLCINDIA</t>
        </is>
      </c>
      <c r="C66" s="18" t="n">
        <v>296.9</v>
      </c>
      <c r="D66" s="18" t="n">
        <v>282.39</v>
      </c>
      <c r="E66" s="18" t="n">
        <v>270.38</v>
      </c>
      <c r="F66" s="18" t="n">
        <v>254.58</v>
      </c>
      <c r="G66" s="19">
        <f>HYPERLINK("https://www.tradingview.com/chart/?symbol=NSE:NLCINDIA","Chart 📈")</f>
        <v/>
      </c>
    </row>
    <row r="67" ht="16" customHeight="1">
      <c r="A67" s="20" t="inlineStr">
        <is>
          <t>NIFTY ENERGY</t>
        </is>
      </c>
      <c r="B67" s="17" t="inlineStr">
        <is>
          <t>NTPC</t>
        </is>
      </c>
      <c r="C67" s="18" t="n">
        <v>402.25</v>
      </c>
      <c r="D67" s="18" t="n">
        <v>386.52</v>
      </c>
      <c r="E67" s="18" t="n">
        <v>375.59</v>
      </c>
      <c r="F67" s="18" t="n">
        <v>352.15</v>
      </c>
      <c r="G67" s="19">
        <f>HYPERLINK("https://www.tradingview.com/chart/?symbol=NSE:NTPC","Chart 📈")</f>
        <v/>
      </c>
    </row>
    <row r="68" ht="16" customHeight="1">
      <c r="A68" s="20" t="inlineStr">
        <is>
          <t>NIFTY ENERGY</t>
        </is>
      </c>
      <c r="B68" s="17" t="inlineStr">
        <is>
          <t>POWERGRID</t>
        </is>
      </c>
      <c r="C68" s="18" t="n">
        <v>319.15</v>
      </c>
      <c r="D68" s="18" t="n">
        <v>307.44</v>
      </c>
      <c r="E68" s="18" t="n">
        <v>297.86</v>
      </c>
      <c r="F68" s="18" t="n">
        <v>285.79</v>
      </c>
      <c r="G68" s="19">
        <f>HYPERLINK("https://www.tradingview.com/chart/?symbol=NSE:POWERGRID","Chart 📈")</f>
        <v/>
      </c>
    </row>
    <row r="69" ht="16" customHeight="1">
      <c r="A69" s="20" t="inlineStr">
        <is>
          <t>NIFTY ENERGY</t>
        </is>
      </c>
      <c r="B69" s="17" t="inlineStr">
        <is>
          <t>POWERINDIA</t>
        </is>
      </c>
      <c r="C69" s="18" t="n">
        <v>31720</v>
      </c>
      <c r="D69" s="18" t="n">
        <v>27755.86</v>
      </c>
      <c r="E69" s="18" t="n">
        <v>25360.81</v>
      </c>
      <c r="F69" s="18" t="n">
        <v>21110.09</v>
      </c>
      <c r="G69" s="19">
        <f>HYPERLINK("https://www.tradingview.com/chart/?symbol=NSE:POWERINDIA","Chart 📈")</f>
        <v/>
      </c>
    </row>
    <row r="70" ht="16" customHeight="1">
      <c r="A70" s="20" t="inlineStr">
        <is>
          <t>NIFTY ENERGY</t>
        </is>
      </c>
      <c r="B70" s="17" t="inlineStr">
        <is>
          <t>SCHNEIDER</t>
        </is>
      </c>
      <c r="C70" s="18" t="n">
        <v>1127</v>
      </c>
      <c r="D70" s="18" t="n">
        <v>996.27</v>
      </c>
      <c r="E70" s="18" t="n">
        <v>915.42</v>
      </c>
      <c r="F70" s="18" t="n">
        <v>813.78</v>
      </c>
      <c r="G70" s="19">
        <f>HYPERLINK("https://www.tradingview.com/chart/?symbol=NSE:SCHNEIDER","Chart 📈")</f>
        <v/>
      </c>
    </row>
    <row r="71" ht="16" customHeight="1">
      <c r="A71" s="20" t="inlineStr">
        <is>
          <t>NIFTY ENERGY</t>
        </is>
      </c>
      <c r="B71" s="17" t="inlineStr">
        <is>
          <t>SIEMENS</t>
        </is>
      </c>
      <c r="C71" s="18" t="n">
        <v>3864.4</v>
      </c>
      <c r="D71" s="18" t="n">
        <v>3452.3</v>
      </c>
      <c r="E71" s="18" t="n">
        <v>3295.92</v>
      </c>
      <c r="F71" s="18" t="n">
        <v>3164.92</v>
      </c>
      <c r="G71" s="19">
        <f>HYPERLINK("https://www.tradingview.com/chart/?symbol=NSE:SIEMENS","Chart 📈")</f>
        <v/>
      </c>
    </row>
    <row r="72" ht="16" customHeight="1">
      <c r="A72" s="20" t="inlineStr">
        <is>
          <t>NIFTY ENERGY</t>
        </is>
      </c>
      <c r="B72" s="17" t="inlineStr">
        <is>
          <t>SUZLON</t>
        </is>
      </c>
      <c r="C72" s="18" t="n">
        <v>53.73</v>
      </c>
      <c r="D72" s="18" t="n">
        <v>47.69</v>
      </c>
      <c r="E72" s="18" t="n">
        <v>46.09</v>
      </c>
      <c r="F72" s="18" t="n">
        <v>51.45</v>
      </c>
      <c r="G72" s="19">
        <f>HYPERLINK("https://www.tradingview.com/chart/?symbol=NSE:SUZLON","Chart 📈")</f>
        <v/>
      </c>
    </row>
    <row r="73" ht="16" customHeight="1">
      <c r="A73" s="20" t="inlineStr">
        <is>
          <t>NIFTY ENERGY</t>
        </is>
      </c>
      <c r="B73" s="17" t="inlineStr">
        <is>
          <t>TATAPOWER</t>
        </is>
      </c>
      <c r="C73" s="18" t="n">
        <v>430.3</v>
      </c>
      <c r="D73" s="18" t="n">
        <v>410.92</v>
      </c>
      <c r="E73" s="18" t="n">
        <v>395.76</v>
      </c>
      <c r="F73" s="18" t="n">
        <v>387.89</v>
      </c>
      <c r="G73" s="19">
        <f>HYPERLINK("https://www.tradingview.com/chart/?symbol=NSE:TATAPOWER","Chart 📈")</f>
        <v/>
      </c>
    </row>
    <row r="74" ht="16" customHeight="1">
      <c r="A74" s="20" t="inlineStr">
        <is>
          <t>NIFTY ENERGY</t>
        </is>
      </c>
      <c r="B74" s="17" t="inlineStr">
        <is>
          <t>THERMAX</t>
        </is>
      </c>
      <c r="C74" s="18" t="n">
        <v>4059.7</v>
      </c>
      <c r="D74" s="18" t="n">
        <v>3727.03</v>
      </c>
      <c r="E74" s="18" t="n">
        <v>3419.4</v>
      </c>
      <c r="F74" s="18" t="n">
        <v>3242.19</v>
      </c>
      <c r="G74" s="19">
        <f>HYPERLINK("https://www.tradingview.com/chart/?symbol=NSE:THERMAX","Chart 📈")</f>
        <v/>
      </c>
    </row>
    <row r="75" ht="16" customHeight="1">
      <c r="A75" s="20" t="inlineStr">
        <is>
          <t>NIFTY ENERGY</t>
        </is>
      </c>
      <c r="B75" s="17" t="inlineStr">
        <is>
          <t>TORNTPOWER</t>
        </is>
      </c>
      <c r="C75" s="18" t="n">
        <v>1737</v>
      </c>
      <c r="D75" s="18" t="n">
        <v>1520.1</v>
      </c>
      <c r="E75" s="18" t="n">
        <v>1463.1</v>
      </c>
      <c r="F75" s="18" t="n">
        <v>1399.35</v>
      </c>
      <c r="G75" s="19">
        <f>HYPERLINK("https://www.tradingview.com/chart/?symbol=NSE:TORNTPOWER","Chart 📈")</f>
        <v/>
      </c>
    </row>
    <row r="76" ht="16" customHeight="1">
      <c r="A76" s="20" t="inlineStr">
        <is>
          <t>NIFTY ENERGY</t>
        </is>
      </c>
      <c r="B76" s="17" t="inlineStr">
        <is>
          <t>TRITURBINE</t>
        </is>
      </c>
      <c r="C76" s="18" t="n">
        <v>579</v>
      </c>
      <c r="D76" s="18" t="n">
        <v>502.97</v>
      </c>
      <c r="E76" s="18" t="n">
        <v>490.1</v>
      </c>
      <c r="F76" s="18" t="n">
        <v>511.82</v>
      </c>
      <c r="G76" s="19">
        <f>HYPERLINK("https://www.tradingview.com/chart/?symbol=NSE:TRITURBINE","Chart 📈")</f>
        <v/>
      </c>
    </row>
    <row r="77" ht="16" customHeight="1">
      <c r="A77" s="12" t="inlineStr">
        <is>
          <t>NIFTY OIL &amp; GAS</t>
        </is>
      </c>
      <c r="B77" s="13" t="inlineStr">
        <is>
          <t>ATGL</t>
        </is>
      </c>
      <c r="C77" s="14" t="n">
        <v>621.7</v>
      </c>
      <c r="D77" s="14" t="n">
        <v>577.5</v>
      </c>
      <c r="E77" s="14" t="n">
        <v>555.89</v>
      </c>
      <c r="F77" s="14" t="n">
        <v>579.5700000000001</v>
      </c>
      <c r="G77" s="15">
        <f>HYPERLINK("https://www.tradingview.com/chart/?symbol=NSE:ATGL","Chart 📈")</f>
        <v/>
      </c>
    </row>
    <row r="78" ht="16" customHeight="1">
      <c r="A78" s="16" t="inlineStr">
        <is>
          <t>NIFTY OIL &amp; GAS</t>
        </is>
      </c>
      <c r="B78" s="13" t="inlineStr">
        <is>
          <t>OIL</t>
        </is>
      </c>
      <c r="C78" s="14" t="n">
        <v>473.9</v>
      </c>
      <c r="D78" s="14" t="n">
        <v>470.97</v>
      </c>
      <c r="E78" s="14" t="n">
        <v>467.27</v>
      </c>
      <c r="F78" s="14" t="n">
        <v>438.5</v>
      </c>
      <c r="G78" s="15">
        <f>HYPERLINK("https://www.tradingview.com/chart/?symbol=NSE:OIL","Chart 📈")</f>
        <v/>
      </c>
    </row>
    <row r="79" ht="16" customHeight="1">
      <c r="A79" s="16" t="inlineStr">
        <is>
          <t>NIFTY OIL &amp; GAS</t>
        </is>
      </c>
      <c r="B79" s="13" t="inlineStr">
        <is>
          <t>ONGC</t>
        </is>
      </c>
      <c r="C79" s="14" t="n">
        <v>286.25</v>
      </c>
      <c r="D79" s="14" t="n">
        <v>282</v>
      </c>
      <c r="E79" s="14" t="n">
        <v>273.56</v>
      </c>
      <c r="F79" s="14" t="n">
        <v>251.67</v>
      </c>
      <c r="G79" s="15">
        <f>HYPERLINK("https://www.tradingview.com/chart/?symbol=NSE:ONGC","Chart 📈")</f>
        <v/>
      </c>
    </row>
    <row r="80" ht="16" customHeight="1">
      <c r="A80" s="8" t="inlineStr">
        <is>
          <t>NIFTY FINANCIAL SERVICES</t>
        </is>
      </c>
      <c r="B80" s="17" t="inlineStr">
        <is>
          <t>AXISBANK</t>
        </is>
      </c>
      <c r="C80" s="18" t="n">
        <v>1369.6</v>
      </c>
      <c r="D80" s="18" t="n">
        <v>1318.57</v>
      </c>
      <c r="E80" s="18" t="n">
        <v>1300.36</v>
      </c>
      <c r="F80" s="18" t="n">
        <v>1253.04</v>
      </c>
      <c r="G80" s="19">
        <f>HYPERLINK("https://www.tradingview.com/chart/?symbol=NSE:AXISBANK","Chart 📈")</f>
        <v/>
      </c>
    </row>
    <row r="81" ht="16" customHeight="1">
      <c r="A81" s="20" t="inlineStr">
        <is>
          <t>NIFTY FINANCIAL SERVICES</t>
        </is>
      </c>
      <c r="B81" s="17" t="inlineStr">
        <is>
          <t>HDFCAMC</t>
        </is>
      </c>
      <c r="C81" s="18" t="n">
        <v>2708.2</v>
      </c>
      <c r="D81" s="18" t="n">
        <v>2598.64</v>
      </c>
      <c r="E81" s="18" t="n">
        <v>2569.62</v>
      </c>
      <c r="F81" s="18" t="n">
        <v>2588.88</v>
      </c>
      <c r="G81" s="19">
        <f>HYPERLINK("https://www.tradingview.com/chart/?symbol=NSE:HDFCAMC","Chart 📈")</f>
        <v/>
      </c>
    </row>
    <row r="82" ht="16" customHeight="1">
      <c r="A82" s="20" t="inlineStr">
        <is>
          <t>NIFTY FINANCIAL SERVICES</t>
        </is>
      </c>
      <c r="B82" s="17" t="inlineStr">
        <is>
          <t>LICHSGFIN</t>
        </is>
      </c>
      <c r="C82" s="18" t="n">
        <v>545.55</v>
      </c>
      <c r="D82" s="18" t="n">
        <v>529.53</v>
      </c>
      <c r="E82" s="18" t="n">
        <v>522.53</v>
      </c>
      <c r="F82" s="18" t="n">
        <v>544.66</v>
      </c>
      <c r="G82" s="19">
        <f>HYPERLINK("https://www.tradingview.com/chart/?symbol=NSE:LICHSGFIN","Chart 📈")</f>
        <v/>
      </c>
    </row>
    <row r="83" ht="16" customHeight="1">
      <c r="A83" s="20" t="inlineStr">
        <is>
          <t>NIFTY FINANCIAL SERVICES</t>
        </is>
      </c>
      <c r="B83" s="17" t="inlineStr">
        <is>
          <t>MCX</t>
        </is>
      </c>
      <c r="C83" s="18" t="n">
        <v>2791.4</v>
      </c>
      <c r="D83" s="18" t="n">
        <v>2686.49</v>
      </c>
      <c r="E83" s="18" t="n">
        <v>2550.41</v>
      </c>
      <c r="F83" s="18" t="n">
        <v>2112.09</v>
      </c>
      <c r="G83" s="19">
        <f>HYPERLINK("https://www.tradingview.com/chart/?symbol=NSE:MCX","Chart 📈")</f>
        <v/>
      </c>
    </row>
    <row r="84" ht="16" customHeight="1">
      <c r="A84" s="20" t="inlineStr">
        <is>
          <t>NIFTY FINANCIAL SERVICES</t>
        </is>
      </c>
      <c r="B84" s="17" t="inlineStr">
        <is>
          <t>MUTHOOTFIN</t>
        </is>
      </c>
      <c r="C84" s="18" t="n">
        <v>3561.4</v>
      </c>
      <c r="D84" s="18" t="n">
        <v>3457.21</v>
      </c>
      <c r="E84" s="18" t="n">
        <v>3451.69</v>
      </c>
      <c r="F84" s="18" t="n">
        <v>3250.8</v>
      </c>
      <c r="G84" s="19">
        <f>HYPERLINK("https://www.tradingview.com/chart/?symbol=NSE:MUTHOOTFIN","Chart 📈")</f>
        <v/>
      </c>
    </row>
    <row r="85" ht="16" customHeight="1">
      <c r="A85" s="20" t="inlineStr">
        <is>
          <t>NIFTY FINANCIAL SERVICES</t>
        </is>
      </c>
      <c r="B85" s="17" t="inlineStr">
        <is>
          <t>PFC</t>
        </is>
      </c>
      <c r="C85" s="18" t="n">
        <v>469.8</v>
      </c>
      <c r="D85" s="18" t="n">
        <v>438.92</v>
      </c>
      <c r="E85" s="18" t="n">
        <v>416.9</v>
      </c>
      <c r="F85" s="18" t="n">
        <v>394.94</v>
      </c>
      <c r="G85" s="19">
        <f>HYPERLINK("https://www.tradingview.com/chart/?symbol=NSE:PFC","Chart 📈")</f>
        <v/>
      </c>
    </row>
    <row r="86" ht="16" customHeight="1">
      <c r="A86" s="20" t="inlineStr">
        <is>
          <t>NIFTY FINANCIAL SERVICES</t>
        </is>
      </c>
      <c r="B86" s="17" t="inlineStr">
        <is>
          <t>RECLTD</t>
        </is>
      </c>
      <c r="C86" s="18" t="n">
        <v>376.45</v>
      </c>
      <c r="D86" s="18" t="n">
        <v>355.08</v>
      </c>
      <c r="E86" s="18" t="n">
        <v>347.92</v>
      </c>
      <c r="F86" s="18" t="n">
        <v>359.05</v>
      </c>
      <c r="G86" s="19">
        <f>HYPERLINK("https://www.tradingview.com/chart/?symbol=NSE:RECLTD","Chart 📈")</f>
        <v/>
      </c>
    </row>
    <row r="87" ht="16" customHeight="1">
      <c r="A87" s="20" t="inlineStr">
        <is>
          <t>NIFTY FINANCIAL SERVICES</t>
        </is>
      </c>
      <c r="B87" s="17" t="inlineStr">
        <is>
          <t>SHRIRAMFIN</t>
        </is>
      </c>
      <c r="C87" s="18" t="n">
        <v>1009.3</v>
      </c>
      <c r="D87" s="18" t="n">
        <v>1002.12</v>
      </c>
      <c r="E87" s="18" t="n">
        <v>992.48</v>
      </c>
      <c r="F87" s="18" t="n">
        <v>874.39</v>
      </c>
      <c r="G87" s="19">
        <f>HYPERLINK("https://www.tradingview.com/chart/?symbol=NSE:SHRIRAMFIN","Chart 📈")</f>
        <v/>
      </c>
    </row>
    <row r="88" ht="16" customHeight="1">
      <c r="A88" s="12" t="inlineStr">
        <is>
          <t>NIFTY AUTO</t>
        </is>
      </c>
      <c r="B88" s="13" t="inlineStr">
        <is>
          <t>BAJAJ-AUTO</t>
        </is>
      </c>
      <c r="C88" s="14" t="n">
        <v>9550.5</v>
      </c>
      <c r="D88" s="14" t="n">
        <v>9502.610000000001</v>
      </c>
      <c r="E88" s="14" t="n">
        <v>9436.219999999999</v>
      </c>
      <c r="F88" s="14" t="n">
        <v>9096.299999999999</v>
      </c>
      <c r="G88" s="15">
        <f>HYPERLINK("https://www.tradingview.com/chart/?symbol=NSE:BAJAJ-AUTO","Chart 📈")</f>
        <v/>
      </c>
    </row>
    <row r="89" ht="16" customHeight="1">
      <c r="A89" s="16" t="inlineStr">
        <is>
          <t>NIFTY AUTO</t>
        </is>
      </c>
      <c r="B89" s="13" t="inlineStr">
        <is>
          <t>BHARATFORG</t>
        </is>
      </c>
      <c r="C89" s="14" t="n">
        <v>1874.1</v>
      </c>
      <c r="D89" s="14" t="n">
        <v>1805.28</v>
      </c>
      <c r="E89" s="14" t="n">
        <v>1737.02</v>
      </c>
      <c r="F89" s="14" t="n">
        <v>1492.47</v>
      </c>
      <c r="G89" s="15">
        <f>HYPERLINK("https://www.tradingview.com/chart/?symbol=NSE:BHARATFORG","Chart 📈")</f>
        <v/>
      </c>
    </row>
    <row r="90" ht="16" customHeight="1">
      <c r="A90" s="16" t="inlineStr">
        <is>
          <t>NIFTY AUTO</t>
        </is>
      </c>
      <c r="B90" s="13" t="inlineStr">
        <is>
          <t>BOSCHLTD</t>
        </is>
      </c>
      <c r="C90" s="14" t="n">
        <v>37380</v>
      </c>
      <c r="D90" s="14" t="n">
        <v>35508.25</v>
      </c>
      <c r="E90" s="14" t="n">
        <v>34730.74</v>
      </c>
      <c r="F90" s="14" t="n">
        <v>35043.14</v>
      </c>
      <c r="G90" s="15">
        <f>HYPERLINK("https://www.tradingview.com/chart/?symbol=NSE:BOSCHLTD","Chart 📈")</f>
        <v/>
      </c>
    </row>
    <row r="91" ht="16" customHeight="1">
      <c r="A91" s="16" t="inlineStr">
        <is>
          <t>NIFTY AUTO</t>
        </is>
      </c>
      <c r="B91" s="13" t="inlineStr">
        <is>
          <t>MOTHERSON</t>
        </is>
      </c>
      <c r="C91" s="14" t="n">
        <v>127.22</v>
      </c>
      <c r="D91" s="14" t="n">
        <v>120.46</v>
      </c>
      <c r="E91" s="14" t="n">
        <v>119.16</v>
      </c>
      <c r="F91" s="14" t="n">
        <v>111.97</v>
      </c>
      <c r="G91" s="15">
        <f>HYPERLINK("https://www.tradingview.com/chart/?symbol=NSE:MOTHERSON","Chart 📈")</f>
        <v/>
      </c>
    </row>
    <row r="92" ht="16" customHeight="1">
      <c r="A92" s="8" t="inlineStr">
        <is>
          <t>NIFTY MIDSMALL IT &amp; TELECOM</t>
        </is>
      </c>
      <c r="B92" s="17" t="inlineStr">
        <is>
          <t>HFCL</t>
        </is>
      </c>
      <c r="C92" s="18" t="n">
        <v>97.75</v>
      </c>
      <c r="D92" s="18" t="n">
        <v>85.09999999999999</v>
      </c>
      <c r="E92" s="18" t="n">
        <v>77.44</v>
      </c>
      <c r="F92" s="18" t="n">
        <v>74.70999999999999</v>
      </c>
      <c r="G92" s="19">
        <f>HYPERLINK("https://www.tradingview.com/chart/?symbol=NSE:HFCL","Chart 📈")</f>
        <v/>
      </c>
    </row>
    <row r="93" ht="16" customHeight="1">
      <c r="A93" s="20" t="inlineStr">
        <is>
          <t>NIFTY MIDSMALL IT &amp; TELECOM</t>
        </is>
      </c>
      <c r="B93" s="17" t="inlineStr">
        <is>
          <t>OFSS</t>
        </is>
      </c>
      <c r="C93" s="18" t="n">
        <v>8791.5</v>
      </c>
      <c r="D93" s="18" t="n">
        <v>7519.75</v>
      </c>
      <c r="E93" s="18" t="n">
        <v>7274.59</v>
      </c>
      <c r="F93" s="18" t="n">
        <v>7749.23</v>
      </c>
      <c r="G93" s="19">
        <f>HYPERLINK("https://www.tradingview.com/chart/?symbol=NSE:OFSS","Chart 📈")</f>
        <v/>
      </c>
    </row>
    <row r="94" ht="16" customHeight="1">
      <c r="A94" s="12" t="inlineStr">
        <is>
          <t>NIFTY BANK</t>
        </is>
      </c>
      <c r="B94" s="13" t="inlineStr">
        <is>
          <t>AUBANK</t>
        </is>
      </c>
      <c r="C94" s="14" t="n">
        <v>1056.25</v>
      </c>
      <c r="D94" s="14" t="n">
        <v>971.74</v>
      </c>
      <c r="E94" s="14" t="n">
        <v>955.96</v>
      </c>
      <c r="F94" s="14" t="n">
        <v>889.1</v>
      </c>
      <c r="G94" s="15">
        <f>HYPERLINK("https://www.tradingview.com/chart/?symbol=NSE:AUBANK","Chart 📈")</f>
        <v/>
      </c>
    </row>
    <row r="95" ht="16" customHeight="1">
      <c r="A95" s="16" t="inlineStr">
        <is>
          <t>NIFTY BANK</t>
        </is>
      </c>
      <c r="B95" s="13" t="inlineStr">
        <is>
          <t>FEDERALBNK</t>
        </is>
      </c>
      <c r="C95" s="14" t="n">
        <v>295.4</v>
      </c>
      <c r="D95" s="14" t="n">
        <v>284.71</v>
      </c>
      <c r="E95" s="14" t="n">
        <v>279.33</v>
      </c>
      <c r="F95" s="14" t="n">
        <v>251.3</v>
      </c>
      <c r="G95" s="15">
        <f>HYPERLINK("https://www.tradingview.com/chart/?symbol=NSE:FEDERALBNK","Chart 📈")</f>
        <v/>
      </c>
    </row>
    <row r="96" ht="16" customHeight="1">
      <c r="A96" s="16" t="inlineStr">
        <is>
          <t>NIFTY BANK</t>
        </is>
      </c>
      <c r="B96" s="13" t="inlineStr">
        <is>
          <t>INDUSINDBK</t>
        </is>
      </c>
      <c r="C96" s="14" t="n">
        <v>860.35</v>
      </c>
      <c r="D96" s="14" t="n">
        <v>838.8200000000001</v>
      </c>
      <c r="E96" s="14" t="n">
        <v>852.33</v>
      </c>
      <c r="F96" s="14" t="n">
        <v>842.25</v>
      </c>
      <c r="G96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2026-04-23T18:13:06Z</dcterms:created>
  <dcterms:modified xsi:type="dcterms:W3CDTF">2026-04-23T18:13:06Z</dcterms:modified>
</cp:coreProperties>
</file>