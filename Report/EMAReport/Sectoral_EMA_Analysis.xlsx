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26-Aug-2026  11:38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14</v>
      </c>
      <c r="D4" s="5" t="n">
        <v>12</v>
      </c>
      <c r="E4" s="5" t="n">
        <v>13</v>
      </c>
      <c r="F4" s="6" t="n">
        <v>0.9329999999999999</v>
      </c>
      <c r="G4" s="6" t="n">
        <v>0.8</v>
      </c>
      <c r="H4" s="6" t="n">
        <v>0.867</v>
      </c>
      <c r="I4" s="7" t="n">
        <v>0.8667</v>
      </c>
    </row>
    <row r="5" ht="17" customHeight="1">
      <c r="A5" s="8" t="inlineStr">
        <is>
          <t>NIFTY AUTO</t>
        </is>
      </c>
      <c r="B5" s="9" t="n">
        <v>15</v>
      </c>
      <c r="C5" s="9" t="n">
        <v>9</v>
      </c>
      <c r="D5" s="9" t="n">
        <v>12</v>
      </c>
      <c r="E5" s="9" t="n">
        <v>12</v>
      </c>
      <c r="F5" s="10" t="n">
        <v>0.6</v>
      </c>
      <c r="G5" s="10" t="n">
        <v>0.8</v>
      </c>
      <c r="H5" s="10" t="n">
        <v>0.8</v>
      </c>
      <c r="I5" s="11" t="n">
        <v>0.7333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7</v>
      </c>
      <c r="E6" s="5" t="n">
        <v>9</v>
      </c>
      <c r="F6" s="6" t="n">
        <v>0.5</v>
      </c>
      <c r="G6" s="6" t="n">
        <v>0.7</v>
      </c>
      <c r="H6" s="6" t="n">
        <v>0.9</v>
      </c>
      <c r="I6" s="7" t="n">
        <v>0.7</v>
      </c>
    </row>
    <row r="7" ht="17" customHeight="1">
      <c r="A7" s="8" t="inlineStr">
        <is>
          <t>NIFTY PSU BANK</t>
        </is>
      </c>
      <c r="B7" s="9" t="n">
        <v>12</v>
      </c>
      <c r="C7" s="9" t="n">
        <v>8</v>
      </c>
      <c r="D7" s="9" t="n">
        <v>7</v>
      </c>
      <c r="E7" s="9" t="n">
        <v>7</v>
      </c>
      <c r="F7" s="10" t="n">
        <v>0.667</v>
      </c>
      <c r="G7" s="10" t="n">
        <v>0.583</v>
      </c>
      <c r="H7" s="10" t="n">
        <v>0.583</v>
      </c>
      <c r="I7" s="11" t="n">
        <v>0.611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13</v>
      </c>
      <c r="D8" s="5" t="n">
        <v>12</v>
      </c>
      <c r="E8" s="5" t="n">
        <v>9</v>
      </c>
      <c r="F8" s="6" t="n">
        <v>0.65</v>
      </c>
      <c r="G8" s="6" t="n">
        <v>0.6</v>
      </c>
      <c r="H8" s="6" t="n">
        <v>0.45</v>
      </c>
      <c r="I8" s="7" t="n">
        <v>0.5667</v>
      </c>
    </row>
    <row r="9" ht="17" customHeight="1">
      <c r="A9" s="8" t="inlineStr">
        <is>
          <t>NIFTY OIL &amp; GAS</t>
        </is>
      </c>
      <c r="B9" s="9" t="n">
        <v>15</v>
      </c>
      <c r="C9" s="9" t="n">
        <v>9</v>
      </c>
      <c r="D9" s="9" t="n">
        <v>8</v>
      </c>
      <c r="E9" s="9" t="n">
        <v>8</v>
      </c>
      <c r="F9" s="10" t="n">
        <v>0.6</v>
      </c>
      <c r="G9" s="10" t="n">
        <v>0.5329999999999999</v>
      </c>
      <c r="H9" s="10" t="n">
        <v>0.5329999999999999</v>
      </c>
      <c r="I9" s="11" t="n">
        <v>0.5553</v>
      </c>
    </row>
    <row r="10" ht="17" customHeight="1">
      <c r="A10" s="4" t="inlineStr">
        <is>
          <t>NIFTY PHARMA</t>
        </is>
      </c>
      <c r="B10" s="5" t="n">
        <v>20</v>
      </c>
      <c r="C10" s="5" t="n">
        <v>8</v>
      </c>
      <c r="D10" s="5" t="n">
        <v>10</v>
      </c>
      <c r="E10" s="5" t="n">
        <v>14</v>
      </c>
      <c r="F10" s="6" t="n">
        <v>0.4</v>
      </c>
      <c r="G10" s="6" t="n">
        <v>0.5</v>
      </c>
      <c r="H10" s="6" t="n">
        <v>0.7</v>
      </c>
      <c r="I10" s="7" t="n">
        <v>0.5333</v>
      </c>
    </row>
    <row r="11" ht="17" customHeight="1">
      <c r="A11" s="8" t="inlineStr">
        <is>
          <t>NIFTY MEDIA</t>
        </is>
      </c>
      <c r="B11" s="9" t="n">
        <v>10</v>
      </c>
      <c r="C11" s="9" t="n">
        <v>4</v>
      </c>
      <c r="D11" s="9" t="n">
        <v>5</v>
      </c>
      <c r="E11" s="9" t="n">
        <v>5</v>
      </c>
      <c r="F11" s="10" t="n">
        <v>0.4</v>
      </c>
      <c r="G11" s="10" t="n">
        <v>0.5</v>
      </c>
      <c r="H11" s="10" t="n">
        <v>0.5</v>
      </c>
      <c r="I11" s="11" t="n">
        <v>0.4667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9</v>
      </c>
      <c r="D12" s="5" t="n">
        <v>10</v>
      </c>
      <c r="E12" s="5" t="n">
        <v>9</v>
      </c>
      <c r="F12" s="6" t="n">
        <v>0.45</v>
      </c>
      <c r="G12" s="6" t="n">
        <v>0.5</v>
      </c>
      <c r="H12" s="6" t="n">
        <v>0.45</v>
      </c>
      <c r="I12" s="7" t="n">
        <v>0.4667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5</v>
      </c>
      <c r="D13" s="9" t="n">
        <v>8</v>
      </c>
      <c r="E13" s="9" t="n">
        <v>6</v>
      </c>
      <c r="F13" s="10" t="n">
        <v>0.333</v>
      </c>
      <c r="G13" s="10" t="n">
        <v>0.5329999999999999</v>
      </c>
      <c r="H13" s="10" t="n">
        <v>0.4</v>
      </c>
      <c r="I13" s="11" t="n">
        <v>0.422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4</v>
      </c>
      <c r="E14" s="5" t="n">
        <v>4</v>
      </c>
      <c r="F14" s="6" t="n">
        <v>0.083</v>
      </c>
      <c r="G14" s="6" t="n">
        <v>0.333</v>
      </c>
      <c r="H14" s="6" t="n">
        <v>0.333</v>
      </c>
      <c r="I14" s="7" t="n">
        <v>0.2497</v>
      </c>
    </row>
    <row r="15" ht="17" customHeight="1">
      <c r="A15" s="8" t="inlineStr">
        <is>
          <t>NIFTY FMCG</t>
        </is>
      </c>
      <c r="B15" s="9" t="n">
        <v>15</v>
      </c>
      <c r="C15" s="9" t="n">
        <v>3</v>
      </c>
      <c r="D15" s="9" t="n">
        <v>3</v>
      </c>
      <c r="E15" s="9" t="n">
        <v>5</v>
      </c>
      <c r="F15" s="10" t="n">
        <v>0.2</v>
      </c>
      <c r="G15" s="10" t="n">
        <v>0.2</v>
      </c>
      <c r="H15" s="10" t="n">
        <v>0.333</v>
      </c>
      <c r="I15" s="11" t="n">
        <v>0.2443</v>
      </c>
    </row>
    <row r="16" ht="17" customHeight="1">
      <c r="A16" s="4" t="inlineStr">
        <is>
          <t>NIFTY ENERGY</t>
        </is>
      </c>
      <c r="B16" s="5" t="n">
        <v>40</v>
      </c>
      <c r="C16" s="5" t="n">
        <v>4</v>
      </c>
      <c r="D16" s="5" t="n">
        <v>3</v>
      </c>
      <c r="E16" s="5" t="n">
        <v>12</v>
      </c>
      <c r="F16" s="6" t="n">
        <v>0.1</v>
      </c>
      <c r="G16" s="6" t="n">
        <v>0.075</v>
      </c>
      <c r="H16" s="6" t="n">
        <v>0.3</v>
      </c>
      <c r="I16" s="7" t="n">
        <v>0.1583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2</v>
      </c>
      <c r="E17" s="9" t="n">
        <v>1</v>
      </c>
      <c r="F17" s="10" t="n">
        <v>0</v>
      </c>
      <c r="G17" s="10" t="n">
        <v>0.2</v>
      </c>
      <c r="H17" s="10" t="n">
        <v>0.1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3112</v>
      </c>
      <c r="D3" s="14" t="n">
        <v>3035.16</v>
      </c>
      <c r="E3" s="14" t="n">
        <v>2997.52</v>
      </c>
      <c r="F3" s="14" t="n">
        <v>2646.17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2159</v>
      </c>
      <c r="D4" s="14" t="n">
        <v>2047.38</v>
      </c>
      <c r="E4" s="14" t="n">
        <v>1958.16</v>
      </c>
      <c r="F4" s="14" t="n">
        <v>1895.93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HINDALCO</t>
        </is>
      </c>
      <c r="C5" s="14" t="n">
        <v>1053</v>
      </c>
      <c r="D5" s="14" t="n">
        <v>1030.95</v>
      </c>
      <c r="E5" s="14" t="n">
        <v>1013.17</v>
      </c>
      <c r="F5" s="14" t="n">
        <v>950.95</v>
      </c>
      <c r="G5" s="15">
        <f>HYPERLINK("https://www.tradingview.com/chart/?symbol=NSE:HINDALCO","Chart 📈")</f>
        <v/>
      </c>
    </row>
    <row r="6" ht="16" customHeight="1">
      <c r="A6" s="16" t="inlineStr">
        <is>
          <t>NIFTY METAL</t>
        </is>
      </c>
      <c r="B6" s="13" t="inlineStr">
        <is>
          <t>HINDCOPPER</t>
        </is>
      </c>
      <c r="C6" s="14" t="n">
        <v>556.05</v>
      </c>
      <c r="D6" s="14" t="n">
        <v>540.1</v>
      </c>
      <c r="E6" s="14" t="n">
        <v>525.1900000000001</v>
      </c>
      <c r="F6" s="14" t="n">
        <v>484.52</v>
      </c>
      <c r="G6" s="15">
        <f>HYPERLINK("https://www.tradingview.com/chart/?symbol=NSE:HINDCOPPER","Chart 📈")</f>
        <v/>
      </c>
    </row>
    <row r="7" ht="16" customHeight="1">
      <c r="A7" s="16" t="inlineStr">
        <is>
          <t>NIFTY METAL</t>
        </is>
      </c>
      <c r="B7" s="13" t="inlineStr">
        <is>
          <t>HINDZINC</t>
        </is>
      </c>
      <c r="C7" s="14" t="n">
        <v>626.5</v>
      </c>
      <c r="D7" s="14" t="n">
        <v>577.72</v>
      </c>
      <c r="E7" s="14" t="n">
        <v>567.21</v>
      </c>
      <c r="F7" s="14" t="n">
        <v>552.95</v>
      </c>
      <c r="G7" s="15">
        <f>HYPERLINK("https://www.tradingview.com/chart/?symbol=NSE:HINDZINC","Chart 📈")</f>
        <v/>
      </c>
    </row>
    <row r="8" ht="16" customHeight="1">
      <c r="A8" s="16" t="inlineStr">
        <is>
          <t>NIFTY METAL</t>
        </is>
      </c>
      <c r="B8" s="13" t="inlineStr">
        <is>
          <t>JINDALSTEL</t>
        </is>
      </c>
      <c r="C8" s="14" t="n">
        <v>1175.4</v>
      </c>
      <c r="D8" s="14" t="n">
        <v>1114.83</v>
      </c>
      <c r="E8" s="14" t="n">
        <v>1106.7</v>
      </c>
      <c r="F8" s="14" t="n">
        <v>1109.51</v>
      </c>
      <c r="G8" s="15">
        <f>HYPERLINK("https://www.tradingview.com/chart/?symbol=NSE:JINDALSTEL","Chart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1341</v>
      </c>
      <c r="D9" s="14" t="n">
        <v>1292.66</v>
      </c>
      <c r="E9" s="14" t="n">
        <v>1274.31</v>
      </c>
      <c r="F9" s="14" t="n">
        <v>1218.69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399.3</v>
      </c>
      <c r="D10" s="14" t="n">
        <v>383.91</v>
      </c>
      <c r="E10" s="14" t="n">
        <v>375.26</v>
      </c>
      <c r="F10" s="14" t="n">
        <v>345.81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88.20999999999999</v>
      </c>
      <c r="D11" s="14" t="n">
        <v>85.23</v>
      </c>
      <c r="E11" s="14" t="n">
        <v>85.45</v>
      </c>
      <c r="F11" s="14" t="n">
        <v>82.5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2641.6</v>
      </c>
      <c r="D12" s="14" t="n">
        <v>2436.84</v>
      </c>
      <c r="E12" s="14" t="n">
        <v>2456.99</v>
      </c>
      <c r="F12" s="14" t="n">
        <v>2437.34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194.9</v>
      </c>
      <c r="D13" s="14" t="n">
        <v>175.46</v>
      </c>
      <c r="E13" s="14" t="n">
        <v>173.83</v>
      </c>
      <c r="F13" s="14" t="n">
        <v>163.45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WELCORP</t>
        </is>
      </c>
      <c r="C14" s="14" t="n">
        <v>2306.7</v>
      </c>
      <c r="D14" s="14" t="n">
        <v>1989.5</v>
      </c>
      <c r="E14" s="14" t="n">
        <v>1754.84</v>
      </c>
      <c r="F14" s="14" t="n">
        <v>1293.28</v>
      </c>
      <c r="G14" s="15">
        <f>HYPERLINK("https://www.tradingview.com/chart/?symbol=NSE:WELCORP","Chart 📈")</f>
        <v/>
      </c>
    </row>
    <row r="15" ht="16" customHeight="1">
      <c r="A15" s="8" t="inlineStr">
        <is>
          <t>NIFTY AUTO</t>
        </is>
      </c>
      <c r="B15" s="17" t="inlineStr">
        <is>
          <t>APOLLOTYRE</t>
        </is>
      </c>
      <c r="C15" s="18" t="n">
        <v>443.05</v>
      </c>
      <c r="D15" s="18" t="n">
        <v>437.97</v>
      </c>
      <c r="E15" s="18" t="n">
        <v>431.86</v>
      </c>
      <c r="F15" s="18" t="n">
        <v>439.47</v>
      </c>
      <c r="G15" s="19">
        <f>HYPERLINK("https://www.tradingview.com/chart/?symbol=NSE:APOLLOTYRE","Chart 📈")</f>
        <v/>
      </c>
    </row>
    <row r="16" ht="16" customHeight="1">
      <c r="A16" s="20" t="inlineStr">
        <is>
          <t>NIFTY AUTO</t>
        </is>
      </c>
      <c r="B16" s="17" t="inlineStr">
        <is>
          <t>ASHOKLEY</t>
        </is>
      </c>
      <c r="C16" s="18" t="n">
        <v>179.05</v>
      </c>
      <c r="D16" s="18" t="n">
        <v>172.12</v>
      </c>
      <c r="E16" s="18" t="n">
        <v>166.47</v>
      </c>
      <c r="F16" s="18" t="n">
        <v>161.42</v>
      </c>
      <c r="G16" s="19">
        <f>HYPERLINK("https://www.tradingview.com/chart/?symbol=NSE:ASHOKLEY","Chart 📈")</f>
        <v/>
      </c>
    </row>
    <row r="17" ht="16" customHeight="1">
      <c r="A17" s="20" t="inlineStr">
        <is>
          <t>NIFTY AUTO</t>
        </is>
      </c>
      <c r="B17" s="17" t="inlineStr">
        <is>
          <t>BAJAJ-AUTO</t>
        </is>
      </c>
      <c r="C17" s="18" t="n">
        <v>11724</v>
      </c>
      <c r="D17" s="18" t="n">
        <v>11578.04</v>
      </c>
      <c r="E17" s="18" t="n">
        <v>11083.55</v>
      </c>
      <c r="F17" s="18" t="n">
        <v>10029.84</v>
      </c>
      <c r="G17" s="19">
        <f>HYPERLINK("https://www.tradingview.com/chart/?symbol=NSE:BAJAJ-AUTO","Chart 📈")</f>
        <v/>
      </c>
    </row>
    <row r="18" ht="16" customHeight="1">
      <c r="A18" s="20" t="inlineStr">
        <is>
          <t>NIFTY AUTO</t>
        </is>
      </c>
      <c r="B18" s="17" t="inlineStr">
        <is>
          <t>BOSCHLTD</t>
        </is>
      </c>
      <c r="C18" s="18" t="n">
        <v>48895</v>
      </c>
      <c r="D18" s="18" t="n">
        <v>46070.14</v>
      </c>
      <c r="E18" s="18" t="n">
        <v>43156.27</v>
      </c>
      <c r="F18" s="18" t="n">
        <v>39056.76</v>
      </c>
      <c r="G18" s="19">
        <f>HYPERLINK("https://www.tradingview.com/chart/?symbol=NSE:BOSCHLTD","Chart 📈")</f>
        <v/>
      </c>
    </row>
    <row r="19" ht="16" customHeight="1">
      <c r="A19" s="20" t="inlineStr">
        <is>
          <t>NIFTY AUTO</t>
        </is>
      </c>
      <c r="B19" s="17" t="inlineStr">
        <is>
          <t>EICHERMOT</t>
        </is>
      </c>
      <c r="C19" s="18" t="n">
        <v>8035</v>
      </c>
      <c r="D19" s="18" t="n">
        <v>7951.3</v>
      </c>
      <c r="E19" s="18" t="n">
        <v>7718.31</v>
      </c>
      <c r="F19" s="18" t="n">
        <v>7258</v>
      </c>
      <c r="G19" s="19">
        <f>HYPERLINK("https://www.tradingview.com/chart/?symbol=NSE:EICHERMOT","Chart 📈")</f>
        <v/>
      </c>
    </row>
    <row r="20" ht="16" customHeight="1">
      <c r="A20" s="20" t="inlineStr">
        <is>
          <t>NIFTY AUTO</t>
        </is>
      </c>
      <c r="B20" s="17" t="inlineStr">
        <is>
          <t>M&amp;M</t>
        </is>
      </c>
      <c r="C20" s="18" t="n">
        <v>3398.2</v>
      </c>
      <c r="D20" s="18" t="n">
        <v>3388.3</v>
      </c>
      <c r="E20" s="18" t="n">
        <v>3292.5</v>
      </c>
      <c r="F20" s="18" t="n">
        <v>3271.54</v>
      </c>
      <c r="G20" s="19">
        <f>HYPERLINK("https://www.tradingview.com/chart/?symbol=NSE:M&amp;M","Chart 📈")</f>
        <v/>
      </c>
    </row>
    <row r="21" ht="16" customHeight="1">
      <c r="A21" s="20" t="inlineStr">
        <is>
          <t>NIFTY AUTO</t>
        </is>
      </c>
      <c r="B21" s="17" t="inlineStr">
        <is>
          <t>MOTHERSON</t>
        </is>
      </c>
      <c r="C21" s="18" t="n">
        <v>165</v>
      </c>
      <c r="D21" s="18" t="n">
        <v>163.4</v>
      </c>
      <c r="E21" s="18" t="n">
        <v>154.5</v>
      </c>
      <c r="F21" s="18" t="n">
        <v>132.78</v>
      </c>
      <c r="G21" s="19">
        <f>HYPERLINK("https://www.tradingview.com/chart/?symbol=NSE:MOTHERSON","Chart 📈")</f>
        <v/>
      </c>
    </row>
    <row r="22" ht="16" customHeight="1">
      <c r="A22" s="20" t="inlineStr">
        <is>
          <t>NIFTY AUTO</t>
        </is>
      </c>
      <c r="B22" s="17" t="inlineStr">
        <is>
          <t>TVSMOTOR</t>
        </is>
      </c>
      <c r="C22" s="18" t="n">
        <v>4464</v>
      </c>
      <c r="D22" s="18" t="n">
        <v>4302.97</v>
      </c>
      <c r="E22" s="18" t="n">
        <v>4044.21</v>
      </c>
      <c r="F22" s="18" t="n">
        <v>3701.35</v>
      </c>
      <c r="G22" s="19">
        <f>HYPERLINK("https://www.tradingview.com/chart/?symbol=NSE:TVSMOTOR","Chart 📈")</f>
        <v/>
      </c>
    </row>
    <row r="23" ht="16" customHeight="1">
      <c r="A23" s="12" t="inlineStr">
        <is>
          <t>NIFTY REALTY</t>
        </is>
      </c>
      <c r="B23" s="13" t="inlineStr">
        <is>
          <t>BRIGADE</t>
        </is>
      </c>
      <c r="C23" s="14" t="n">
        <v>655.1</v>
      </c>
      <c r="D23" s="14" t="n">
        <v>605.8200000000001</v>
      </c>
      <c r="E23" s="14" t="n">
        <v>574.4</v>
      </c>
      <c r="F23" s="14" t="n">
        <v>580.46</v>
      </c>
      <c r="G23" s="15">
        <f>HYPERLINK("https://www.tradingview.com/chart/?symbol=NSE:BRIGADE","Chart 📈")</f>
        <v/>
      </c>
    </row>
    <row r="24" ht="16" customHeight="1">
      <c r="A24" s="16" t="inlineStr">
        <is>
          <t>NIFTY REALTY</t>
        </is>
      </c>
      <c r="B24" s="13" t="inlineStr">
        <is>
          <t>DLF</t>
        </is>
      </c>
      <c r="C24" s="14" t="n">
        <v>672.5</v>
      </c>
      <c r="D24" s="14" t="n">
        <v>666.22</v>
      </c>
      <c r="E24" s="14" t="n">
        <v>648.21</v>
      </c>
      <c r="F24" s="14" t="n">
        <v>640.9400000000001</v>
      </c>
      <c r="G24" s="15">
        <f>HYPERLINK("https://www.tradingview.com/chart/?symbol=NSE:DLF","Chart 📈")</f>
        <v/>
      </c>
    </row>
    <row r="25" ht="16" customHeight="1">
      <c r="A25" s="16" t="inlineStr">
        <is>
          <t>NIFTY REALTY</t>
        </is>
      </c>
      <c r="B25" s="13" t="inlineStr">
        <is>
          <t>LODHA</t>
        </is>
      </c>
      <c r="C25" s="14" t="n">
        <v>1265</v>
      </c>
      <c r="D25" s="14" t="n">
        <v>1229.55</v>
      </c>
      <c r="E25" s="14" t="n">
        <v>1155.24</v>
      </c>
      <c r="F25" s="14" t="n">
        <v>1060.23</v>
      </c>
      <c r="G25" s="15">
        <f>HYPERLINK("https://www.tradingview.com/chart/?symbol=NSE:LODHA","Chart 📈")</f>
        <v/>
      </c>
    </row>
    <row r="26" ht="16" customHeight="1">
      <c r="A26" s="16" t="inlineStr">
        <is>
          <t>NIFTY REALTY</t>
        </is>
      </c>
      <c r="B26" s="13" t="inlineStr">
        <is>
          <t>OBEROIRLTY</t>
        </is>
      </c>
      <c r="C26" s="14" t="n">
        <v>1870</v>
      </c>
      <c r="D26" s="14" t="n">
        <v>1854.03</v>
      </c>
      <c r="E26" s="14" t="n">
        <v>1816.47</v>
      </c>
      <c r="F26" s="14" t="n">
        <v>1702.95</v>
      </c>
      <c r="G26" s="15">
        <f>HYPERLINK("https://www.tradingview.com/chart/?symbol=NSE:OBEROIRLTY","Chart 📈")</f>
        <v/>
      </c>
    </row>
    <row r="27" ht="16" customHeight="1">
      <c r="A27" s="16" t="inlineStr">
        <is>
          <t>NIFTY REALTY</t>
        </is>
      </c>
      <c r="B27" s="13" t="inlineStr">
        <is>
          <t>PRESTIGE</t>
        </is>
      </c>
      <c r="C27" s="14" t="n">
        <v>1615.1</v>
      </c>
      <c r="D27" s="14" t="n">
        <v>1610.22</v>
      </c>
      <c r="E27" s="14" t="n">
        <v>1586.16</v>
      </c>
      <c r="F27" s="14" t="n">
        <v>1526.1</v>
      </c>
      <c r="G27" s="15">
        <f>HYPERLINK("https://www.tradingview.com/chart/?symbol=NSE:PRESTIGE","Chart 📈")</f>
        <v/>
      </c>
    </row>
    <row r="28" ht="16" customHeight="1">
      <c r="A28" s="8" t="inlineStr">
        <is>
          <t>NIFTY PSU BANK</t>
        </is>
      </c>
      <c r="B28" s="17" t="inlineStr">
        <is>
          <t>BANKINDIA</t>
        </is>
      </c>
      <c r="C28" s="18" t="n">
        <v>145.95</v>
      </c>
      <c r="D28" s="18" t="n">
        <v>142.91</v>
      </c>
      <c r="E28" s="18" t="n">
        <v>142.51</v>
      </c>
      <c r="F28" s="18" t="n">
        <v>139.65</v>
      </c>
      <c r="G28" s="19">
        <f>HYPERLINK("https://www.tradingview.com/chart/?symbol=NSE:BANKINDIA","Chart 📈")</f>
        <v/>
      </c>
    </row>
    <row r="29" ht="16" customHeight="1">
      <c r="A29" s="20" t="inlineStr">
        <is>
          <t>NIFTY PSU BANK</t>
        </is>
      </c>
      <c r="B29" s="17" t="inlineStr">
        <is>
          <t>CANBK</t>
        </is>
      </c>
      <c r="C29" s="18" t="n">
        <v>129.45</v>
      </c>
      <c r="D29" s="18" t="n">
        <v>129.07</v>
      </c>
      <c r="E29" s="18" t="n">
        <v>128.76</v>
      </c>
      <c r="F29" s="18" t="n">
        <v>129.13</v>
      </c>
      <c r="G29" s="19">
        <f>HYPERLINK("https://www.tradingview.com/chart/?symbol=NSE:CANBK","Chart 📈")</f>
        <v/>
      </c>
    </row>
    <row r="30" ht="16" customHeight="1">
      <c r="A30" s="20" t="inlineStr">
        <is>
          <t>NIFTY PSU BANK</t>
        </is>
      </c>
      <c r="B30" s="17" t="inlineStr">
        <is>
          <t>INDIANB</t>
        </is>
      </c>
      <c r="C30" s="18" t="n">
        <v>889</v>
      </c>
      <c r="D30" s="18" t="n">
        <v>870.59</v>
      </c>
      <c r="E30" s="18" t="n">
        <v>855.6799999999999</v>
      </c>
      <c r="F30" s="18" t="n">
        <v>827.79</v>
      </c>
      <c r="G30" s="19">
        <f>HYPERLINK("https://www.tradingview.com/chart/?symbol=NSE:INDIANB","Chart 📈")</f>
        <v/>
      </c>
    </row>
    <row r="31" ht="16" customHeight="1">
      <c r="A31" s="20" t="inlineStr">
        <is>
          <t>NIFTY PSU BANK</t>
        </is>
      </c>
      <c r="B31" s="17" t="inlineStr">
        <is>
          <t>MAHABANK</t>
        </is>
      </c>
      <c r="C31" s="18" t="n">
        <v>85.59999999999999</v>
      </c>
      <c r="D31" s="18" t="n">
        <v>80.98999999999999</v>
      </c>
      <c r="E31" s="18" t="n">
        <v>81.05</v>
      </c>
      <c r="F31" s="18" t="n">
        <v>73.04000000000001</v>
      </c>
      <c r="G31" s="19">
        <f>HYPERLINK("https://www.tradingview.com/chart/?symbol=NSE:MAHABANK","Chart 📈")</f>
        <v/>
      </c>
    </row>
    <row r="32" ht="16" customHeight="1">
      <c r="A32" s="20" t="inlineStr">
        <is>
          <t>NIFTY PSU BANK</t>
        </is>
      </c>
      <c r="B32" s="17" t="inlineStr">
        <is>
          <t>PNB</t>
        </is>
      </c>
      <c r="C32" s="18" t="n">
        <v>116.7</v>
      </c>
      <c r="D32" s="18" t="n">
        <v>115.18</v>
      </c>
      <c r="E32" s="18" t="n">
        <v>111.98</v>
      </c>
      <c r="F32" s="18" t="n">
        <v>109.97</v>
      </c>
      <c r="G32" s="19">
        <f>HYPERLINK("https://www.tradingview.com/chart/?symbol=NSE:PNB","Chart 📈")</f>
        <v/>
      </c>
    </row>
    <row r="33" ht="16" customHeight="1">
      <c r="A33" s="20" t="inlineStr">
        <is>
          <t>NIFTY PSU BANK</t>
        </is>
      </c>
      <c r="B33" s="17" t="inlineStr">
        <is>
          <t>SBIN</t>
        </is>
      </c>
      <c r="C33" s="18" t="n">
        <v>1052</v>
      </c>
      <c r="D33" s="18" t="n">
        <v>1051.8</v>
      </c>
      <c r="E33" s="18" t="n">
        <v>1041.9</v>
      </c>
      <c r="F33" s="18" t="n">
        <v>1004.01</v>
      </c>
      <c r="G33" s="19">
        <f>HYPERLINK("https://www.tradingview.com/chart/?symbol=NSE:SBIN","Chart 📈")</f>
        <v/>
      </c>
    </row>
    <row r="34" ht="16" customHeight="1">
      <c r="A34" s="20" t="inlineStr">
        <is>
          <t>NIFTY PSU BANK</t>
        </is>
      </c>
      <c r="B34" s="17" t="inlineStr">
        <is>
          <t>UNIONBANK</t>
        </is>
      </c>
      <c r="C34" s="18" t="n">
        <v>187.52</v>
      </c>
      <c r="D34" s="18" t="n">
        <v>182.25</v>
      </c>
      <c r="E34" s="18" t="n">
        <v>176.12</v>
      </c>
      <c r="F34" s="18" t="n">
        <v>164.7</v>
      </c>
      <c r="G34" s="19">
        <f>HYPERLINK("https://www.tradingview.com/chart/?symbol=NSE:UNIONBANK","Chart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BAJAJFINSV</t>
        </is>
      </c>
      <c r="C35" s="14" t="n">
        <v>2010</v>
      </c>
      <c r="D35" s="14" t="n">
        <v>1999.59</v>
      </c>
      <c r="E35" s="14" t="n">
        <v>1937.58</v>
      </c>
      <c r="F35" s="14" t="n">
        <v>1898.28</v>
      </c>
      <c r="G35" s="15">
        <f>HYPERLINK("https://www.tradingview.com/chart/?symbol=NSE:BAJAJFINSV","Chart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CHOLAFIN</t>
        </is>
      </c>
      <c r="C36" s="14" t="n">
        <v>1868.1</v>
      </c>
      <c r="D36" s="14" t="n">
        <v>1863.52</v>
      </c>
      <c r="E36" s="14" t="n">
        <v>1804.03</v>
      </c>
      <c r="F36" s="14" t="n">
        <v>1677.18</v>
      </c>
      <c r="G36" s="15">
        <f>HYPERLINK("https://www.tradingview.com/chart/?symbol=NSE:CHOLAFIN","Chart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HDFCAMC</t>
        </is>
      </c>
      <c r="C37" s="14" t="n">
        <v>2667.9</v>
      </c>
      <c r="D37" s="14" t="n">
        <v>2587.83</v>
      </c>
      <c r="E37" s="14" t="n">
        <v>2594.89</v>
      </c>
      <c r="F37" s="14" t="n">
        <v>2616.52</v>
      </c>
      <c r="G37" s="15">
        <f>HYPERLINK("https://www.tradingview.com/chart/?symbol=NSE:HDFCAMC","Chart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ICICIBANK</t>
        </is>
      </c>
      <c r="C38" s="14" t="n">
        <v>1430</v>
      </c>
      <c r="D38" s="14" t="n">
        <v>1420.22</v>
      </c>
      <c r="E38" s="14" t="n">
        <v>1397.6</v>
      </c>
      <c r="F38" s="14" t="n">
        <v>1357.55</v>
      </c>
      <c r="G38" s="15">
        <f>HYPERLINK("https://www.tradingview.com/chart/?symbol=NSE:ICICIBANK","Chart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KOTAKBANK</t>
        </is>
      </c>
      <c r="C39" s="14" t="n">
        <v>416.7</v>
      </c>
      <c r="D39" s="14" t="n">
        <v>396.17</v>
      </c>
      <c r="E39" s="14" t="n">
        <v>392.06</v>
      </c>
      <c r="F39" s="14" t="n">
        <v>394.63</v>
      </c>
      <c r="G39" s="15">
        <f>HYPERLINK("https://www.tradingview.com/chart/?symbol=NSE:KOTAKBANK","Chart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MCX</t>
        </is>
      </c>
      <c r="C40" s="14" t="n">
        <v>3350</v>
      </c>
      <c r="D40" s="14" t="n">
        <v>3003.46</v>
      </c>
      <c r="E40" s="14" t="n">
        <v>2902.12</v>
      </c>
      <c r="F40" s="14" t="n">
        <v>2595.93</v>
      </c>
      <c r="G40" s="15">
        <f>HYPERLINK("https://www.tradingview.com/chart/?symbol=NSE:MCX","Chart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MUTHOOTFIN</t>
        </is>
      </c>
      <c r="C41" s="14" t="n">
        <v>3206.9</v>
      </c>
      <c r="D41" s="14" t="n">
        <v>3007.68</v>
      </c>
      <c r="E41" s="14" t="n">
        <v>3037.9</v>
      </c>
      <c r="F41" s="14" t="n">
        <v>3188.33</v>
      </c>
      <c r="G41" s="15">
        <f>HYPERLINK("https://www.tradingview.com/chart/?symbol=NSE:MUTHOOTFIN","Chart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SHRIRAMFIN</t>
        </is>
      </c>
      <c r="C42" s="14" t="n">
        <v>1117.5</v>
      </c>
      <c r="D42" s="14" t="n">
        <v>1107.34</v>
      </c>
      <c r="E42" s="14" t="n">
        <v>1067.58</v>
      </c>
      <c r="F42" s="14" t="n">
        <v>956.37</v>
      </c>
      <c r="G42" s="15">
        <f>HYPERLINK("https://www.tradingview.com/chart/?symbol=NSE:SHRIRAMFIN","Chart 📈")</f>
        <v/>
      </c>
    </row>
    <row r="43" ht="16" customHeight="1">
      <c r="A43" s="8" t="inlineStr">
        <is>
          <t>NIFTY OIL &amp; GAS</t>
        </is>
      </c>
      <c r="B43" s="17" t="inlineStr">
        <is>
          <t>AEGISLOG</t>
        </is>
      </c>
      <c r="C43" s="18" t="n">
        <v>1331.7</v>
      </c>
      <c r="D43" s="18" t="n">
        <v>1325.6</v>
      </c>
      <c r="E43" s="18" t="n">
        <v>1234.6</v>
      </c>
      <c r="F43" s="18" t="n">
        <v>940.75</v>
      </c>
      <c r="G43" s="19">
        <f>HYPERLINK("https://www.tradingview.com/chart/?symbol=NSE:AEGISLOG","Chart 📈")</f>
        <v/>
      </c>
    </row>
    <row r="44" ht="16" customHeight="1">
      <c r="A44" s="20" t="inlineStr">
        <is>
          <t>NIFTY OIL &amp; GAS</t>
        </is>
      </c>
      <c r="B44" s="17" t="inlineStr">
        <is>
          <t>BPCL</t>
        </is>
      </c>
      <c r="C44" s="18" t="n">
        <v>318</v>
      </c>
      <c r="D44" s="18" t="n">
        <v>315.2</v>
      </c>
      <c r="E44" s="18" t="n">
        <v>313.25</v>
      </c>
      <c r="F44" s="18" t="n">
        <v>316.57</v>
      </c>
      <c r="G44" s="19">
        <f>HYPERLINK("https://www.tradingview.com/chart/?symbol=NSE:BPCL","Chart 📈")</f>
        <v/>
      </c>
    </row>
    <row r="45" ht="16" customHeight="1">
      <c r="A45" s="20" t="inlineStr">
        <is>
          <t>NIFTY OIL &amp; GAS</t>
        </is>
      </c>
      <c r="B45" s="17" t="inlineStr">
        <is>
          <t>CASTROLIND</t>
        </is>
      </c>
      <c r="C45" s="18" t="n">
        <v>186.75</v>
      </c>
      <c r="D45" s="18" t="n">
        <v>185.62</v>
      </c>
      <c r="E45" s="18" t="n">
        <v>182.59</v>
      </c>
      <c r="F45" s="18" t="n">
        <v>180.19</v>
      </c>
      <c r="G45" s="19">
        <f>HYPERLINK("https://www.tradingview.com/chart/?symbol=NSE:CASTROLIND","Chart 📈")</f>
        <v/>
      </c>
    </row>
    <row r="46" ht="16" customHeight="1">
      <c r="A46" s="20" t="inlineStr">
        <is>
          <t>NIFTY OIL &amp; GAS</t>
        </is>
      </c>
      <c r="B46" s="17" t="inlineStr">
        <is>
          <t>GAIL</t>
        </is>
      </c>
      <c r="C46" s="18" t="n">
        <v>174.49</v>
      </c>
      <c r="D46" s="18" t="n">
        <v>174.07</v>
      </c>
      <c r="E46" s="18" t="n">
        <v>172.69</v>
      </c>
      <c r="F46" s="18" t="n">
        <v>167.52</v>
      </c>
      <c r="G46" s="19">
        <f>HYPERLINK("https://www.tradingview.com/chart/?symbol=NSE:GAIL","Chart 📈")</f>
        <v/>
      </c>
    </row>
    <row r="47" ht="16" customHeight="1">
      <c r="A47" s="20" t="inlineStr">
        <is>
          <t>NIFTY OIL &amp; GAS</t>
        </is>
      </c>
      <c r="B47" s="17" t="inlineStr">
        <is>
          <t>MGL</t>
        </is>
      </c>
      <c r="C47" s="18" t="n">
        <v>1115.3</v>
      </c>
      <c r="D47" s="18" t="n">
        <v>1110.6</v>
      </c>
      <c r="E47" s="18" t="n">
        <v>1104.38</v>
      </c>
      <c r="F47" s="18" t="n">
        <v>1113.44</v>
      </c>
      <c r="G47" s="19">
        <f>HYPERLINK("https://www.tradingview.com/chart/?symbol=NSE:MGL","Chart 📈")</f>
        <v/>
      </c>
    </row>
    <row r="48" ht="16" customHeight="1">
      <c r="A48" s="20" t="inlineStr">
        <is>
          <t>NIFTY OIL &amp; GAS</t>
        </is>
      </c>
      <c r="B48" s="17" t="inlineStr">
        <is>
          <t>OIL</t>
        </is>
      </c>
      <c r="C48" s="18" t="n">
        <v>469.15</v>
      </c>
      <c r="D48" s="18" t="n">
        <v>465.33</v>
      </c>
      <c r="E48" s="18" t="n">
        <v>456.71</v>
      </c>
      <c r="F48" s="18" t="n">
        <v>447.03</v>
      </c>
      <c r="G48" s="19">
        <f>HYPERLINK("https://www.tradingview.com/chart/?symbol=NSE:OIL","Chart 📈")</f>
        <v/>
      </c>
    </row>
    <row r="49" ht="16" customHeight="1">
      <c r="A49" s="20" t="inlineStr">
        <is>
          <t>NIFTY OIL &amp; GAS</t>
        </is>
      </c>
      <c r="B49" s="17" t="inlineStr">
        <is>
          <t>PETRONET</t>
        </is>
      </c>
      <c r="C49" s="18" t="n">
        <v>289</v>
      </c>
      <c r="D49" s="18" t="n">
        <v>285.33</v>
      </c>
      <c r="E49" s="18" t="n">
        <v>281.09</v>
      </c>
      <c r="F49" s="18" t="n">
        <v>275.73</v>
      </c>
      <c r="G49" s="19">
        <f>HYPERLINK("https://www.tradingview.com/chart/?symbol=NSE:PETRONET","Chart 📈")</f>
        <v/>
      </c>
    </row>
    <row r="50" ht="16" customHeight="1">
      <c r="A50" s="12" t="inlineStr">
        <is>
          <t>NIFTY PHARMA</t>
        </is>
      </c>
      <c r="B50" s="13" t="inlineStr">
        <is>
          <t>AUROPHARMA</t>
        </is>
      </c>
      <c r="C50" s="14" t="n">
        <v>1623</v>
      </c>
      <c r="D50" s="14" t="n">
        <v>1613.29</v>
      </c>
      <c r="E50" s="14" t="n">
        <v>1572.73</v>
      </c>
      <c r="F50" s="14" t="n">
        <v>1394.1</v>
      </c>
      <c r="G50" s="15">
        <f>HYPERLINK("https://www.tradingview.com/chart/?symbol=NSE:AUROPHARMA","Chart 📈")</f>
        <v/>
      </c>
    </row>
    <row r="51" ht="16" customHeight="1">
      <c r="A51" s="16" t="inlineStr">
        <is>
          <t>NIFTY PHARMA</t>
        </is>
      </c>
      <c r="B51" s="13" t="inlineStr">
        <is>
          <t>DIVISLAB</t>
        </is>
      </c>
      <c r="C51" s="14" t="n">
        <v>9025</v>
      </c>
      <c r="D51" s="14" t="n">
        <v>8380.84</v>
      </c>
      <c r="E51" s="14" t="n">
        <v>7789.95</v>
      </c>
      <c r="F51" s="14" t="n">
        <v>6870.56</v>
      </c>
      <c r="G51" s="15">
        <f>HYPERLINK("https://www.tradingview.com/chart/?symbol=NSE:DIVISLAB","Chart 📈")</f>
        <v/>
      </c>
    </row>
    <row r="52" ht="16" customHeight="1">
      <c r="A52" s="16" t="inlineStr">
        <is>
          <t>NIFTY PHARMA</t>
        </is>
      </c>
      <c r="B52" s="13" t="inlineStr">
        <is>
          <t>GLAND</t>
        </is>
      </c>
      <c r="C52" s="14" t="n">
        <v>2903.2</v>
      </c>
      <c r="D52" s="14" t="n">
        <v>2755.8</v>
      </c>
      <c r="E52" s="14" t="n">
        <v>2565.24</v>
      </c>
      <c r="F52" s="14" t="n">
        <v>2153.27</v>
      </c>
      <c r="G52" s="15">
        <f>HYPERLINK("https://www.tradingview.com/chart/?symbol=NSE:GLAND","Chart 📈")</f>
        <v/>
      </c>
    </row>
    <row r="53" ht="16" customHeight="1">
      <c r="A53" s="16" t="inlineStr">
        <is>
          <t>NIFTY PHARMA</t>
        </is>
      </c>
      <c r="B53" s="13" t="inlineStr">
        <is>
          <t>GLENMARK</t>
        </is>
      </c>
      <c r="C53" s="14" t="n">
        <v>2438.3</v>
      </c>
      <c r="D53" s="14" t="n">
        <v>2312.73</v>
      </c>
      <c r="E53" s="14" t="n">
        <v>2272.09</v>
      </c>
      <c r="F53" s="14" t="n">
        <v>2168.43</v>
      </c>
      <c r="G53" s="15">
        <f>HYPERLINK("https://www.tradingview.com/chart/?symbol=NSE:GLENMARK","Chart 📈")</f>
        <v/>
      </c>
    </row>
    <row r="54" ht="16" customHeight="1">
      <c r="A54" s="16" t="inlineStr">
        <is>
          <t>NIFTY PHARMA</t>
        </is>
      </c>
      <c r="B54" s="13" t="inlineStr">
        <is>
          <t>IPCALAB</t>
        </is>
      </c>
      <c r="C54" s="14" t="n">
        <v>1952.4</v>
      </c>
      <c r="D54" s="14" t="n">
        <v>1840.96</v>
      </c>
      <c r="E54" s="14" t="n">
        <v>1768.01</v>
      </c>
      <c r="F54" s="14" t="n">
        <v>1598.45</v>
      </c>
      <c r="G54" s="15">
        <f>HYPERLINK("https://www.tradingview.com/chart/?symbol=NSE:IPCALAB","Chart 📈")</f>
        <v/>
      </c>
    </row>
    <row r="55" ht="16" customHeight="1">
      <c r="A55" s="16" t="inlineStr">
        <is>
          <t>NIFTY PHARMA</t>
        </is>
      </c>
      <c r="B55" s="13" t="inlineStr">
        <is>
          <t>JBCHEPHARM</t>
        </is>
      </c>
      <c r="C55" s="14" t="n">
        <v>2408.9</v>
      </c>
      <c r="D55" s="14" t="n">
        <v>2383.66</v>
      </c>
      <c r="E55" s="14" t="n">
        <v>2287.69</v>
      </c>
      <c r="F55" s="14" t="n">
        <v>2042.43</v>
      </c>
      <c r="G55" s="15">
        <f>HYPERLINK("https://www.tradingview.com/chart/?symbol=NSE:JBCHEPHARM","Chart 📈")</f>
        <v/>
      </c>
    </row>
    <row r="56" ht="16" customHeight="1">
      <c r="A56" s="16" t="inlineStr">
        <is>
          <t>NIFTY PHARMA</t>
        </is>
      </c>
      <c r="B56" s="13" t="inlineStr">
        <is>
          <t>LAURUSLABS</t>
        </is>
      </c>
      <c r="C56" s="14" t="n">
        <v>1887</v>
      </c>
      <c r="D56" s="14" t="n">
        <v>1799.14</v>
      </c>
      <c r="E56" s="14" t="n">
        <v>1671.78</v>
      </c>
      <c r="F56" s="14" t="n">
        <v>1320.68</v>
      </c>
      <c r="G56" s="15">
        <f>HYPERLINK("https://www.tradingview.com/chart/?symbol=NSE:LAURUSLABS","Chart 📈")</f>
        <v/>
      </c>
    </row>
    <row r="57" ht="16" customHeight="1">
      <c r="A57" s="16" t="inlineStr">
        <is>
          <t>NIFTY PHARMA</t>
        </is>
      </c>
      <c r="B57" s="13" t="inlineStr">
        <is>
          <t>ZYDUSLIFE</t>
        </is>
      </c>
      <c r="C57" s="14" t="n">
        <v>1150</v>
      </c>
      <c r="D57" s="14" t="n">
        <v>1128.45</v>
      </c>
      <c r="E57" s="14" t="n">
        <v>1112.91</v>
      </c>
      <c r="F57" s="14" t="n">
        <v>1027.43</v>
      </c>
      <c r="G57" s="15">
        <f>HYPERLINK("https://www.tradingview.com/chart/?symbol=NSE:ZYDUSLIFE","Chart 📈")</f>
        <v/>
      </c>
    </row>
    <row r="58" ht="16" customHeight="1">
      <c r="A58" s="8" t="inlineStr">
        <is>
          <t>NIFTY MEDIA</t>
        </is>
      </c>
      <c r="B58" s="17" t="inlineStr">
        <is>
          <t>NAZARA</t>
        </is>
      </c>
      <c r="C58" s="18" t="n">
        <v>356.35</v>
      </c>
      <c r="D58" s="18" t="n">
        <v>346.29</v>
      </c>
      <c r="E58" s="18" t="n">
        <v>326.12</v>
      </c>
      <c r="F58" s="18" t="n">
        <v>290.94</v>
      </c>
      <c r="G58" s="19">
        <f>HYPERLINK("https://www.tradingview.com/chart/?symbol=NSE:NAZARA","Chart 📈")</f>
        <v/>
      </c>
    </row>
    <row r="59" ht="16" customHeight="1">
      <c r="A59" s="20" t="inlineStr">
        <is>
          <t>NIFTY MEDIA</t>
        </is>
      </c>
      <c r="B59" s="17" t="inlineStr">
        <is>
          <t>PVRINOX</t>
        </is>
      </c>
      <c r="C59" s="18" t="n">
        <v>1255.3</v>
      </c>
      <c r="D59" s="18" t="n">
        <v>1178.51</v>
      </c>
      <c r="E59" s="18" t="n">
        <v>1108.76</v>
      </c>
      <c r="F59" s="18" t="n">
        <v>1055.73</v>
      </c>
      <c r="G59" s="19">
        <f>HYPERLINK("https://www.tradingview.com/chart/?symbol=NSE:PVRINOX","Chart 📈")</f>
        <v/>
      </c>
    </row>
    <row r="60" ht="16" customHeight="1">
      <c r="A60" s="20" t="inlineStr">
        <is>
          <t>NIFTY MEDIA</t>
        </is>
      </c>
      <c r="B60" s="17" t="inlineStr">
        <is>
          <t>ZEEL</t>
        </is>
      </c>
      <c r="C60" s="18" t="n">
        <v>104.42</v>
      </c>
      <c r="D60" s="18" t="n">
        <v>103.02</v>
      </c>
      <c r="E60" s="18" t="n">
        <v>102.21</v>
      </c>
      <c r="F60" s="18" t="n">
        <v>98.73</v>
      </c>
      <c r="G60" s="19">
        <f>HYPERLINK("https://www.tradingview.com/chart/?symbol=NSE:ZEEL","Chart 📈")</f>
        <v/>
      </c>
    </row>
    <row r="61" ht="16" customHeight="1">
      <c r="A61" s="12" t="inlineStr">
        <is>
          <t>NIFTY MIDSMALL IT &amp; TELECOM</t>
        </is>
      </c>
      <c r="B61" s="13" t="inlineStr">
        <is>
          <t>AFFLE</t>
        </is>
      </c>
      <c r="C61" s="14" t="n">
        <v>1686.8</v>
      </c>
      <c r="D61" s="14" t="n">
        <v>1666.88</v>
      </c>
      <c r="E61" s="14" t="n">
        <v>1595.59</v>
      </c>
      <c r="F61" s="14" t="n">
        <v>1590.31</v>
      </c>
      <c r="G61" s="15">
        <f>HYPERLINK("https://www.tradingview.com/chart/?symbol=NSE:AFFLE","Chart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COFORGE</t>
        </is>
      </c>
      <c r="C62" s="14" t="n">
        <v>1880</v>
      </c>
      <c r="D62" s="14" t="n">
        <v>1791.87</v>
      </c>
      <c r="E62" s="14" t="n">
        <v>1658.16</v>
      </c>
      <c r="F62" s="14" t="n">
        <v>1539.34</v>
      </c>
      <c r="G62" s="15">
        <f>HYPERLINK("https://www.tradingview.com/chart/?symbol=NSE:COFORGE","Chart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CYIENT</t>
        </is>
      </c>
      <c r="C63" s="14" t="n">
        <v>1047.7</v>
      </c>
      <c r="D63" s="14" t="n">
        <v>897.84</v>
      </c>
      <c r="E63" s="14" t="n">
        <v>880.54</v>
      </c>
      <c r="F63" s="14" t="n">
        <v>952.89</v>
      </c>
      <c r="G63" s="15">
        <f>HYPERLINK("https://www.tradingview.com/chart/?symbol=NSE:CYIENT","Chart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HFCL</t>
        </is>
      </c>
      <c r="C64" s="14" t="n">
        <v>235.89</v>
      </c>
      <c r="D64" s="14" t="n">
        <v>221.89</v>
      </c>
      <c r="E64" s="14" t="n">
        <v>206.99</v>
      </c>
      <c r="F64" s="14" t="n">
        <v>144.75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IDEA</t>
        </is>
      </c>
      <c r="C65" s="14" t="n">
        <v>15.06</v>
      </c>
      <c r="D65" s="14" t="n">
        <v>13.89</v>
      </c>
      <c r="E65" s="14" t="n">
        <v>13.61</v>
      </c>
      <c r="F65" s="14" t="n">
        <v>11.82</v>
      </c>
      <c r="G65" s="15">
        <f>HYPERLINK("https://www.tradingview.com/chart/?symbol=NSE:IDEA","Chart 📈")</f>
        <v/>
      </c>
    </row>
    <row r="66" ht="16" customHeight="1">
      <c r="A66" s="16" t="inlineStr">
        <is>
          <t>NIFTY MIDSMALL IT &amp; TELECOM</t>
        </is>
      </c>
      <c r="B66" s="13" t="inlineStr">
        <is>
          <t>OFSS</t>
        </is>
      </c>
      <c r="C66" s="14" t="n">
        <v>11800</v>
      </c>
      <c r="D66" s="14" t="n">
        <v>11621.24</v>
      </c>
      <c r="E66" s="14" t="n">
        <v>11146.69</v>
      </c>
      <c r="F66" s="14" t="n">
        <v>9416.02</v>
      </c>
      <c r="G66" s="15">
        <f>HYPERLINK("https://www.tradingview.com/chart/?symbol=NSE:OFSS","Chart 📈")</f>
        <v/>
      </c>
    </row>
    <row r="67" ht="16" customHeight="1">
      <c r="A67" s="16" t="inlineStr">
        <is>
          <t>NIFTY MIDSMALL IT &amp; TELECOM</t>
        </is>
      </c>
      <c r="B67" s="13" t="inlineStr">
        <is>
          <t>PERSISTENT</t>
        </is>
      </c>
      <c r="C67" s="14" t="n">
        <v>5590.5</v>
      </c>
      <c r="D67" s="14" t="n">
        <v>5511.53</v>
      </c>
      <c r="E67" s="14" t="n">
        <v>5312.3</v>
      </c>
      <c r="F67" s="14" t="n">
        <v>5286.16</v>
      </c>
      <c r="G67" s="15">
        <f>HYPERLINK("https://www.tradingview.com/chart/?symbol=NSE:PERSISTENT","Chart 📈")</f>
        <v/>
      </c>
    </row>
    <row r="68" ht="16" customHeight="1">
      <c r="A68" s="8" t="inlineStr">
        <is>
          <t>NIFTY CONSUMER DURABLES</t>
        </is>
      </c>
      <c r="B68" s="17" t="inlineStr">
        <is>
          <t>AMBER</t>
        </is>
      </c>
      <c r="C68" s="18" t="n">
        <v>7466</v>
      </c>
      <c r="D68" s="18" t="n">
        <v>7352.37</v>
      </c>
      <c r="E68" s="18" t="n">
        <v>7442.39</v>
      </c>
      <c r="F68" s="18" t="n">
        <v>7406.82</v>
      </c>
      <c r="G68" s="19">
        <f>HYPERLINK("https://www.tradingview.com/chart/?symbol=NSE:AMBER","Chart 📈")</f>
        <v/>
      </c>
    </row>
    <row r="69" ht="16" customHeight="1">
      <c r="A69" s="20" t="inlineStr">
        <is>
          <t>NIFTY CONSUMER DURABLES</t>
        </is>
      </c>
      <c r="B69" s="17" t="inlineStr">
        <is>
          <t>DIXON</t>
        </is>
      </c>
      <c r="C69" s="18" t="n">
        <v>14735</v>
      </c>
      <c r="D69" s="18" t="n">
        <v>14318.04</v>
      </c>
      <c r="E69" s="18" t="n">
        <v>13639.39</v>
      </c>
      <c r="F69" s="18" t="n">
        <v>13032.14</v>
      </c>
      <c r="G69" s="19">
        <f>HYPERLINK("https://www.tradingview.com/chart/?symbol=NSE:DIXON","Chart 📈")</f>
        <v/>
      </c>
    </row>
    <row r="70" ht="16" customHeight="1">
      <c r="A70" s="20" t="inlineStr">
        <is>
          <t>NIFTY CONSUMER DURABLES</t>
        </is>
      </c>
      <c r="B70" s="17" t="inlineStr">
        <is>
          <t>KALYANKJIL</t>
        </is>
      </c>
      <c r="C70" s="18" t="n">
        <v>610.6</v>
      </c>
      <c r="D70" s="18" t="n">
        <v>594.24</v>
      </c>
      <c r="E70" s="18" t="n">
        <v>539.66</v>
      </c>
      <c r="F70" s="18" t="n">
        <v>468.34</v>
      </c>
      <c r="G70" s="19">
        <f>HYPERLINK("https://www.tradingview.com/chart/?symbol=NSE:KALYANKJIL","Chart 📈")</f>
        <v/>
      </c>
    </row>
    <row r="71" ht="16" customHeight="1">
      <c r="A71" s="20" t="inlineStr">
        <is>
          <t>NIFTY CONSUMER DURABLES</t>
        </is>
      </c>
      <c r="B71" s="17" t="inlineStr">
        <is>
          <t>TITAN</t>
        </is>
      </c>
      <c r="C71" s="18" t="n">
        <v>5100</v>
      </c>
      <c r="D71" s="18" t="n">
        <v>5002.69</v>
      </c>
      <c r="E71" s="18" t="n">
        <v>4783.63</v>
      </c>
      <c r="F71" s="18" t="n">
        <v>4320.02</v>
      </c>
      <c r="G71" s="19">
        <f>HYPERLINK("https://www.tradingview.com/chart/?symbol=NSE:TITAN","Chart 📈")</f>
        <v/>
      </c>
    </row>
    <row r="72" ht="16" customHeight="1">
      <c r="A72" s="20" t="inlineStr">
        <is>
          <t>NIFTY CONSUMER DURABLES</t>
        </is>
      </c>
      <c r="B72" s="17" t="inlineStr">
        <is>
          <t>VGUARD</t>
        </is>
      </c>
      <c r="C72" s="18" t="n">
        <v>329.65</v>
      </c>
      <c r="D72" s="18" t="n">
        <v>325.3</v>
      </c>
      <c r="E72" s="18" t="n">
        <v>316.85</v>
      </c>
      <c r="F72" s="18" t="n">
        <v>322.63</v>
      </c>
      <c r="G72" s="19">
        <f>HYPERLINK("https://www.tradingview.com/chart/?symbol=NSE:VGUARD","Chart 📈")</f>
        <v/>
      </c>
    </row>
    <row r="73" ht="16" customHeight="1">
      <c r="A73" s="12" t="inlineStr">
        <is>
          <t>NIFTY BANK</t>
        </is>
      </c>
      <c r="B73" s="13" t="inlineStr">
        <is>
          <t>AUBANK</t>
        </is>
      </c>
      <c r="C73" s="14" t="n">
        <v>1113.5</v>
      </c>
      <c r="D73" s="14" t="n">
        <v>1082.25</v>
      </c>
      <c r="E73" s="14" t="n">
        <v>1054.64</v>
      </c>
      <c r="F73" s="14" t="n">
        <v>978.02</v>
      </c>
      <c r="G73" s="15">
        <f>HYPERLINK("https://www.tradingview.com/chart/?symbol=NSE:AUBANK","Chart 📈")</f>
        <v/>
      </c>
    </row>
    <row r="74" ht="16" customHeight="1">
      <c r="A74" s="8" t="inlineStr">
        <is>
          <t>NIFTY FMCG</t>
        </is>
      </c>
      <c r="B74" s="17" t="inlineStr">
        <is>
          <t>BALRAMCHIN</t>
        </is>
      </c>
      <c r="C74" s="18" t="n">
        <v>674.35</v>
      </c>
      <c r="D74" s="18" t="n">
        <v>655.92</v>
      </c>
      <c r="E74" s="18" t="n">
        <v>616.03</v>
      </c>
      <c r="F74" s="18" t="n">
        <v>543.88</v>
      </c>
      <c r="G74" s="19">
        <f>HYPERLINK("https://www.tradingview.com/chart/?symbol=NSE:BALRAMCHIN","Chart 📈")</f>
        <v/>
      </c>
    </row>
    <row r="75" ht="16" customHeight="1">
      <c r="A75" s="20" t="inlineStr">
        <is>
          <t>NIFTY FMCG</t>
        </is>
      </c>
      <c r="B75" s="17" t="inlineStr">
        <is>
          <t>RADICO</t>
        </is>
      </c>
      <c r="C75" s="18" t="n">
        <v>4614</v>
      </c>
      <c r="D75" s="18" t="n">
        <v>4539.49</v>
      </c>
      <c r="E75" s="18" t="n">
        <v>4252.39</v>
      </c>
      <c r="F75" s="18" t="n">
        <v>3560.01</v>
      </c>
      <c r="G75" s="19">
        <f>HYPERLINK("https://www.tradingview.com/chart/?symbol=NSE:RADICO","Chart 📈")</f>
        <v/>
      </c>
    </row>
    <row r="76" ht="16" customHeight="1">
      <c r="A76" s="20" t="inlineStr">
        <is>
          <t>NIFTY FMCG</t>
        </is>
      </c>
      <c r="B76" s="17" t="inlineStr">
        <is>
          <t>UNITDSPR</t>
        </is>
      </c>
      <c r="C76" s="18" t="n">
        <v>1538.5</v>
      </c>
      <c r="D76" s="18" t="n">
        <v>1520.73</v>
      </c>
      <c r="E76" s="18" t="n">
        <v>1458.69</v>
      </c>
      <c r="F76" s="18" t="n">
        <v>1370.03</v>
      </c>
      <c r="G76" s="19">
        <f>HYPERLINK("https://www.tradingview.com/chart/?symbol=NSE:UNITDSPR","Chart 📈")</f>
        <v/>
      </c>
    </row>
    <row r="77" ht="16" customHeight="1">
      <c r="A77" s="12" t="inlineStr">
        <is>
          <t>NIFTY ENERGY</t>
        </is>
      </c>
      <c r="B77" s="13" t="inlineStr">
        <is>
          <t>ABB</t>
        </is>
      </c>
      <c r="C77" s="14" t="n">
        <v>7609</v>
      </c>
      <c r="D77" s="14" t="n">
        <v>7507.1</v>
      </c>
      <c r="E77" s="14" t="n">
        <v>7304.09</v>
      </c>
      <c r="F77" s="14" t="n">
        <v>6472.25</v>
      </c>
      <c r="G77" s="15">
        <f>HYPERLINK("https://www.tradingview.com/chart/?symbol=NSE:ABB","Chart 📈")</f>
        <v/>
      </c>
    </row>
    <row r="78" ht="16" customHeight="1">
      <c r="A78" s="16" t="inlineStr">
        <is>
          <t>NIFTY ENERGY</t>
        </is>
      </c>
      <c r="B78" s="13" t="inlineStr">
        <is>
          <t>BHEL</t>
        </is>
      </c>
      <c r="C78" s="14" t="n">
        <v>415.5</v>
      </c>
      <c r="D78" s="14" t="n">
        <v>414.71</v>
      </c>
      <c r="E78" s="14" t="n">
        <v>405.86</v>
      </c>
      <c r="F78" s="14" t="n">
        <v>342.33</v>
      </c>
      <c r="G78" s="15">
        <f>HYPERLINK("https://www.tradingview.com/chart/?symbol=NSE:BHEL","Chart 📈")</f>
        <v/>
      </c>
    </row>
    <row r="79" ht="16" customHeight="1">
      <c r="A79" s="16" t="inlineStr">
        <is>
          <t>NIFTY ENERGY</t>
        </is>
      </c>
      <c r="B79" s="13" t="inlineStr">
        <is>
          <t>SIEMENS</t>
        </is>
      </c>
      <c r="C79" s="14" t="n">
        <v>4043</v>
      </c>
      <c r="D79" s="14" t="n">
        <v>3927.05</v>
      </c>
      <c r="E79" s="14" t="n">
        <v>3796.21</v>
      </c>
      <c r="F79" s="14" t="n">
        <v>3496.05</v>
      </c>
      <c r="G79" s="15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2026-08-26T11:38:03Z</dcterms:created>
  <dcterms:modified xmlns:dcterms="http://purl.org/dc/terms/" xmlns:xsi="http://www.w3.org/2001/XMLSchema-instance" xsi:type="dcterms:W3CDTF">2026-08-26T11:38:03Z</dcterms:modified>
</cp:coreProperties>
</file>