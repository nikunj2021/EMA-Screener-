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21-Oct-2026  16:02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MIDSMALL IT &amp; TELECOM</t>
        </is>
      </c>
      <c r="B4" s="5" t="n">
        <v>20</v>
      </c>
      <c r="C4" s="5" t="n">
        <v>12</v>
      </c>
      <c r="D4" s="5" t="n">
        <v>10</v>
      </c>
      <c r="E4" s="5" t="n">
        <v>8</v>
      </c>
      <c r="F4" s="6" t="n">
        <v>0.6</v>
      </c>
      <c r="G4" s="6" t="n">
        <v>0.5</v>
      </c>
      <c r="H4" s="6" t="n">
        <v>0.4</v>
      </c>
      <c r="I4" s="7" t="n">
        <v>0.5</v>
      </c>
    </row>
    <row r="5" ht="17" customHeight="1">
      <c r="A5" s="8" t="inlineStr">
        <is>
          <t>NIFTY MEDIA</t>
        </is>
      </c>
      <c r="B5" s="9" t="n">
        <v>10</v>
      </c>
      <c r="C5" s="9" t="n">
        <v>5</v>
      </c>
      <c r="D5" s="9" t="n">
        <v>5</v>
      </c>
      <c r="E5" s="9" t="n">
        <v>5</v>
      </c>
      <c r="F5" s="10" t="n">
        <v>0.5</v>
      </c>
      <c r="G5" s="10" t="n">
        <v>0.5</v>
      </c>
      <c r="H5" s="10" t="n">
        <v>0.5</v>
      </c>
      <c r="I5" s="11" t="n">
        <v>0.5</v>
      </c>
    </row>
    <row r="6" ht="17" customHeight="1">
      <c r="A6" s="4" t="inlineStr">
        <is>
          <t>NIFTY IT</t>
        </is>
      </c>
      <c r="B6" s="5" t="n">
        <v>10</v>
      </c>
      <c r="C6" s="5" t="n">
        <v>5</v>
      </c>
      <c r="D6" s="5" t="n">
        <v>5</v>
      </c>
      <c r="E6" s="5" t="n">
        <v>3</v>
      </c>
      <c r="F6" s="6" t="n">
        <v>0.5</v>
      </c>
      <c r="G6" s="6" t="n">
        <v>0.5</v>
      </c>
      <c r="H6" s="6" t="n">
        <v>0.3</v>
      </c>
      <c r="I6" s="7" t="n">
        <v>0.4333</v>
      </c>
    </row>
    <row r="7" ht="17" customHeight="1">
      <c r="A7" s="8" t="inlineStr">
        <is>
          <t>NIFTY PSU BANK</t>
        </is>
      </c>
      <c r="B7" s="9" t="n">
        <v>12</v>
      </c>
      <c r="C7" s="9" t="n">
        <v>5</v>
      </c>
      <c r="D7" s="9" t="n">
        <v>4</v>
      </c>
      <c r="E7" s="9" t="n">
        <v>4</v>
      </c>
      <c r="F7" s="10" t="n">
        <v>0.417</v>
      </c>
      <c r="G7" s="10" t="n">
        <v>0.333</v>
      </c>
      <c r="H7" s="10" t="n">
        <v>0.333</v>
      </c>
      <c r="I7" s="11" t="n">
        <v>0.361</v>
      </c>
    </row>
    <row r="8" ht="17" customHeight="1">
      <c r="A8" s="4" t="inlineStr">
        <is>
          <t>NIFTY PHARMA</t>
        </is>
      </c>
      <c r="B8" s="5" t="n">
        <v>20</v>
      </c>
      <c r="C8" s="5" t="n">
        <v>2</v>
      </c>
      <c r="D8" s="5" t="n">
        <v>5</v>
      </c>
      <c r="E8" s="5" t="n">
        <v>10</v>
      </c>
      <c r="F8" s="6" t="n">
        <v>0.1</v>
      </c>
      <c r="G8" s="6" t="n">
        <v>0.25</v>
      </c>
      <c r="H8" s="6" t="n">
        <v>0.5</v>
      </c>
      <c r="I8" s="7" t="n">
        <v>0.2833</v>
      </c>
    </row>
    <row r="9" ht="17" customHeight="1">
      <c r="A9" s="8" t="inlineStr">
        <is>
          <t>NIFTY REALTY</t>
        </is>
      </c>
      <c r="B9" s="9" t="n">
        <v>10</v>
      </c>
      <c r="C9" s="9" t="n">
        <v>2</v>
      </c>
      <c r="D9" s="9" t="n">
        <v>2</v>
      </c>
      <c r="E9" s="9" t="n">
        <v>3</v>
      </c>
      <c r="F9" s="10" t="n">
        <v>0.2</v>
      </c>
      <c r="G9" s="10" t="n">
        <v>0.2</v>
      </c>
      <c r="H9" s="10" t="n">
        <v>0.3</v>
      </c>
      <c r="I9" s="11" t="n">
        <v>0.2333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4</v>
      </c>
      <c r="D10" s="5" t="n">
        <v>2</v>
      </c>
      <c r="E10" s="5" t="n">
        <v>4</v>
      </c>
      <c r="F10" s="6" t="n">
        <v>0.267</v>
      </c>
      <c r="G10" s="6" t="n">
        <v>0.133</v>
      </c>
      <c r="H10" s="6" t="n">
        <v>0.267</v>
      </c>
      <c r="I10" s="7" t="n">
        <v>0.2223</v>
      </c>
    </row>
    <row r="11" ht="17" customHeight="1">
      <c r="A11" s="8" t="inlineStr">
        <is>
          <t>NIFTY FINANCIAL SERVICES</t>
        </is>
      </c>
      <c r="B11" s="9" t="n">
        <v>20</v>
      </c>
      <c r="C11" s="9" t="n">
        <v>3</v>
      </c>
      <c r="D11" s="9" t="n">
        <v>3</v>
      </c>
      <c r="E11" s="9" t="n">
        <v>3</v>
      </c>
      <c r="F11" s="10" t="n">
        <v>0.15</v>
      </c>
      <c r="G11" s="10" t="n">
        <v>0.15</v>
      </c>
      <c r="H11" s="10" t="n">
        <v>0.15</v>
      </c>
      <c r="I11" s="11" t="n">
        <v>0.15</v>
      </c>
    </row>
    <row r="12" ht="17" customHeight="1">
      <c r="A12" s="4" t="inlineStr">
        <is>
          <t>NIFTY METAL</t>
        </is>
      </c>
      <c r="B12" s="5" t="n">
        <v>15</v>
      </c>
      <c r="C12" s="5" t="n">
        <v>1</v>
      </c>
      <c r="D12" s="5" t="n">
        <v>2</v>
      </c>
      <c r="E12" s="5" t="n">
        <v>3</v>
      </c>
      <c r="F12" s="6" t="n">
        <v>0.067</v>
      </c>
      <c r="G12" s="6" t="n">
        <v>0.133</v>
      </c>
      <c r="H12" s="6" t="n">
        <v>0.2</v>
      </c>
      <c r="I12" s="7" t="n">
        <v>0.1333</v>
      </c>
    </row>
    <row r="13" ht="17" customHeight="1">
      <c r="A13" s="8" t="inlineStr">
        <is>
          <t>NIFTY CONSUMER DURABLES</t>
        </is>
      </c>
      <c r="B13" s="9" t="n">
        <v>15</v>
      </c>
      <c r="C13" s="9" t="n">
        <v>1</v>
      </c>
      <c r="D13" s="9" t="n">
        <v>2</v>
      </c>
      <c r="E13" s="9" t="n">
        <v>2</v>
      </c>
      <c r="F13" s="10" t="n">
        <v>0.067</v>
      </c>
      <c r="G13" s="10" t="n">
        <v>0.133</v>
      </c>
      <c r="H13" s="10" t="n">
        <v>0.133</v>
      </c>
      <c r="I13" s="11" t="n">
        <v>0.111</v>
      </c>
    </row>
    <row r="14" ht="17" customHeight="1">
      <c r="A14" s="4" t="inlineStr">
        <is>
          <t>NIFTY AUTO</t>
        </is>
      </c>
      <c r="B14" s="5" t="n">
        <v>15</v>
      </c>
      <c r="C14" s="5" t="n">
        <v>1</v>
      </c>
      <c r="D14" s="5" t="n">
        <v>0</v>
      </c>
      <c r="E14" s="5" t="n">
        <v>3</v>
      </c>
      <c r="F14" s="6" t="n">
        <v>0.067</v>
      </c>
      <c r="G14" s="6" t="n">
        <v>0</v>
      </c>
      <c r="H14" s="6" t="n">
        <v>0.2</v>
      </c>
      <c r="I14" s="7" t="n">
        <v>0.08900000000000001</v>
      </c>
    </row>
    <row r="15" ht="17" customHeight="1">
      <c r="A15" s="8" t="inlineStr">
        <is>
          <t>NIFTY BANK</t>
        </is>
      </c>
      <c r="B15" s="9" t="n">
        <v>12</v>
      </c>
      <c r="C15" s="9" t="n">
        <v>1</v>
      </c>
      <c r="D15" s="9" t="n">
        <v>1</v>
      </c>
      <c r="E15" s="9" t="n">
        <v>1</v>
      </c>
      <c r="F15" s="10" t="n">
        <v>0.083</v>
      </c>
      <c r="G15" s="10" t="n">
        <v>0.083</v>
      </c>
      <c r="H15" s="10" t="n">
        <v>0.083</v>
      </c>
      <c r="I15" s="11" t="n">
        <v>0.083</v>
      </c>
    </row>
    <row r="16" ht="17" customHeight="1">
      <c r="A16" s="4" t="inlineStr">
        <is>
          <t>NIFTY FMCG</t>
        </is>
      </c>
      <c r="B16" s="5" t="n">
        <v>15</v>
      </c>
      <c r="C16" s="5" t="n">
        <v>0</v>
      </c>
      <c r="D16" s="5" t="n">
        <v>1</v>
      </c>
      <c r="E16" s="5" t="n">
        <v>2</v>
      </c>
      <c r="F16" s="6" t="n">
        <v>0</v>
      </c>
      <c r="G16" s="6" t="n">
        <v>0.067</v>
      </c>
      <c r="H16" s="6" t="n">
        <v>0.133</v>
      </c>
      <c r="I16" s="7" t="n">
        <v>0.0667</v>
      </c>
    </row>
    <row r="17" ht="17" customHeight="1">
      <c r="A17" s="8" t="inlineStr">
        <is>
          <t>NIFTY ENERGY</t>
        </is>
      </c>
      <c r="B17" s="9" t="n">
        <v>40</v>
      </c>
      <c r="C17" s="9" t="n">
        <v>0</v>
      </c>
      <c r="D17" s="9" t="n">
        <v>0</v>
      </c>
      <c r="E17" s="9" t="n">
        <v>3</v>
      </c>
      <c r="F17" s="10" t="n">
        <v>0</v>
      </c>
      <c r="G17" s="10" t="n">
        <v>0</v>
      </c>
      <c r="H17" s="10" t="n">
        <v>0.075</v>
      </c>
      <c r="I17" s="11" t="n">
        <v>0.025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MIDSMALL IT &amp; TELECOM</t>
        </is>
      </c>
      <c r="B3" s="13" t="inlineStr">
        <is>
          <t>COFORGE</t>
        </is>
      </c>
      <c r="C3" s="14" t="n">
        <v>1951</v>
      </c>
      <c r="D3" s="14" t="n">
        <v>1875.47</v>
      </c>
      <c r="E3" s="14" t="n">
        <v>1818.31</v>
      </c>
      <c r="F3" s="14" t="n">
        <v>1644.69</v>
      </c>
      <c r="G3" s="15">
        <f>HYPERLINK("https://www.tradingview.com/chart/?symbol=NSE:COFORGE","Chart 📈")</f>
        <v/>
      </c>
    </row>
    <row r="4" ht="16" customHeight="1">
      <c r="A4" s="16" t="inlineStr">
        <is>
          <t>NIFTY MIDSMALL IT &amp; TELECOM</t>
        </is>
      </c>
      <c r="B4" s="13" t="inlineStr">
        <is>
          <t>CYIENT</t>
        </is>
      </c>
      <c r="C4" s="14" t="n">
        <v>1169.7</v>
      </c>
      <c r="D4" s="14" t="n">
        <v>1134.66</v>
      </c>
      <c r="E4" s="14" t="n">
        <v>1066.81</v>
      </c>
      <c r="F4" s="14" t="n">
        <v>1003.26</v>
      </c>
      <c r="G4" s="15">
        <f>HYPERLINK("https://www.tradingview.com/chart/?symbol=NSE:CYIENT","Chart 📈")</f>
        <v/>
      </c>
    </row>
    <row r="5" ht="16" customHeight="1">
      <c r="A5" s="16" t="inlineStr">
        <is>
          <t>NIFTY MIDSMALL IT &amp; TELECOM</t>
        </is>
      </c>
      <c r="B5" s="13" t="inlineStr">
        <is>
          <t>HFCL</t>
        </is>
      </c>
      <c r="C5" s="14" t="n">
        <v>264.78</v>
      </c>
      <c r="D5" s="14" t="n">
        <v>248.86</v>
      </c>
      <c r="E5" s="14" t="n">
        <v>234.12</v>
      </c>
      <c r="F5" s="14" t="n">
        <v>173.27</v>
      </c>
      <c r="G5" s="15">
        <f>HYPERLINK("https://www.tradingview.com/chart/?symbol=NSE:HFCL","Chart 📈")</f>
        <v/>
      </c>
    </row>
    <row r="6" ht="16" customHeight="1">
      <c r="A6" s="16" t="inlineStr">
        <is>
          <t>NIFTY MIDSMALL IT &amp; TELECOM</t>
        </is>
      </c>
      <c r="B6" s="13" t="inlineStr">
        <is>
          <t>LTTS</t>
        </is>
      </c>
      <c r="C6" s="14" t="n">
        <v>3996.3</v>
      </c>
      <c r="D6" s="14" t="n">
        <v>3469.08</v>
      </c>
      <c r="E6" s="14" t="n">
        <v>3424.73</v>
      </c>
      <c r="F6" s="14" t="n">
        <v>3547.47</v>
      </c>
      <c r="G6" s="15">
        <f>HYPERLINK("https://www.tradingview.com/chart/?symbol=NSE:LTTS","Chart 📈")</f>
        <v/>
      </c>
    </row>
    <row r="7" ht="16" customHeight="1">
      <c r="A7" s="16" t="inlineStr">
        <is>
          <t>NIFTY MIDSMALL IT &amp; TELECOM</t>
        </is>
      </c>
      <c r="B7" s="13" t="inlineStr">
        <is>
          <t>MPHASIS</t>
        </is>
      </c>
      <c r="C7" s="14" t="n">
        <v>2575</v>
      </c>
      <c r="D7" s="14" t="n">
        <v>2388.73</v>
      </c>
      <c r="E7" s="14" t="n">
        <v>2361.63</v>
      </c>
      <c r="F7" s="14" t="n">
        <v>2382.41</v>
      </c>
      <c r="G7" s="15">
        <f>HYPERLINK("https://www.tradingview.com/chart/?symbol=NSE:MPHASIS","Chart 📈")</f>
        <v/>
      </c>
    </row>
    <row r="8" ht="16" customHeight="1">
      <c r="A8" s="16" t="inlineStr">
        <is>
          <t>NIFTY MIDSMALL IT &amp; TELECOM</t>
        </is>
      </c>
      <c r="B8" s="13" t="inlineStr">
        <is>
          <t>PERSISTENT</t>
        </is>
      </c>
      <c r="C8" s="14" t="n">
        <v>5858.5</v>
      </c>
      <c r="D8" s="14" t="n">
        <v>5644.51</v>
      </c>
      <c r="E8" s="14" t="n">
        <v>5522.93</v>
      </c>
      <c r="F8" s="14" t="n">
        <v>5414.14</v>
      </c>
      <c r="G8" s="15">
        <f>HYPERLINK("https://www.tradingview.com/chart/?symbol=NSE:PERSISTENT","Chart 📈")</f>
        <v/>
      </c>
    </row>
    <row r="9" ht="16" customHeight="1">
      <c r="A9" s="16" t="inlineStr">
        <is>
          <t>NIFTY MIDSMALL IT &amp; TELECOM</t>
        </is>
      </c>
      <c r="B9" s="13" t="inlineStr">
        <is>
          <t>TANLA</t>
        </is>
      </c>
      <c r="C9" s="14" t="n">
        <v>562.1</v>
      </c>
      <c r="D9" s="14" t="n">
        <v>524.79</v>
      </c>
      <c r="E9" s="14" t="n">
        <v>526.66</v>
      </c>
      <c r="F9" s="14" t="n">
        <v>533.21</v>
      </c>
      <c r="G9" s="15">
        <f>HYPERLINK("https://www.tradingview.com/chart/?symbol=NSE:TANLA","Chart 📈")</f>
        <v/>
      </c>
    </row>
    <row r="10" ht="16" customHeight="1">
      <c r="A10" s="8" t="inlineStr">
        <is>
          <t>NIFTY MEDIA</t>
        </is>
      </c>
      <c r="B10" s="17" t="inlineStr">
        <is>
          <t>NAZARA</t>
        </is>
      </c>
      <c r="C10" s="18" t="n">
        <v>398.9</v>
      </c>
      <c r="D10" s="18" t="n">
        <v>390.54</v>
      </c>
      <c r="E10" s="18" t="n">
        <v>370.94</v>
      </c>
      <c r="F10" s="18" t="n">
        <v>317.7</v>
      </c>
      <c r="G10" s="19">
        <f>HYPERLINK("https://www.tradingview.com/chart/?symbol=NSE:NAZARA","Chart 📈")</f>
        <v/>
      </c>
    </row>
    <row r="11" ht="16" customHeight="1">
      <c r="A11" s="20" t="inlineStr">
        <is>
          <t>NIFTY MEDIA</t>
        </is>
      </c>
      <c r="B11" s="17" t="inlineStr">
        <is>
          <t>PVRINOX</t>
        </is>
      </c>
      <c r="C11" s="18" t="n">
        <v>1417.9</v>
      </c>
      <c r="D11" s="18" t="n">
        <v>1332.31</v>
      </c>
      <c r="E11" s="18" t="n">
        <v>1258.64</v>
      </c>
      <c r="F11" s="18" t="n">
        <v>1128.91</v>
      </c>
      <c r="G11" s="19">
        <f>HYPERLINK("https://www.tradingview.com/chart/?symbol=NSE:PVRINOX","Chart 📈")</f>
        <v/>
      </c>
    </row>
    <row r="12" ht="16" customHeight="1">
      <c r="A12" s="20" t="inlineStr">
        <is>
          <t>NIFTY MEDIA</t>
        </is>
      </c>
      <c r="B12" s="17" t="inlineStr">
        <is>
          <t>SAREGAMA</t>
        </is>
      </c>
      <c r="C12" s="18" t="n">
        <v>510.4</v>
      </c>
      <c r="D12" s="18" t="n">
        <v>500.29</v>
      </c>
      <c r="E12" s="18" t="n">
        <v>497.1</v>
      </c>
      <c r="F12" s="18" t="n">
        <v>452.85</v>
      </c>
      <c r="G12" s="19">
        <f>HYPERLINK("https://www.tradingview.com/chart/?symbol=NSE:SAREGAMA","Chart 📈")</f>
        <v/>
      </c>
    </row>
    <row r="13" ht="16" customHeight="1">
      <c r="A13" s="20" t="inlineStr">
        <is>
          <t>NIFTY MEDIA</t>
        </is>
      </c>
      <c r="B13" s="17" t="inlineStr">
        <is>
          <t>SUNTV</t>
        </is>
      </c>
      <c r="C13" s="18" t="n">
        <v>627.15</v>
      </c>
      <c r="D13" s="18" t="n">
        <v>596.27</v>
      </c>
      <c r="E13" s="18" t="n">
        <v>547.53</v>
      </c>
      <c r="F13" s="18" t="n">
        <v>533.59</v>
      </c>
      <c r="G13" s="19">
        <f>HYPERLINK("https://www.tradingview.com/chart/?symbol=NSE:SUNTV","Chart 📈")</f>
        <v/>
      </c>
    </row>
    <row r="14" ht="16" customHeight="1">
      <c r="A14" s="20" t="inlineStr">
        <is>
          <t>NIFTY MEDIA</t>
        </is>
      </c>
      <c r="B14" s="17" t="inlineStr">
        <is>
          <t>TIPSMUSIC</t>
        </is>
      </c>
      <c r="C14" s="18" t="n">
        <v>748</v>
      </c>
      <c r="D14" s="18" t="n">
        <v>688.35</v>
      </c>
      <c r="E14" s="18" t="n">
        <v>670.86</v>
      </c>
      <c r="F14" s="18" t="n">
        <v>625.33</v>
      </c>
      <c r="G14" s="19">
        <f>HYPERLINK("https://www.tradingview.com/chart/?symbol=NSE:TIPSMUSIC","Chart 📈")</f>
        <v/>
      </c>
    </row>
    <row r="15" ht="16" customHeight="1">
      <c r="A15" s="12" t="inlineStr">
        <is>
          <t>NIFTY IT</t>
        </is>
      </c>
      <c r="B15" s="13" t="inlineStr">
        <is>
          <t>HCLTECH</t>
        </is>
      </c>
      <c r="C15" s="14" t="n">
        <v>1424.2</v>
      </c>
      <c r="D15" s="14" t="n">
        <v>1287.45</v>
      </c>
      <c r="E15" s="14" t="n">
        <v>1266.61</v>
      </c>
      <c r="F15" s="14" t="n">
        <v>1293.26</v>
      </c>
      <c r="G15" s="15">
        <f>HYPERLINK("https://www.tradingview.com/chart/?symbol=NSE:HCLTECH","Chart 📈")</f>
        <v/>
      </c>
    </row>
    <row r="16" ht="16" customHeight="1">
      <c r="A16" s="16" t="inlineStr">
        <is>
          <t>NIFTY IT</t>
        </is>
      </c>
      <c r="B16" s="13" t="inlineStr">
        <is>
          <t>TCS</t>
        </is>
      </c>
      <c r="C16" s="14" t="n">
        <v>2529</v>
      </c>
      <c r="D16" s="14" t="n">
        <v>2250.5</v>
      </c>
      <c r="E16" s="14" t="n">
        <v>2227.54</v>
      </c>
      <c r="F16" s="14" t="n">
        <v>2390.42</v>
      </c>
      <c r="G16" s="15">
        <f>HYPERLINK("https://www.tradingview.com/chart/?symbol=NSE:TCS","Chart 📈")</f>
        <v/>
      </c>
    </row>
    <row r="17" ht="16" customHeight="1">
      <c r="A17" s="16" t="inlineStr">
        <is>
          <t>NIFTY IT</t>
        </is>
      </c>
      <c r="B17" s="13" t="inlineStr">
        <is>
          <t>TECHM</t>
        </is>
      </c>
      <c r="C17" s="14" t="n">
        <v>1834.7</v>
      </c>
      <c r="D17" s="14" t="n">
        <v>1611.89</v>
      </c>
      <c r="E17" s="14" t="n">
        <v>1577.51</v>
      </c>
      <c r="F17" s="14" t="n">
        <v>1508.93</v>
      </c>
      <c r="G17" s="15">
        <f>HYPERLINK("https://www.tradingview.com/chart/?symbol=NSE:TECHM","Chart 📈")</f>
        <v/>
      </c>
    </row>
    <row r="18" ht="16" customHeight="1">
      <c r="A18" s="8" t="inlineStr">
        <is>
          <t>NIFTY PSU BANK</t>
        </is>
      </c>
      <c r="B18" s="17" t="inlineStr">
        <is>
          <t>INDIANB</t>
        </is>
      </c>
      <c r="C18" s="18" t="n">
        <v>859</v>
      </c>
      <c r="D18" s="18" t="n">
        <v>837.24</v>
      </c>
      <c r="E18" s="18" t="n">
        <v>842.39</v>
      </c>
      <c r="F18" s="18" t="n">
        <v>843.4299999999999</v>
      </c>
      <c r="G18" s="19">
        <f>HYPERLINK("https://www.tradingview.com/chart/?symbol=NSE:INDIANB","Chart 📈")</f>
        <v/>
      </c>
    </row>
    <row r="19" ht="16" customHeight="1">
      <c r="A19" s="20" t="inlineStr">
        <is>
          <t>NIFTY PSU BANK</t>
        </is>
      </c>
      <c r="B19" s="17" t="inlineStr">
        <is>
          <t>PNB</t>
        </is>
      </c>
      <c r="C19" s="18" t="n">
        <v>122.5</v>
      </c>
      <c r="D19" s="18" t="n">
        <v>116.65</v>
      </c>
      <c r="E19" s="18" t="n">
        <v>115.18</v>
      </c>
      <c r="F19" s="18" t="n">
        <v>112.88</v>
      </c>
      <c r="G19" s="19">
        <f>HYPERLINK("https://www.tradingview.com/chart/?symbol=NSE:PNB","Chart 📈")</f>
        <v/>
      </c>
    </row>
    <row r="20" ht="16" customHeight="1">
      <c r="A20" s="20" t="inlineStr">
        <is>
          <t>NIFTY PSU BANK</t>
        </is>
      </c>
      <c r="B20" s="17" t="inlineStr">
        <is>
          <t>UNIONBANK</t>
        </is>
      </c>
      <c r="C20" s="18" t="n">
        <v>182</v>
      </c>
      <c r="D20" s="18" t="n">
        <v>175.07</v>
      </c>
      <c r="E20" s="18" t="n">
        <v>176.06</v>
      </c>
      <c r="F20" s="18" t="n">
        <v>169.34</v>
      </c>
      <c r="G20" s="19">
        <f>HYPERLINK("https://www.tradingview.com/chart/?symbol=NSE:UNIONBANK","Chart 📈")</f>
        <v/>
      </c>
    </row>
    <row r="21" ht="16" customHeight="1">
      <c r="A21" s="12" t="inlineStr">
        <is>
          <t>NIFTY PHARMA</t>
        </is>
      </c>
      <c r="B21" s="13" t="inlineStr">
        <is>
          <t>DRREDDY</t>
        </is>
      </c>
      <c r="C21" s="14" t="n">
        <v>1244.5</v>
      </c>
      <c r="D21" s="14" t="n">
        <v>1214.87</v>
      </c>
      <c r="E21" s="14" t="n">
        <v>1205.02</v>
      </c>
      <c r="F21" s="14" t="n">
        <v>1231.63</v>
      </c>
      <c r="G21" s="15">
        <f>HYPERLINK("https://www.tradingview.com/chart/?symbol=NSE:DRREDDY","Chart 📈")</f>
        <v/>
      </c>
    </row>
    <row r="22" ht="16" customHeight="1">
      <c r="A22" s="16" t="inlineStr">
        <is>
          <t>NIFTY PHARMA</t>
        </is>
      </c>
      <c r="B22" s="13" t="inlineStr">
        <is>
          <t>IPCALAB</t>
        </is>
      </c>
      <c r="C22" s="14" t="n">
        <v>1918.9</v>
      </c>
      <c r="D22" s="14" t="n">
        <v>1914.07</v>
      </c>
      <c r="E22" s="14" t="n">
        <v>1896.03</v>
      </c>
      <c r="F22" s="14" t="n">
        <v>1693.45</v>
      </c>
      <c r="G22" s="15">
        <f>HYPERLINK("https://www.tradingview.com/chart/?symbol=NSE:IPCALAB","Chart 📈")</f>
        <v/>
      </c>
    </row>
    <row r="23" ht="16" customHeight="1">
      <c r="A23" s="8" t="inlineStr">
        <is>
          <t>NIFTY REALTY</t>
        </is>
      </c>
      <c r="B23" s="17" t="inlineStr">
        <is>
          <t>DLF</t>
        </is>
      </c>
      <c r="C23" s="18" t="n">
        <v>664</v>
      </c>
      <c r="D23" s="18" t="n">
        <v>663.3</v>
      </c>
      <c r="E23" s="18" t="n">
        <v>659.35</v>
      </c>
      <c r="F23" s="18" t="n">
        <v>649.85</v>
      </c>
      <c r="G23" s="19">
        <f>HYPERLINK("https://www.tradingview.com/chart/?symbol=NSE:DLF","Chart 📈")</f>
        <v/>
      </c>
    </row>
    <row r="24" ht="16" customHeight="1">
      <c r="A24" s="12" t="inlineStr">
        <is>
          <t>NIFTY OIL &amp; GAS</t>
        </is>
      </c>
      <c r="B24" s="13" t="inlineStr">
        <is>
          <t>CASTROLIND</t>
        </is>
      </c>
      <c r="C24" s="14" t="n">
        <v>196.19</v>
      </c>
      <c r="D24" s="14" t="n">
        <v>195.82</v>
      </c>
      <c r="E24" s="14" t="n">
        <v>192.03</v>
      </c>
      <c r="F24" s="14" t="n">
        <v>184.35</v>
      </c>
      <c r="G24" s="15">
        <f>HYPERLINK("https://www.tradingview.com/chart/?symbol=NSE:CASTROLIND","Chart 📈")</f>
        <v/>
      </c>
    </row>
    <row r="25" ht="16" customHeight="1">
      <c r="A25" s="16" t="inlineStr">
        <is>
          <t>NIFTY OIL &amp; GAS</t>
        </is>
      </c>
      <c r="B25" s="13" t="inlineStr">
        <is>
          <t>PETRONET</t>
        </is>
      </c>
      <c r="C25" s="14" t="n">
        <v>295</v>
      </c>
      <c r="D25" s="14" t="n">
        <v>291.04</v>
      </c>
      <c r="E25" s="14" t="n">
        <v>287.96</v>
      </c>
      <c r="F25" s="14" t="n">
        <v>280.53</v>
      </c>
      <c r="G25" s="15">
        <f>HYPERLINK("https://www.tradingview.com/chart/?symbol=NSE:PETRONET","Chart 📈")</f>
        <v/>
      </c>
    </row>
    <row r="26" ht="16" customHeight="1">
      <c r="A26" s="8" t="inlineStr">
        <is>
          <t>NIFTY FINANCIAL SERVICES</t>
        </is>
      </c>
      <c r="B26" s="17" t="inlineStr">
        <is>
          <t>ICICIBANK</t>
        </is>
      </c>
      <c r="C26" s="18" t="n">
        <v>1385</v>
      </c>
      <c r="D26" s="18" t="n">
        <v>1361.27</v>
      </c>
      <c r="E26" s="18" t="n">
        <v>1369.52</v>
      </c>
      <c r="F26" s="18" t="n">
        <v>1358.4</v>
      </c>
      <c r="G26" s="19">
        <f>HYPERLINK("https://www.tradingview.com/chart/?symbol=NSE:ICICIBANK","Chart 📈")</f>
        <v/>
      </c>
    </row>
    <row r="27" ht="16" customHeight="1">
      <c r="A27" s="20" t="inlineStr">
        <is>
          <t>NIFTY FINANCIAL SERVICES</t>
        </is>
      </c>
      <c r="B27" s="17" t="inlineStr">
        <is>
          <t>KOTAKBANK</t>
        </is>
      </c>
      <c r="C27" s="18" t="n">
        <v>437.8</v>
      </c>
      <c r="D27" s="18" t="n">
        <v>431.37</v>
      </c>
      <c r="E27" s="18" t="n">
        <v>418.74</v>
      </c>
      <c r="F27" s="18" t="n">
        <v>407.19</v>
      </c>
      <c r="G27" s="19">
        <f>HYPERLINK("https://www.tradingview.com/chart/?symbol=NSE:KOTAKBANK","Chart 📈")</f>
        <v/>
      </c>
    </row>
    <row r="28" ht="16" customHeight="1">
      <c r="A28" s="12" t="inlineStr">
        <is>
          <t>NIFTY BANK</t>
        </is>
      </c>
      <c r="B28" s="13" t="inlineStr">
        <is>
          <t>FEDERALBNK</t>
        </is>
      </c>
      <c r="C28" s="14" t="n">
        <v>344</v>
      </c>
      <c r="D28" s="14" t="n">
        <v>333.34</v>
      </c>
      <c r="E28" s="14" t="n">
        <v>335.13</v>
      </c>
      <c r="F28" s="14" t="n">
        <v>309.88</v>
      </c>
      <c r="G28" s="15">
        <f>HYPERLINK("https://www.tradingview.com/chart/?symbol=NSE:FEDERALBNK","Chart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2026-10-21T16:02:23Z</dcterms:created>
  <dcterms:modified xmlns:dcterms="http://purl.org/dc/terms/" xmlns:xsi="http://www.w3.org/2001/XMLSchema-instance" xsi:type="dcterms:W3CDTF">2026-10-21T16:02:23Z</dcterms:modified>
</cp:coreProperties>
</file>