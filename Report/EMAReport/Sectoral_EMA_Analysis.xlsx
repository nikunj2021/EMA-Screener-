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22-Jul-2026  12:35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REALTY</t>
        </is>
      </c>
      <c r="B4" s="5" t="n">
        <v>10</v>
      </c>
      <c r="C4" s="5" t="n">
        <v>8</v>
      </c>
      <c r="D4" s="5" t="n">
        <v>10</v>
      </c>
      <c r="E4" s="5" t="n">
        <v>8</v>
      </c>
      <c r="F4" s="6" t="n">
        <v>0.8</v>
      </c>
      <c r="G4" s="6" t="n">
        <v>1</v>
      </c>
      <c r="H4" s="6" t="n">
        <v>0.8</v>
      </c>
      <c r="I4" s="7" t="n">
        <v>0.8667</v>
      </c>
    </row>
    <row r="5" ht="17" customHeight="1">
      <c r="A5" s="8" t="inlineStr">
        <is>
          <t>NIFTY PHARMA</t>
        </is>
      </c>
      <c r="B5" s="9" t="n">
        <v>20</v>
      </c>
      <c r="C5" s="9" t="n">
        <v>12</v>
      </c>
      <c r="D5" s="9" t="n">
        <v>17</v>
      </c>
      <c r="E5" s="9" t="n">
        <v>18</v>
      </c>
      <c r="F5" s="10" t="n">
        <v>0.6</v>
      </c>
      <c r="G5" s="10" t="n">
        <v>0.85</v>
      </c>
      <c r="H5" s="10" t="n">
        <v>0.9</v>
      </c>
      <c r="I5" s="11" t="n">
        <v>0.7833</v>
      </c>
    </row>
    <row r="6" ht="17" customHeight="1">
      <c r="A6" s="4" t="inlineStr">
        <is>
          <t>NIFTY AUTO</t>
        </is>
      </c>
      <c r="B6" s="5" t="n">
        <v>15</v>
      </c>
      <c r="C6" s="5" t="n">
        <v>9</v>
      </c>
      <c r="D6" s="5" t="n">
        <v>11</v>
      </c>
      <c r="E6" s="5" t="n">
        <v>7</v>
      </c>
      <c r="F6" s="6" t="n">
        <v>0.6</v>
      </c>
      <c r="G6" s="6" t="n">
        <v>0.733</v>
      </c>
      <c r="H6" s="6" t="n">
        <v>0.467</v>
      </c>
      <c r="I6" s="7" t="n">
        <v>0.6</v>
      </c>
    </row>
    <row r="7" ht="17" customHeight="1">
      <c r="A7" s="8" t="inlineStr">
        <is>
          <t>NIFTY FMCG</t>
        </is>
      </c>
      <c r="B7" s="9" t="n">
        <v>15</v>
      </c>
      <c r="C7" s="9" t="n">
        <v>11</v>
      </c>
      <c r="D7" s="9" t="n">
        <v>9</v>
      </c>
      <c r="E7" s="9" t="n">
        <v>6</v>
      </c>
      <c r="F7" s="10" t="n">
        <v>0.733</v>
      </c>
      <c r="G7" s="10" t="n">
        <v>0.6</v>
      </c>
      <c r="H7" s="10" t="n">
        <v>0.4</v>
      </c>
      <c r="I7" s="11" t="n">
        <v>0.5777</v>
      </c>
    </row>
    <row r="8" ht="17" customHeight="1">
      <c r="A8" s="4" t="inlineStr">
        <is>
          <t>NIFTY PSU BANK</t>
        </is>
      </c>
      <c r="B8" s="5" t="n">
        <v>12</v>
      </c>
      <c r="C8" s="5" t="n">
        <v>6</v>
      </c>
      <c r="D8" s="5" t="n">
        <v>6</v>
      </c>
      <c r="E8" s="5" t="n">
        <v>6</v>
      </c>
      <c r="F8" s="6" t="n">
        <v>0.5</v>
      </c>
      <c r="G8" s="6" t="n">
        <v>0.5</v>
      </c>
      <c r="H8" s="6" t="n">
        <v>0.5</v>
      </c>
      <c r="I8" s="7" t="n">
        <v>0.5</v>
      </c>
    </row>
    <row r="9" ht="17" customHeight="1">
      <c r="A9" s="8" t="inlineStr">
        <is>
          <t>NIFTY CONSUMER DURABLES</t>
        </is>
      </c>
      <c r="B9" s="9" t="n">
        <v>15</v>
      </c>
      <c r="C9" s="9" t="n">
        <v>7</v>
      </c>
      <c r="D9" s="9" t="n">
        <v>7</v>
      </c>
      <c r="E9" s="9" t="n">
        <v>7</v>
      </c>
      <c r="F9" s="10" t="n">
        <v>0.467</v>
      </c>
      <c r="G9" s="10" t="n">
        <v>0.467</v>
      </c>
      <c r="H9" s="10" t="n">
        <v>0.467</v>
      </c>
      <c r="I9" s="11" t="n">
        <v>0.467</v>
      </c>
    </row>
    <row r="10" ht="17" customHeight="1">
      <c r="A10" s="4" t="inlineStr">
        <is>
          <t>NIFTY OIL &amp; GAS</t>
        </is>
      </c>
      <c r="B10" s="5" t="n">
        <v>15</v>
      </c>
      <c r="C10" s="5" t="n">
        <v>8</v>
      </c>
      <c r="D10" s="5" t="n">
        <v>8</v>
      </c>
      <c r="E10" s="5" t="n">
        <v>5</v>
      </c>
      <c r="F10" s="6" t="n">
        <v>0.5329999999999999</v>
      </c>
      <c r="G10" s="6" t="n">
        <v>0.5329999999999999</v>
      </c>
      <c r="H10" s="6" t="n">
        <v>0.333</v>
      </c>
      <c r="I10" s="7" t="n">
        <v>0.4663</v>
      </c>
    </row>
    <row r="11" ht="17" customHeight="1">
      <c r="A11" s="8" t="inlineStr">
        <is>
          <t>NIFTY METAL</t>
        </is>
      </c>
      <c r="B11" s="9" t="n">
        <v>15</v>
      </c>
      <c r="C11" s="9" t="n">
        <v>6</v>
      </c>
      <c r="D11" s="9" t="n">
        <v>4</v>
      </c>
      <c r="E11" s="9" t="n">
        <v>8</v>
      </c>
      <c r="F11" s="10" t="n">
        <v>0.4</v>
      </c>
      <c r="G11" s="10" t="n">
        <v>0.267</v>
      </c>
      <c r="H11" s="10" t="n">
        <v>0.5329999999999999</v>
      </c>
      <c r="I11" s="11" t="n">
        <v>0.4</v>
      </c>
    </row>
    <row r="12" ht="17" customHeight="1">
      <c r="A12" s="4" t="inlineStr">
        <is>
          <t>NIFTY MIDSMALL IT &amp; TELECOM</t>
        </is>
      </c>
      <c r="B12" s="5" t="n">
        <v>20</v>
      </c>
      <c r="C12" s="5" t="n">
        <v>7</v>
      </c>
      <c r="D12" s="5" t="n">
        <v>10</v>
      </c>
      <c r="E12" s="5" t="n">
        <v>7</v>
      </c>
      <c r="F12" s="6" t="n">
        <v>0.35</v>
      </c>
      <c r="G12" s="6" t="n">
        <v>0.5</v>
      </c>
      <c r="H12" s="6" t="n">
        <v>0.35</v>
      </c>
      <c r="I12" s="7" t="n">
        <v>0.4</v>
      </c>
    </row>
    <row r="13" ht="17" customHeight="1">
      <c r="A13" s="8" t="inlineStr">
        <is>
          <t>NIFTY MEDIA</t>
        </is>
      </c>
      <c r="B13" s="9" t="n">
        <v>10</v>
      </c>
      <c r="C13" s="9" t="n">
        <v>3</v>
      </c>
      <c r="D13" s="9" t="n">
        <v>4</v>
      </c>
      <c r="E13" s="9" t="n">
        <v>4</v>
      </c>
      <c r="F13" s="10" t="n">
        <v>0.3</v>
      </c>
      <c r="G13" s="10" t="n">
        <v>0.4</v>
      </c>
      <c r="H13" s="10" t="n">
        <v>0.4</v>
      </c>
      <c r="I13" s="11" t="n">
        <v>0.3667</v>
      </c>
    </row>
    <row r="14" ht="17" customHeight="1">
      <c r="A14" s="4" t="inlineStr">
        <is>
          <t>NIFTY FINANCIAL SERVICES</t>
        </is>
      </c>
      <c r="B14" s="5" t="n">
        <v>20</v>
      </c>
      <c r="C14" s="5" t="n">
        <v>6</v>
      </c>
      <c r="D14" s="5" t="n">
        <v>7</v>
      </c>
      <c r="E14" s="5" t="n">
        <v>7</v>
      </c>
      <c r="F14" s="6" t="n">
        <v>0.3</v>
      </c>
      <c r="G14" s="6" t="n">
        <v>0.35</v>
      </c>
      <c r="H14" s="6" t="n">
        <v>0.35</v>
      </c>
      <c r="I14" s="7" t="n">
        <v>0.3333</v>
      </c>
    </row>
    <row r="15" ht="17" customHeight="1">
      <c r="A15" s="8" t="inlineStr">
        <is>
          <t>NIFTY ENERGY</t>
        </is>
      </c>
      <c r="B15" s="9" t="n">
        <v>40</v>
      </c>
      <c r="C15" s="9" t="n">
        <v>9</v>
      </c>
      <c r="D15" s="9" t="n">
        <v>10</v>
      </c>
      <c r="E15" s="9" t="n">
        <v>18</v>
      </c>
      <c r="F15" s="10" t="n">
        <v>0.225</v>
      </c>
      <c r="G15" s="10" t="n">
        <v>0.25</v>
      </c>
      <c r="H15" s="10" t="n">
        <v>0.45</v>
      </c>
      <c r="I15" s="11" t="n">
        <v>0.3083</v>
      </c>
    </row>
    <row r="16" ht="17" customHeight="1">
      <c r="A16" s="4" t="inlineStr">
        <is>
          <t>NIFTY BANK</t>
        </is>
      </c>
      <c r="B16" s="5" t="n">
        <v>12</v>
      </c>
      <c r="C16" s="5" t="n">
        <v>3</v>
      </c>
      <c r="D16" s="5" t="n">
        <v>3</v>
      </c>
      <c r="E16" s="5" t="n">
        <v>4</v>
      </c>
      <c r="F16" s="6" t="n">
        <v>0.25</v>
      </c>
      <c r="G16" s="6" t="n">
        <v>0.25</v>
      </c>
      <c r="H16" s="6" t="n">
        <v>0.333</v>
      </c>
      <c r="I16" s="7" t="n">
        <v>0.2777</v>
      </c>
    </row>
    <row r="17" ht="17" customHeight="1">
      <c r="A17" s="8" t="inlineStr">
        <is>
          <t>NIFTY IT</t>
        </is>
      </c>
      <c r="B17" s="9" t="n">
        <v>10</v>
      </c>
      <c r="C17" s="9" t="n">
        <v>3</v>
      </c>
      <c r="D17" s="9" t="n">
        <v>3</v>
      </c>
      <c r="E17" s="9" t="n">
        <v>1</v>
      </c>
      <c r="F17" s="10" t="n">
        <v>0.3</v>
      </c>
      <c r="G17" s="10" t="n">
        <v>0.3</v>
      </c>
      <c r="H17" s="10" t="n">
        <v>0.1</v>
      </c>
      <c r="I17" s="11" t="n">
        <v>0.2333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REALTY</t>
        </is>
      </c>
      <c r="B3" s="13" t="inlineStr">
        <is>
          <t>GODREJPROP</t>
        </is>
      </c>
      <c r="C3" s="14" t="n">
        <v>2081.1</v>
      </c>
      <c r="D3" s="14" t="n">
        <v>2027.81</v>
      </c>
      <c r="E3" s="14" t="n">
        <v>1911.16</v>
      </c>
      <c r="F3" s="14" t="n">
        <v>1901.99</v>
      </c>
      <c r="G3" s="15">
        <f>HYPERLINK("https://www.tradingview.com/chart/?symbol=NSE:GODREJPROP","Chart 📈")</f>
        <v/>
      </c>
    </row>
    <row r="4" ht="16" customHeight="1">
      <c r="A4" s="16" t="inlineStr">
        <is>
          <t>NIFTY REALTY</t>
        </is>
      </c>
      <c r="B4" s="13" t="inlineStr">
        <is>
          <t>LODHA</t>
        </is>
      </c>
      <c r="C4" s="14" t="n">
        <v>1161</v>
      </c>
      <c r="D4" s="14" t="n">
        <v>1110.77</v>
      </c>
      <c r="E4" s="14" t="n">
        <v>1020.4</v>
      </c>
      <c r="F4" s="14" t="n">
        <v>1031.42</v>
      </c>
      <c r="G4" s="15">
        <f>HYPERLINK("https://www.tradingview.com/chart/?symbol=NSE:LODHA","Chart 📈")</f>
        <v/>
      </c>
    </row>
    <row r="5" ht="16" customHeight="1">
      <c r="A5" s="16" t="inlineStr">
        <is>
          <t>NIFTY REALTY</t>
        </is>
      </c>
      <c r="B5" s="13" t="inlineStr">
        <is>
          <t>MAHLIFE</t>
        </is>
      </c>
      <c r="C5" s="14" t="n">
        <v>374.1</v>
      </c>
      <c r="D5" s="14" t="n">
        <v>367.25</v>
      </c>
      <c r="E5" s="14" t="n">
        <v>355.29</v>
      </c>
      <c r="F5" s="14" t="n">
        <v>356.02</v>
      </c>
      <c r="G5" s="15">
        <f>HYPERLINK("https://www.tradingview.com/chart/?symbol=NSE:MAHLIFE","Chart 📈")</f>
        <v/>
      </c>
    </row>
    <row r="6" ht="16" customHeight="1">
      <c r="A6" s="16" t="inlineStr">
        <is>
          <t>NIFTY REALTY</t>
        </is>
      </c>
      <c r="B6" s="13" t="inlineStr">
        <is>
          <t>OBEROIRLTY</t>
        </is>
      </c>
      <c r="C6" s="14" t="n">
        <v>1851.5</v>
      </c>
      <c r="D6" s="14" t="n">
        <v>1849.79</v>
      </c>
      <c r="E6" s="14" t="n">
        <v>1771.08</v>
      </c>
      <c r="F6" s="14" t="n">
        <v>1681.79</v>
      </c>
      <c r="G6" s="15">
        <f>HYPERLINK("https://www.tradingview.com/chart/?symbol=NSE:OBEROIRLTY","Chart 📈")</f>
        <v/>
      </c>
    </row>
    <row r="7" ht="16" customHeight="1">
      <c r="A7" s="16" t="inlineStr">
        <is>
          <t>NIFTY REALTY</t>
        </is>
      </c>
      <c r="B7" s="13" t="inlineStr">
        <is>
          <t>PHOENIXLTD</t>
        </is>
      </c>
      <c r="C7" s="14" t="n">
        <v>2055.6</v>
      </c>
      <c r="D7" s="14" t="n">
        <v>2039.14</v>
      </c>
      <c r="E7" s="14" t="n">
        <v>1933.34</v>
      </c>
      <c r="F7" s="14" t="n">
        <v>1764.46</v>
      </c>
      <c r="G7" s="15">
        <f>HYPERLINK("https://www.tradingview.com/chart/?symbol=NSE:PHOENIXLTD","Chart 📈")</f>
        <v/>
      </c>
    </row>
    <row r="8" ht="16" customHeight="1">
      <c r="A8" s="16" t="inlineStr">
        <is>
          <t>NIFTY REALTY</t>
        </is>
      </c>
      <c r="B8" s="13" t="inlineStr">
        <is>
          <t>PRESTIGE</t>
        </is>
      </c>
      <c r="C8" s="14" t="n">
        <v>1663.1</v>
      </c>
      <c r="D8" s="14" t="n">
        <v>1641.24</v>
      </c>
      <c r="E8" s="14" t="n">
        <v>1550.2</v>
      </c>
      <c r="F8" s="14" t="n">
        <v>1520.12</v>
      </c>
      <c r="G8" s="15">
        <f>HYPERLINK("https://www.tradingview.com/chart/?symbol=NSE:PRESTIGE","Chart 📈")</f>
        <v/>
      </c>
    </row>
    <row r="9" ht="16" customHeight="1">
      <c r="A9" s="16" t="inlineStr">
        <is>
          <t>NIFTY REALTY</t>
        </is>
      </c>
      <c r="B9" s="13" t="inlineStr">
        <is>
          <t>RAYMOND</t>
        </is>
      </c>
      <c r="C9" s="14" t="n">
        <v>606.05</v>
      </c>
      <c r="D9" s="14" t="n">
        <v>603.34</v>
      </c>
      <c r="E9" s="14" t="n">
        <v>567.59</v>
      </c>
      <c r="F9" s="14" t="n">
        <v>522.4400000000001</v>
      </c>
      <c r="G9" s="15">
        <f>HYPERLINK("https://www.tradingview.com/chart/?symbol=NSE:RAYMOND","Chart 📈")</f>
        <v/>
      </c>
    </row>
    <row r="10" ht="16" customHeight="1">
      <c r="A10" s="8" t="inlineStr">
        <is>
          <t>NIFTY PHARMA</t>
        </is>
      </c>
      <c r="B10" s="17" t="inlineStr">
        <is>
          <t>ABBOTINDIA</t>
        </is>
      </c>
      <c r="C10" s="18" t="n">
        <v>28900</v>
      </c>
      <c r="D10" s="18" t="n">
        <v>27308.87</v>
      </c>
      <c r="E10" s="18" t="n">
        <v>26812.75</v>
      </c>
      <c r="F10" s="18" t="n">
        <v>27811.51</v>
      </c>
      <c r="G10" s="19">
        <f>HYPERLINK("https://www.tradingview.com/chart/?symbol=NSE:ABBOTINDIA","Chart 📈")</f>
        <v/>
      </c>
    </row>
    <row r="11" ht="16" customHeight="1">
      <c r="A11" s="20" t="inlineStr">
        <is>
          <t>NIFTY PHARMA</t>
        </is>
      </c>
      <c r="B11" s="17" t="inlineStr">
        <is>
          <t>AJANTPHARM</t>
        </is>
      </c>
      <c r="C11" s="18" t="n">
        <v>3458.9</v>
      </c>
      <c r="D11" s="18" t="n">
        <v>3369.48</v>
      </c>
      <c r="E11" s="18" t="n">
        <v>3226.14</v>
      </c>
      <c r="F11" s="18" t="n">
        <v>2943.48</v>
      </c>
      <c r="G11" s="19">
        <f>HYPERLINK("https://www.tradingview.com/chart/?symbol=NSE:AJANTPHARM","Chart 📈")</f>
        <v/>
      </c>
    </row>
    <row r="12" ht="16" customHeight="1">
      <c r="A12" s="20" t="inlineStr">
        <is>
          <t>NIFTY PHARMA</t>
        </is>
      </c>
      <c r="B12" s="17" t="inlineStr">
        <is>
          <t>ALKEM</t>
        </is>
      </c>
      <c r="C12" s="18" t="n">
        <v>5585</v>
      </c>
      <c r="D12" s="18" t="n">
        <v>5579.18</v>
      </c>
      <c r="E12" s="18" t="n">
        <v>5507.96</v>
      </c>
      <c r="F12" s="18" t="n">
        <v>5433.88</v>
      </c>
      <c r="G12" s="19">
        <f>HYPERLINK("https://www.tradingview.com/chart/?symbol=NSE:ALKEM","Chart 📈")</f>
        <v/>
      </c>
    </row>
    <row r="13" ht="16" customHeight="1">
      <c r="A13" s="20" t="inlineStr">
        <is>
          <t>NIFTY PHARMA</t>
        </is>
      </c>
      <c r="B13" s="17" t="inlineStr">
        <is>
          <t>BIOCON</t>
        </is>
      </c>
      <c r="C13" s="18" t="n">
        <v>437.95</v>
      </c>
      <c r="D13" s="18" t="n">
        <v>426.1</v>
      </c>
      <c r="E13" s="18" t="n">
        <v>415.86</v>
      </c>
      <c r="F13" s="18" t="n">
        <v>393.86</v>
      </c>
      <c r="G13" s="19">
        <f>HYPERLINK("https://www.tradingview.com/chart/?symbol=NSE:BIOCON","Chart 📈")</f>
        <v/>
      </c>
    </row>
    <row r="14" ht="16" customHeight="1">
      <c r="A14" s="20" t="inlineStr">
        <is>
          <t>NIFTY PHARMA</t>
        </is>
      </c>
      <c r="B14" s="17" t="inlineStr">
        <is>
          <t>DIVISLAB</t>
        </is>
      </c>
      <c r="C14" s="18" t="n">
        <v>7386.5</v>
      </c>
      <c r="D14" s="18" t="n">
        <v>7027.56</v>
      </c>
      <c r="E14" s="18" t="n">
        <v>6816.19</v>
      </c>
      <c r="F14" s="18" t="n">
        <v>6528.61</v>
      </c>
      <c r="G14" s="19">
        <f>HYPERLINK("https://www.tradingview.com/chart/?symbol=NSE:DIVISLAB","Chart 📈")</f>
        <v/>
      </c>
    </row>
    <row r="15" ht="16" customHeight="1">
      <c r="A15" s="20" t="inlineStr">
        <is>
          <t>NIFTY PHARMA</t>
        </is>
      </c>
      <c r="B15" s="17" t="inlineStr">
        <is>
          <t>GLAND</t>
        </is>
      </c>
      <c r="C15" s="18" t="n">
        <v>2439.1</v>
      </c>
      <c r="D15" s="18" t="n">
        <v>2433.59</v>
      </c>
      <c r="E15" s="18" t="n">
        <v>2299.09</v>
      </c>
      <c r="F15" s="18" t="n">
        <v>2016.9</v>
      </c>
      <c r="G15" s="19">
        <f>HYPERLINK("https://www.tradingview.com/chart/?symbol=NSE:GLAND","Chart 📈")</f>
        <v/>
      </c>
    </row>
    <row r="16" ht="16" customHeight="1">
      <c r="A16" s="20" t="inlineStr">
        <is>
          <t>NIFTY PHARMA</t>
        </is>
      </c>
      <c r="B16" s="17" t="inlineStr">
        <is>
          <t>IPCALAB</t>
        </is>
      </c>
      <c r="C16" s="18" t="n">
        <v>1788.5</v>
      </c>
      <c r="D16" s="18" t="n">
        <v>1775.32</v>
      </c>
      <c r="E16" s="18" t="n">
        <v>1687.74</v>
      </c>
      <c r="F16" s="18" t="n">
        <v>1547.12</v>
      </c>
      <c r="G16" s="19">
        <f>HYPERLINK("https://www.tradingview.com/chart/?symbol=NSE:IPCALAB","Chart 📈")</f>
        <v/>
      </c>
    </row>
    <row r="17" ht="16" customHeight="1">
      <c r="A17" s="20" t="inlineStr">
        <is>
          <t>NIFTY PHARMA</t>
        </is>
      </c>
      <c r="B17" s="17" t="inlineStr">
        <is>
          <t>JBCHEPHARM</t>
        </is>
      </c>
      <c r="C17" s="18" t="n">
        <v>2408.9</v>
      </c>
      <c r="D17" s="18" t="n">
        <v>2378.06</v>
      </c>
      <c r="E17" s="18" t="n">
        <v>2277.59</v>
      </c>
      <c r="F17" s="18" t="n">
        <v>2031.9</v>
      </c>
      <c r="G17" s="19">
        <f>HYPERLINK("https://www.tradingview.com/chart/?symbol=NSE:JBCHEPHARM","Chart 📈")</f>
        <v/>
      </c>
    </row>
    <row r="18" ht="16" customHeight="1">
      <c r="A18" s="20" t="inlineStr">
        <is>
          <t>NIFTY PHARMA</t>
        </is>
      </c>
      <c r="B18" s="17" t="inlineStr">
        <is>
          <t>LAURUSLABS</t>
        </is>
      </c>
      <c r="C18" s="18" t="n">
        <v>1577.8</v>
      </c>
      <c r="D18" s="18" t="n">
        <v>1522.09</v>
      </c>
      <c r="E18" s="18" t="n">
        <v>1431.2</v>
      </c>
      <c r="F18" s="18" t="n">
        <v>1179.7</v>
      </c>
      <c r="G18" s="19">
        <f>HYPERLINK("https://www.tradingview.com/chart/?symbol=NSE:LAURUSLABS","Chart 📈")</f>
        <v/>
      </c>
    </row>
    <row r="19" ht="16" customHeight="1">
      <c r="A19" s="20" t="inlineStr">
        <is>
          <t>NIFTY PHARMA</t>
        </is>
      </c>
      <c r="B19" s="17" t="inlineStr">
        <is>
          <t>MANKIND</t>
        </is>
      </c>
      <c r="C19" s="18" t="n">
        <v>2544.7</v>
      </c>
      <c r="D19" s="18" t="n">
        <v>2514.96</v>
      </c>
      <c r="E19" s="18" t="n">
        <v>2447.85</v>
      </c>
      <c r="F19" s="18" t="n">
        <v>2357.55</v>
      </c>
      <c r="G19" s="19">
        <f>HYPERLINK("https://www.tradingview.com/chart/?symbol=NSE:MANKIND","Chart 📈")</f>
        <v/>
      </c>
    </row>
    <row r="20" ht="16" customHeight="1">
      <c r="A20" s="20" t="inlineStr">
        <is>
          <t>NIFTY PHARMA</t>
        </is>
      </c>
      <c r="B20" s="17" t="inlineStr">
        <is>
          <t>SUNPHARMA</t>
        </is>
      </c>
      <c r="C20" s="18" t="n">
        <v>1943</v>
      </c>
      <c r="D20" s="18" t="n">
        <v>1913.65</v>
      </c>
      <c r="E20" s="18" t="n">
        <v>1865.53</v>
      </c>
      <c r="F20" s="18" t="n">
        <v>1771.17</v>
      </c>
      <c r="G20" s="19">
        <f>HYPERLINK("https://www.tradingview.com/chart/?symbol=NSE:SUNPHARMA","Chart 📈")</f>
        <v/>
      </c>
    </row>
    <row r="21" ht="16" customHeight="1">
      <c r="A21" s="20" t="inlineStr">
        <is>
          <t>NIFTY PHARMA</t>
        </is>
      </c>
      <c r="B21" s="17" t="inlineStr">
        <is>
          <t>TORNTPHARM</t>
        </is>
      </c>
      <c r="C21" s="18" t="n">
        <v>5033.4</v>
      </c>
      <c r="D21" s="18" t="n">
        <v>4841.67</v>
      </c>
      <c r="E21" s="18" t="n">
        <v>4644.04</v>
      </c>
      <c r="F21" s="18" t="n">
        <v>4204.8</v>
      </c>
      <c r="G21" s="19">
        <f>HYPERLINK("https://www.tradingview.com/chart/?symbol=NSE:TORNTPHARM","Chart 📈")</f>
        <v/>
      </c>
    </row>
    <row r="22" ht="16" customHeight="1">
      <c r="A22" s="12" t="inlineStr">
        <is>
          <t>NIFTY AUTO</t>
        </is>
      </c>
      <c r="B22" s="13" t="inlineStr">
        <is>
          <t>BAJAJ-AUTO</t>
        </is>
      </c>
      <c r="C22" s="14" t="n">
        <v>10998.5</v>
      </c>
      <c r="D22" s="14" t="n">
        <v>10276.26</v>
      </c>
      <c r="E22" s="14" t="n">
        <v>10116.48</v>
      </c>
      <c r="F22" s="14" t="n">
        <v>9539.469999999999</v>
      </c>
      <c r="G22" s="15">
        <f>HYPERLINK("https://www.tradingview.com/chart/?symbol=NSE:BAJAJ-AUTO","Chart 📈")</f>
        <v/>
      </c>
    </row>
    <row r="23" ht="16" customHeight="1">
      <c r="A23" s="16" t="inlineStr">
        <is>
          <t>NIFTY AUTO</t>
        </is>
      </c>
      <c r="B23" s="13" t="inlineStr">
        <is>
          <t>BHARATFORG</t>
        </is>
      </c>
      <c r="C23" s="14" t="n">
        <v>2185.5</v>
      </c>
      <c r="D23" s="14" t="n">
        <v>2130.27</v>
      </c>
      <c r="E23" s="14" t="n">
        <v>2045.31</v>
      </c>
      <c r="F23" s="14" t="n">
        <v>1741.1</v>
      </c>
      <c r="G23" s="15">
        <f>HYPERLINK("https://www.tradingview.com/chart/?symbol=NSE:BHARATFORG","Chart 📈")</f>
        <v/>
      </c>
    </row>
    <row r="24" ht="16" customHeight="1">
      <c r="A24" s="16" t="inlineStr">
        <is>
          <t>NIFTY AUTO</t>
        </is>
      </c>
      <c r="B24" s="13" t="inlineStr">
        <is>
          <t>BOSCHLTD</t>
        </is>
      </c>
      <c r="C24" s="14" t="n">
        <v>41560</v>
      </c>
      <c r="D24" s="14" t="n">
        <v>40943.75</v>
      </c>
      <c r="E24" s="14" t="n">
        <v>39518.74</v>
      </c>
      <c r="F24" s="14" t="n">
        <v>37478.06</v>
      </c>
      <c r="G24" s="15">
        <f>HYPERLINK("https://www.tradingview.com/chart/?symbol=NSE:BOSCHLTD","Chart 📈")</f>
        <v/>
      </c>
    </row>
    <row r="25" ht="16" customHeight="1">
      <c r="A25" s="16" t="inlineStr">
        <is>
          <t>NIFTY AUTO</t>
        </is>
      </c>
      <c r="B25" s="13" t="inlineStr">
        <is>
          <t>EICHERMOT</t>
        </is>
      </c>
      <c r="C25" s="14" t="n">
        <v>7632</v>
      </c>
      <c r="D25" s="14" t="n">
        <v>7454.93</v>
      </c>
      <c r="E25" s="14" t="n">
        <v>7365.33</v>
      </c>
      <c r="F25" s="14" t="n">
        <v>7061.82</v>
      </c>
      <c r="G25" s="15">
        <f>HYPERLINK("https://www.tradingview.com/chart/?symbol=NSE:EICHERMOT","Chart 📈")</f>
        <v/>
      </c>
    </row>
    <row r="26" ht="16" customHeight="1">
      <c r="A26" s="16" t="inlineStr">
        <is>
          <t>NIFTY AUTO</t>
        </is>
      </c>
      <c r="B26" s="13" t="inlineStr">
        <is>
          <t>EXIDEIND</t>
        </is>
      </c>
      <c r="C26" s="14" t="n">
        <v>447.85</v>
      </c>
      <c r="D26" s="14" t="n">
        <v>419.2</v>
      </c>
      <c r="E26" s="14" t="n">
        <v>396.03</v>
      </c>
      <c r="F26" s="14" t="n">
        <v>369.82</v>
      </c>
      <c r="G26" s="15">
        <f>HYPERLINK("https://www.tradingview.com/chart/?symbol=NSE:EXIDEIND","Chart 📈")</f>
        <v/>
      </c>
    </row>
    <row r="27" ht="16" customHeight="1">
      <c r="A27" s="16" t="inlineStr">
        <is>
          <t>NIFTY AUTO</t>
        </is>
      </c>
      <c r="B27" s="13" t="inlineStr">
        <is>
          <t>TVSMOTOR</t>
        </is>
      </c>
      <c r="C27" s="14" t="n">
        <v>3907.6</v>
      </c>
      <c r="D27" s="14" t="n">
        <v>3627.43</v>
      </c>
      <c r="E27" s="14" t="n">
        <v>3558.45</v>
      </c>
      <c r="F27" s="14" t="n">
        <v>3485.77</v>
      </c>
      <c r="G27" s="15">
        <f>HYPERLINK("https://www.tradingview.com/chart/?symbol=NSE:TVSMOTOR","Chart 📈")</f>
        <v/>
      </c>
    </row>
    <row r="28" ht="16" customHeight="1">
      <c r="A28" s="8" t="inlineStr">
        <is>
          <t>NIFTY FMCG</t>
        </is>
      </c>
      <c r="B28" s="17" t="inlineStr">
        <is>
          <t>BALRAMCHIN</t>
        </is>
      </c>
      <c r="C28" s="18" t="n">
        <v>624.75</v>
      </c>
      <c r="D28" s="18" t="n">
        <v>581.55</v>
      </c>
      <c r="E28" s="18" t="n">
        <v>556.27</v>
      </c>
      <c r="F28" s="18" t="n">
        <v>520.03</v>
      </c>
      <c r="G28" s="19">
        <f>HYPERLINK("https://www.tradingview.com/chart/?symbol=NSE:BALRAMCHIN","Chart 📈")</f>
        <v/>
      </c>
    </row>
    <row r="29" ht="16" customHeight="1">
      <c r="A29" s="20" t="inlineStr">
        <is>
          <t>NIFTY FMCG</t>
        </is>
      </c>
      <c r="B29" s="17" t="inlineStr">
        <is>
          <t>COLPAL</t>
        </is>
      </c>
      <c r="C29" s="18" t="n">
        <v>2107.1</v>
      </c>
      <c r="D29" s="18" t="n">
        <v>2050.17</v>
      </c>
      <c r="E29" s="18" t="n">
        <v>2046.05</v>
      </c>
      <c r="F29" s="18" t="n">
        <v>2093.56</v>
      </c>
      <c r="G29" s="19">
        <f>HYPERLINK("https://www.tradingview.com/chart/?symbol=NSE:COLPAL","Chart 📈")</f>
        <v/>
      </c>
    </row>
    <row r="30" ht="16" customHeight="1">
      <c r="A30" s="20" t="inlineStr">
        <is>
          <t>NIFTY FMCG</t>
        </is>
      </c>
      <c r="B30" s="17" t="inlineStr">
        <is>
          <t>MARICO</t>
        </is>
      </c>
      <c r="C30" s="18" t="n">
        <v>862.65</v>
      </c>
      <c r="D30" s="18" t="n">
        <v>844.05</v>
      </c>
      <c r="E30" s="18" t="n">
        <v>828.6799999999999</v>
      </c>
      <c r="F30" s="18" t="n">
        <v>781.85</v>
      </c>
      <c r="G30" s="19">
        <f>HYPERLINK("https://www.tradingview.com/chart/?symbol=NSE:MARICO","Chart 📈")</f>
        <v/>
      </c>
    </row>
    <row r="31" ht="16" customHeight="1">
      <c r="A31" s="20" t="inlineStr">
        <is>
          <t>NIFTY FMCG</t>
        </is>
      </c>
      <c r="B31" s="17" t="inlineStr">
        <is>
          <t>NESTLEIND</t>
        </is>
      </c>
      <c r="C31" s="18" t="n">
        <v>1493.6</v>
      </c>
      <c r="D31" s="18" t="n">
        <v>1436.69</v>
      </c>
      <c r="E31" s="18" t="n">
        <v>1413.18</v>
      </c>
      <c r="F31" s="18" t="n">
        <v>1325.85</v>
      </c>
      <c r="G31" s="19">
        <f>HYPERLINK("https://www.tradingview.com/chart/?symbol=NSE:NESTLEIND","Chart 📈")</f>
        <v/>
      </c>
    </row>
    <row r="32" ht="16" customHeight="1">
      <c r="A32" s="20" t="inlineStr">
        <is>
          <t>NIFTY FMCG</t>
        </is>
      </c>
      <c r="B32" s="17" t="inlineStr">
        <is>
          <t>RADICO</t>
        </is>
      </c>
      <c r="C32" s="18" t="n">
        <v>4147.5</v>
      </c>
      <c r="D32" s="18" t="n">
        <v>4004.19</v>
      </c>
      <c r="E32" s="18" t="n">
        <v>3768.8</v>
      </c>
      <c r="F32" s="18" t="n">
        <v>3284.13</v>
      </c>
      <c r="G32" s="19">
        <f>HYPERLINK("https://www.tradingview.com/chart/?symbol=NSE:RADICO","Chart 📈")</f>
        <v/>
      </c>
    </row>
    <row r="33" ht="16" customHeight="1">
      <c r="A33" s="20" t="inlineStr">
        <is>
          <t>NIFTY FMCG</t>
        </is>
      </c>
      <c r="B33" s="17" t="inlineStr">
        <is>
          <t>UNITDSPR</t>
        </is>
      </c>
      <c r="C33" s="18" t="n">
        <v>1404.2</v>
      </c>
      <c r="D33" s="18" t="n">
        <v>1373.05</v>
      </c>
      <c r="E33" s="18" t="n">
        <v>1341.11</v>
      </c>
      <c r="F33" s="18" t="n">
        <v>1329.61</v>
      </c>
      <c r="G33" s="19">
        <f>HYPERLINK("https://www.tradingview.com/chart/?symbol=NSE:UNITDSPR","Chart 📈")</f>
        <v/>
      </c>
    </row>
    <row r="34" ht="16" customHeight="1">
      <c r="A34" s="12" t="inlineStr">
        <is>
          <t>NIFTY PSU BANK</t>
        </is>
      </c>
      <c r="B34" s="13" t="inlineStr">
        <is>
          <t>BANKINDIA</t>
        </is>
      </c>
      <c r="C34" s="14" t="n">
        <v>143.99</v>
      </c>
      <c r="D34" s="14" t="n">
        <v>143.63</v>
      </c>
      <c r="E34" s="14" t="n">
        <v>142.93</v>
      </c>
      <c r="F34" s="14" t="n">
        <v>139.08</v>
      </c>
      <c r="G34" s="15">
        <f>HYPERLINK("https://www.tradingview.com/chart/?symbol=NSE:BANKINDIA","Chart 📈")</f>
        <v/>
      </c>
    </row>
    <row r="35" ht="16" customHeight="1">
      <c r="A35" s="16" t="inlineStr">
        <is>
          <t>NIFTY PSU BANK</t>
        </is>
      </c>
      <c r="B35" s="13" t="inlineStr">
        <is>
          <t>PNB</t>
        </is>
      </c>
      <c r="C35" s="14" t="n">
        <v>110.73</v>
      </c>
      <c r="D35" s="14" t="n">
        <v>107.04</v>
      </c>
      <c r="E35" s="14" t="n">
        <v>106.41</v>
      </c>
      <c r="F35" s="14" t="n">
        <v>109.21</v>
      </c>
      <c r="G35" s="15">
        <f>HYPERLINK("https://www.tradingview.com/chart/?symbol=NSE:PNB","Chart 📈")</f>
        <v/>
      </c>
    </row>
    <row r="36" ht="16" customHeight="1">
      <c r="A36" s="16" t="inlineStr">
        <is>
          <t>NIFTY PSU BANK</t>
        </is>
      </c>
      <c r="B36" s="13" t="inlineStr">
        <is>
          <t>UNIONBANK</t>
        </is>
      </c>
      <c r="C36" s="14" t="n">
        <v>170.64</v>
      </c>
      <c r="D36" s="14" t="n">
        <v>168.45</v>
      </c>
      <c r="E36" s="14" t="n">
        <v>166.99</v>
      </c>
      <c r="F36" s="14" t="n">
        <v>161.09</v>
      </c>
      <c r="G36" s="15">
        <f>HYPERLINK("https://www.tradingview.com/chart/?symbol=NSE:UNIONBANK","Chart 📈")</f>
        <v/>
      </c>
    </row>
    <row r="37" ht="16" customHeight="1">
      <c r="A37" s="8" t="inlineStr">
        <is>
          <t>NIFTY CONSUMER DURABLES</t>
        </is>
      </c>
      <c r="B37" s="17" t="inlineStr">
        <is>
          <t>CENTURYPLY</t>
        </is>
      </c>
      <c r="C37" s="18" t="n">
        <v>782.95</v>
      </c>
      <c r="D37" s="18" t="n">
        <v>778.54</v>
      </c>
      <c r="E37" s="18" t="n">
        <v>768.59</v>
      </c>
      <c r="F37" s="18" t="n">
        <v>760.91</v>
      </c>
      <c r="G37" s="19">
        <f>HYPERLINK("https://www.tradingview.com/chart/?symbol=NSE:CENTURYPLY","Chart 📈")</f>
        <v/>
      </c>
    </row>
    <row r="38" ht="16" customHeight="1">
      <c r="A38" s="20" t="inlineStr">
        <is>
          <t>NIFTY CONSUMER DURABLES</t>
        </is>
      </c>
      <c r="B38" s="17" t="inlineStr">
        <is>
          <t>DIXON</t>
        </is>
      </c>
      <c r="C38" s="18" t="n">
        <v>13882</v>
      </c>
      <c r="D38" s="18" t="n">
        <v>13353.84</v>
      </c>
      <c r="E38" s="18" t="n">
        <v>12521.01</v>
      </c>
      <c r="F38" s="18" t="n">
        <v>12643.72</v>
      </c>
      <c r="G38" s="19">
        <f>HYPERLINK("https://www.tradingview.com/chart/?symbol=NSE:DIXON","Chart 📈")</f>
        <v/>
      </c>
    </row>
    <row r="39" ht="16" customHeight="1">
      <c r="A39" s="20" t="inlineStr">
        <is>
          <t>NIFTY CONSUMER DURABLES</t>
        </is>
      </c>
      <c r="B39" s="17" t="inlineStr">
        <is>
          <t>KAJARIACER</t>
        </is>
      </c>
      <c r="C39" s="18" t="n">
        <v>1229.6</v>
      </c>
      <c r="D39" s="18" t="n">
        <v>1212.75</v>
      </c>
      <c r="E39" s="18" t="n">
        <v>1167.16</v>
      </c>
      <c r="F39" s="18" t="n">
        <v>1112.43</v>
      </c>
      <c r="G39" s="19">
        <f>HYPERLINK("https://www.tradingview.com/chart/?symbol=NSE:KAJARIACER","Chart 📈")</f>
        <v/>
      </c>
    </row>
    <row r="40" ht="16" customHeight="1">
      <c r="A40" s="20" t="inlineStr">
        <is>
          <t>NIFTY CONSUMER DURABLES</t>
        </is>
      </c>
      <c r="B40" s="17" t="inlineStr">
        <is>
          <t>KALYANKJIL</t>
        </is>
      </c>
      <c r="C40" s="18" t="n">
        <v>596.1</v>
      </c>
      <c r="D40" s="18" t="n">
        <v>484.81</v>
      </c>
      <c r="E40" s="18" t="n">
        <v>431.4</v>
      </c>
      <c r="F40" s="18" t="n">
        <v>439.51</v>
      </c>
      <c r="G40" s="19">
        <f>HYPERLINK("https://www.tradingview.com/chart/?symbol=NSE:KALYANKJIL","Chart 📈")</f>
        <v/>
      </c>
    </row>
    <row r="41" ht="16" customHeight="1">
      <c r="A41" s="20" t="inlineStr">
        <is>
          <t>NIFTY CONSUMER DURABLES</t>
        </is>
      </c>
      <c r="B41" s="17" t="inlineStr">
        <is>
          <t>TITAN</t>
        </is>
      </c>
      <c r="C41" s="18" t="n">
        <v>4711.6</v>
      </c>
      <c r="D41" s="18" t="n">
        <v>4536.69</v>
      </c>
      <c r="E41" s="18" t="n">
        <v>4398.04</v>
      </c>
      <c r="F41" s="18" t="n">
        <v>4118.66</v>
      </c>
      <c r="G41" s="19">
        <f>HYPERLINK("https://www.tradingview.com/chart/?symbol=NSE:TITAN","Chart 📈")</f>
        <v/>
      </c>
    </row>
    <row r="42" ht="16" customHeight="1">
      <c r="A42" s="12" t="inlineStr">
        <is>
          <t>NIFTY OIL &amp; GAS</t>
        </is>
      </c>
      <c r="B42" s="13" t="inlineStr">
        <is>
          <t>AEGISLOG</t>
        </is>
      </c>
      <c r="C42" s="14" t="n">
        <v>1351.3</v>
      </c>
      <c r="D42" s="14" t="n">
        <v>1249.48</v>
      </c>
      <c r="E42" s="14" t="n">
        <v>1071.93</v>
      </c>
      <c r="F42" s="14" t="n">
        <v>835.73</v>
      </c>
      <c r="G42" s="15">
        <f>HYPERLINK("https://www.tradingview.com/chart/?symbol=NSE:AEGISLOG","Chart 📈")</f>
        <v/>
      </c>
    </row>
    <row r="43" ht="16" customHeight="1">
      <c r="A43" s="16" t="inlineStr">
        <is>
          <t>NIFTY OIL &amp; GAS</t>
        </is>
      </c>
      <c r="B43" s="13" t="inlineStr">
        <is>
          <t>GAIL</t>
        </is>
      </c>
      <c r="C43" s="14" t="n">
        <v>173.01</v>
      </c>
      <c r="D43" s="14" t="n">
        <v>172.51</v>
      </c>
      <c r="E43" s="14" t="n">
        <v>169.81</v>
      </c>
      <c r="F43" s="14" t="n">
        <v>166.56</v>
      </c>
      <c r="G43" s="15">
        <f>HYPERLINK("https://www.tradingview.com/chart/?symbol=NSE:GAIL","Chart 📈")</f>
        <v/>
      </c>
    </row>
    <row r="44" ht="16" customHeight="1">
      <c r="A44" s="16" t="inlineStr">
        <is>
          <t>NIFTY OIL &amp; GAS</t>
        </is>
      </c>
      <c r="B44" s="13" t="inlineStr">
        <is>
          <t>OIL</t>
        </is>
      </c>
      <c r="C44" s="14" t="n">
        <v>451.15</v>
      </c>
      <c r="D44" s="14" t="n">
        <v>435.41</v>
      </c>
      <c r="E44" s="14" t="n">
        <v>443.68</v>
      </c>
      <c r="F44" s="14" t="n">
        <v>447.51</v>
      </c>
      <c r="G44" s="15">
        <f>HYPERLINK("https://www.tradingview.com/chart/?symbol=NSE:OIL","Chart 📈")</f>
        <v/>
      </c>
    </row>
    <row r="45" ht="16" customHeight="1">
      <c r="A45" s="16" t="inlineStr">
        <is>
          <t>NIFTY OIL &amp; GAS</t>
        </is>
      </c>
      <c r="B45" s="13" t="inlineStr">
        <is>
          <t>PETRONET</t>
        </is>
      </c>
      <c r="C45" s="14" t="n">
        <v>279.65</v>
      </c>
      <c r="D45" s="14" t="n">
        <v>277.39</v>
      </c>
      <c r="E45" s="14" t="n">
        <v>276.35</v>
      </c>
      <c r="F45" s="14" t="n">
        <v>276.81</v>
      </c>
      <c r="G45" s="15">
        <f>HYPERLINK("https://www.tradingview.com/chart/?symbol=NSE:PETRONET","Chart 📈")</f>
        <v/>
      </c>
    </row>
    <row r="46" ht="16" customHeight="1">
      <c r="A46" s="8" t="inlineStr">
        <is>
          <t>NIFTY METAL</t>
        </is>
      </c>
      <c r="B46" s="17" t="inlineStr">
        <is>
          <t>ADANIENT</t>
        </is>
      </c>
      <c r="C46" s="18" t="n">
        <v>3147.7</v>
      </c>
      <c r="D46" s="18" t="n">
        <v>3118.65</v>
      </c>
      <c r="E46" s="18" t="n">
        <v>2951.94</v>
      </c>
      <c r="F46" s="18" t="n">
        <v>2567.53</v>
      </c>
      <c r="G46" s="19">
        <f>HYPERLINK("https://www.tradingview.com/chart/?symbol=NSE:ADANIENT","Chart 📈")</f>
        <v/>
      </c>
    </row>
    <row r="47" ht="16" customHeight="1">
      <c r="A47" s="20" t="inlineStr">
        <is>
          <t>NIFTY METAL</t>
        </is>
      </c>
      <c r="B47" s="17" t="inlineStr">
        <is>
          <t>JSL</t>
        </is>
      </c>
      <c r="C47" s="18" t="n">
        <v>738.4</v>
      </c>
      <c r="D47" s="18" t="n">
        <v>717.1</v>
      </c>
      <c r="E47" s="18" t="n">
        <v>716.52</v>
      </c>
      <c r="F47" s="18" t="n">
        <v>736.2</v>
      </c>
      <c r="G47" s="19">
        <f>HYPERLINK("https://www.tradingview.com/chart/?symbol=NSE:JSL","Chart 📈")</f>
        <v/>
      </c>
    </row>
    <row r="48" ht="16" customHeight="1">
      <c r="A48" s="20" t="inlineStr">
        <is>
          <t>NIFTY METAL</t>
        </is>
      </c>
      <c r="B48" s="17" t="inlineStr">
        <is>
          <t>JSWSTEEL</t>
        </is>
      </c>
      <c r="C48" s="18" t="n">
        <v>1266.9</v>
      </c>
      <c r="D48" s="18" t="n">
        <v>1244.58</v>
      </c>
      <c r="E48" s="18" t="n">
        <v>1246.75</v>
      </c>
      <c r="F48" s="18" t="n">
        <v>1198.1</v>
      </c>
      <c r="G48" s="19">
        <f>HYPERLINK("https://www.tradingview.com/chart/?symbol=NSE:JSWSTEEL","Chart 📈")</f>
        <v/>
      </c>
    </row>
    <row r="49" ht="16" customHeight="1">
      <c r="A49" s="20" t="inlineStr">
        <is>
          <t>NIFTY METAL</t>
        </is>
      </c>
      <c r="B49" s="17" t="inlineStr">
        <is>
          <t>WELCORP</t>
        </is>
      </c>
      <c r="C49" s="18" t="n">
        <v>1611.8</v>
      </c>
      <c r="D49" s="18" t="n">
        <v>1566.53</v>
      </c>
      <c r="E49" s="18" t="n">
        <v>1443.63</v>
      </c>
      <c r="F49" s="18" t="n">
        <v>1127.96</v>
      </c>
      <c r="G49" s="19">
        <f>HYPERLINK("https://www.tradingview.com/chart/?symbol=NSE:WELCORP","Chart 📈")</f>
        <v/>
      </c>
    </row>
    <row r="50" ht="16" customHeight="1">
      <c r="A50" s="12" t="inlineStr">
        <is>
          <t>NIFTY MIDSMALL IT &amp; TELECOM</t>
        </is>
      </c>
      <c r="B50" s="13" t="inlineStr">
        <is>
          <t>HFCL</t>
        </is>
      </c>
      <c r="C50" s="14" t="n">
        <v>217.9</v>
      </c>
      <c r="D50" s="14" t="n">
        <v>212.08</v>
      </c>
      <c r="E50" s="14" t="n">
        <v>189.46</v>
      </c>
      <c r="F50" s="14" t="n">
        <v>125.83</v>
      </c>
      <c r="G50" s="15">
        <f>HYPERLINK("https://www.tradingview.com/chart/?symbol=NSE:HFCL","Chart 📈")</f>
        <v/>
      </c>
    </row>
    <row r="51" ht="16" customHeight="1">
      <c r="A51" s="16" t="inlineStr">
        <is>
          <t>NIFTY MIDSMALL IT &amp; TELECOM</t>
        </is>
      </c>
      <c r="B51" s="13" t="inlineStr">
        <is>
          <t>TANLA</t>
        </is>
      </c>
      <c r="C51" s="14" t="n">
        <v>561.6</v>
      </c>
      <c r="D51" s="14" t="n">
        <v>551.7</v>
      </c>
      <c r="E51" s="14" t="n">
        <v>533.1799999999999</v>
      </c>
      <c r="F51" s="14" t="n">
        <v>534.1900000000001</v>
      </c>
      <c r="G51" s="15">
        <f>HYPERLINK("https://www.tradingview.com/chart/?symbol=NSE:TANLA","Chart 📈")</f>
        <v/>
      </c>
    </row>
    <row r="52" ht="16" customHeight="1">
      <c r="A52" s="8" t="inlineStr">
        <is>
          <t>NIFTY MEDIA</t>
        </is>
      </c>
      <c r="B52" s="17" t="inlineStr">
        <is>
          <t>NAZARA</t>
        </is>
      </c>
      <c r="C52" s="18" t="n">
        <v>304.65</v>
      </c>
      <c r="D52" s="18" t="n">
        <v>303.02</v>
      </c>
      <c r="E52" s="18" t="n">
        <v>293.22</v>
      </c>
      <c r="F52" s="18" t="n">
        <v>283.42</v>
      </c>
      <c r="G52" s="19">
        <f>HYPERLINK("https://www.tradingview.com/chart/?symbol=NSE:NAZARA","Chart 📈")</f>
        <v/>
      </c>
    </row>
    <row r="53" ht="16" customHeight="1">
      <c r="A53" s="20" t="inlineStr">
        <is>
          <t>NIFTY MEDIA</t>
        </is>
      </c>
      <c r="B53" s="17" t="inlineStr">
        <is>
          <t>SAREGAMA</t>
        </is>
      </c>
      <c r="C53" s="18" t="n">
        <v>489.4</v>
      </c>
      <c r="D53" s="18" t="n">
        <v>485.62</v>
      </c>
      <c r="E53" s="18" t="n">
        <v>455.7</v>
      </c>
      <c r="F53" s="18" t="n">
        <v>415.08</v>
      </c>
      <c r="G53" s="19">
        <f>HYPERLINK("https://www.tradingview.com/chart/?symbol=NSE:SAREGAMA","Chart 📈")</f>
        <v/>
      </c>
    </row>
    <row r="54" ht="16" customHeight="1">
      <c r="A54" s="20" t="inlineStr">
        <is>
          <t>NIFTY MEDIA</t>
        </is>
      </c>
      <c r="B54" s="17" t="inlineStr">
        <is>
          <t>ZEEL</t>
        </is>
      </c>
      <c r="C54" s="18" t="n">
        <v>105.39</v>
      </c>
      <c r="D54" s="18" t="n">
        <v>104.91</v>
      </c>
      <c r="E54" s="18" t="n">
        <v>101.71</v>
      </c>
      <c r="F54" s="18" t="n">
        <v>98.91</v>
      </c>
      <c r="G54" s="19">
        <f>HYPERLINK("https://www.tradingview.com/chart/?symbol=NSE:ZEEL","Chart 📈")</f>
        <v/>
      </c>
    </row>
    <row r="55" ht="16" customHeight="1">
      <c r="A55" s="12" t="inlineStr">
        <is>
          <t>NIFTY FINANCIAL SERVICES</t>
        </is>
      </c>
      <c r="B55" s="13" t="inlineStr">
        <is>
          <t>BAJFINANCE</t>
        </is>
      </c>
      <c r="C55" s="14" t="n">
        <v>1060.3</v>
      </c>
      <c r="D55" s="14" t="n">
        <v>1020.31</v>
      </c>
      <c r="E55" s="14" t="n">
        <v>978.89</v>
      </c>
      <c r="F55" s="14" t="n">
        <v>953.47</v>
      </c>
      <c r="G55" s="15">
        <f>HYPERLINK("https://www.tradingview.com/chart/?symbol=NSE:BAJFINANCE","Chart 📈")</f>
        <v/>
      </c>
    </row>
    <row r="56" ht="16" customHeight="1">
      <c r="A56" s="16" t="inlineStr">
        <is>
          <t>NIFTY FINANCIAL SERVICES</t>
        </is>
      </c>
      <c r="B56" s="13" t="inlineStr">
        <is>
          <t>ICICIBANK</t>
        </is>
      </c>
      <c r="C56" s="14" t="n">
        <v>1440.7</v>
      </c>
      <c r="D56" s="14" t="n">
        <v>1407.16</v>
      </c>
      <c r="E56" s="14" t="n">
        <v>1362.49</v>
      </c>
      <c r="F56" s="14" t="n">
        <v>1353.83</v>
      </c>
      <c r="G56" s="15">
        <f>HYPERLINK("https://www.tradingview.com/chart/?symbol=NSE:ICICIBANK","Chart 📈")</f>
        <v/>
      </c>
    </row>
    <row r="57" ht="16" customHeight="1">
      <c r="A57" s="16" t="inlineStr">
        <is>
          <t>NIFTY FINANCIAL SERVICES</t>
        </is>
      </c>
      <c r="B57" s="13" t="inlineStr">
        <is>
          <t>RECLTD</t>
        </is>
      </c>
      <c r="C57" s="14" t="n">
        <v>360.65</v>
      </c>
      <c r="D57" s="14" t="n">
        <v>356.98</v>
      </c>
      <c r="E57" s="14" t="n">
        <v>354.1</v>
      </c>
      <c r="F57" s="14" t="n">
        <v>353.71</v>
      </c>
      <c r="G57" s="15">
        <f>HYPERLINK("https://www.tradingview.com/chart/?symbol=NSE:RECLTD","Chart 📈")</f>
        <v/>
      </c>
    </row>
    <row r="58" ht="16" customHeight="1">
      <c r="A58" s="16" t="inlineStr">
        <is>
          <t>NIFTY FINANCIAL SERVICES</t>
        </is>
      </c>
      <c r="B58" s="13" t="inlineStr">
        <is>
          <t>SHRIRAMFIN</t>
        </is>
      </c>
      <c r="C58" s="14" t="n">
        <v>1058.8</v>
      </c>
      <c r="D58" s="14" t="n">
        <v>1031.21</v>
      </c>
      <c r="E58" s="14" t="n">
        <v>1003.94</v>
      </c>
      <c r="F58" s="14" t="n">
        <v>920.46</v>
      </c>
      <c r="G58" s="15">
        <f>HYPERLINK("https://www.tradingview.com/chart/?symbol=NSE:SHRIRAMFIN","Chart 📈")</f>
        <v/>
      </c>
    </row>
    <row r="59" ht="16" customHeight="1">
      <c r="A59" s="8" t="inlineStr">
        <is>
          <t>NIFTY ENERGY</t>
        </is>
      </c>
      <c r="B59" s="17" t="inlineStr">
        <is>
          <t>ABB</t>
        </is>
      </c>
      <c r="C59" s="18" t="n">
        <v>7506</v>
      </c>
      <c r="D59" s="18" t="n">
        <v>7189.66</v>
      </c>
      <c r="E59" s="18" t="n">
        <v>7016.68</v>
      </c>
      <c r="F59" s="18" t="n">
        <v>6317.08</v>
      </c>
      <c r="G59" s="19">
        <f>HYPERLINK("https://www.tradingview.com/chart/?symbol=NSE:ABB","Chart 📈")</f>
        <v/>
      </c>
    </row>
    <row r="60" ht="16" customHeight="1">
      <c r="A60" s="20" t="inlineStr">
        <is>
          <t>NIFTY ENERGY</t>
        </is>
      </c>
      <c r="B60" s="17" t="inlineStr">
        <is>
          <t>ADANIENSOL</t>
        </is>
      </c>
      <c r="C60" s="18" t="n">
        <v>1724.4</v>
      </c>
      <c r="D60" s="18" t="n">
        <v>1642.18</v>
      </c>
      <c r="E60" s="18" t="n">
        <v>1533.07</v>
      </c>
      <c r="F60" s="18" t="n">
        <v>1228.98</v>
      </c>
      <c r="G60" s="19">
        <f>HYPERLINK("https://www.tradingview.com/chart/?symbol=NSE:ADANIENSOL","Chart 📈")</f>
        <v/>
      </c>
    </row>
    <row r="61" ht="16" customHeight="1">
      <c r="A61" s="20" t="inlineStr">
        <is>
          <t>NIFTY ENERGY</t>
        </is>
      </c>
      <c r="B61" s="17" t="inlineStr">
        <is>
          <t>BHEL</t>
        </is>
      </c>
      <c r="C61" s="18" t="n">
        <v>416.45</v>
      </c>
      <c r="D61" s="18" t="n">
        <v>405.94</v>
      </c>
      <c r="E61" s="18" t="n">
        <v>391.17</v>
      </c>
      <c r="F61" s="18" t="n">
        <v>325.63</v>
      </c>
      <c r="G61" s="19">
        <f>HYPERLINK("https://www.tradingview.com/chart/?symbol=NSE:BHEL","Chart 📈")</f>
        <v/>
      </c>
    </row>
    <row r="62" ht="16" customHeight="1">
      <c r="A62" s="20" t="inlineStr">
        <is>
          <t>NIFTY ENERGY</t>
        </is>
      </c>
      <c r="B62" s="17" t="inlineStr">
        <is>
          <t>JSWENERGY</t>
        </is>
      </c>
      <c r="C62" s="18" t="n">
        <v>561.7</v>
      </c>
      <c r="D62" s="18" t="n">
        <v>557.51</v>
      </c>
      <c r="E62" s="18" t="n">
        <v>555.8200000000001</v>
      </c>
      <c r="F62" s="18" t="n">
        <v>530.63</v>
      </c>
      <c r="G62" s="19">
        <f>HYPERLINK("https://www.tradingview.com/chart/?symbol=NSE:JSWENERGY","Chart 📈")</f>
        <v/>
      </c>
    </row>
    <row r="63" ht="16" customHeight="1">
      <c r="A63" s="20" t="inlineStr">
        <is>
          <t>NIFTY ENERGY</t>
        </is>
      </c>
      <c r="B63" s="17" t="inlineStr">
        <is>
          <t>NHPC</t>
        </is>
      </c>
      <c r="C63" s="18" t="n">
        <v>80.28</v>
      </c>
      <c r="D63" s="18" t="n">
        <v>79.29000000000001</v>
      </c>
      <c r="E63" s="18" t="n">
        <v>78.62</v>
      </c>
      <c r="F63" s="18" t="n">
        <v>78.92</v>
      </c>
      <c r="G63" s="19">
        <f>HYPERLINK("https://www.tradingview.com/chart/?symbol=NSE:NHPC","Chart 📈")</f>
        <v/>
      </c>
    </row>
    <row r="64" ht="16" customHeight="1">
      <c r="A64" s="20" t="inlineStr">
        <is>
          <t>NIFTY ENERGY</t>
        </is>
      </c>
      <c r="B64" s="17" t="inlineStr">
        <is>
          <t>SIEMENS</t>
        </is>
      </c>
      <c r="C64" s="18" t="n">
        <v>3649.4</v>
      </c>
      <c r="D64" s="18" t="n">
        <v>3601.12</v>
      </c>
      <c r="E64" s="18" t="n">
        <v>3598.85</v>
      </c>
      <c r="F64" s="18" t="n">
        <v>3407.45</v>
      </c>
      <c r="G64" s="19">
        <f>HYPERLINK("https://www.tradingview.com/chart/?symbol=NSE:SIEMENS","Chart 📈")</f>
        <v/>
      </c>
    </row>
    <row r="65" ht="16" customHeight="1">
      <c r="A65" s="20" t="inlineStr">
        <is>
          <t>NIFTY ENERGY</t>
        </is>
      </c>
      <c r="B65" s="17" t="inlineStr">
        <is>
          <t>THERMAX</t>
        </is>
      </c>
      <c r="C65" s="18" t="n">
        <v>4718.5</v>
      </c>
      <c r="D65" s="18" t="n">
        <v>4711</v>
      </c>
      <c r="E65" s="18" t="n">
        <v>4590.76</v>
      </c>
      <c r="F65" s="18" t="n">
        <v>3929.53</v>
      </c>
      <c r="G65" s="19">
        <f>HYPERLINK("https://www.tradingview.com/chart/?symbol=NSE:THERMAX","Chart 📈")</f>
        <v/>
      </c>
    </row>
    <row r="66" ht="16" customHeight="1">
      <c r="A66" s="12" t="inlineStr">
        <is>
          <t>NIFTY BANK</t>
        </is>
      </c>
      <c r="B66" s="13" t="inlineStr">
        <is>
          <t>FEDERALBNK</t>
        </is>
      </c>
      <c r="C66" s="14" t="n">
        <v>353.25</v>
      </c>
      <c r="D66" s="14" t="n">
        <v>334.16</v>
      </c>
      <c r="E66" s="14" t="n">
        <v>319.15</v>
      </c>
      <c r="F66" s="14" t="n">
        <v>281.06</v>
      </c>
      <c r="G66" s="15">
        <f>HYPERLINK("https://www.tradingview.com/chart/?symbol=NSE:FEDERALBNK","Chart 📈")</f>
        <v/>
      </c>
    </row>
    <row r="67" ht="16" customHeight="1">
      <c r="A67" s="16" t="inlineStr">
        <is>
          <t>NIFTY BANK</t>
        </is>
      </c>
      <c r="B67" s="13" t="inlineStr">
        <is>
          <t>IDFCFIRSTB</t>
        </is>
      </c>
      <c r="C67" s="14" t="n">
        <v>80.72</v>
      </c>
      <c r="D67" s="14" t="n">
        <v>79.59</v>
      </c>
      <c r="E67" s="14" t="n">
        <v>76.73</v>
      </c>
      <c r="F67" s="14" t="n">
        <v>74.56</v>
      </c>
      <c r="G67" s="15">
        <f>HYPERLINK("https://www.tradingview.com/chart/?symbol=NSE:IDFCFIRSTB","Chart 📈")</f>
        <v/>
      </c>
    </row>
    <row r="68" ht="16" customHeight="1">
      <c r="A68" s="16" t="inlineStr">
        <is>
          <t>NIFTY BANK</t>
        </is>
      </c>
      <c r="B68" s="13" t="inlineStr">
        <is>
          <t>INDUSINDBK</t>
        </is>
      </c>
      <c r="C68" s="14" t="n">
        <v>1069.3</v>
      </c>
      <c r="D68" s="14" t="n">
        <v>1000.62</v>
      </c>
      <c r="E68" s="14" t="n">
        <v>956.8099999999999</v>
      </c>
      <c r="F68" s="14" t="n">
        <v>891.73</v>
      </c>
      <c r="G68" s="15">
        <f>HYPERLINK("https://www.tradingview.com/chart/?symbol=NSE:INDUSINDBK","Chart 📈")</f>
        <v/>
      </c>
    </row>
    <row r="69" ht="16" customHeight="1">
      <c r="A69" s="8" t="inlineStr">
        <is>
          <t>NIFTY IT</t>
        </is>
      </c>
      <c r="B69" s="17" t="inlineStr">
        <is>
          <t>TECHM</t>
        </is>
      </c>
      <c r="C69" s="18" t="n">
        <v>1560.6</v>
      </c>
      <c r="D69" s="18" t="n">
        <v>1484.31</v>
      </c>
      <c r="E69" s="18" t="n">
        <v>1447.19</v>
      </c>
      <c r="F69" s="18" t="n">
        <v>1446.7</v>
      </c>
      <c r="G69" s="19">
        <f>HYPERLINK("https://www.tradingview.com/chart/?symbol=NSE:TECHM","Chart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2026-07-22T12:35:49Z</dcterms:created>
  <dcterms:modified xsi:type="dcterms:W3CDTF">2026-07-22T12:35:49Z</dcterms:modified>
</cp:coreProperties>
</file>