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01-Sep-2026  15:35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9</v>
      </c>
      <c r="D4" s="5" t="n">
        <v>10</v>
      </c>
      <c r="E4" s="5" t="n">
        <v>12</v>
      </c>
      <c r="F4" s="6" t="n">
        <v>0.6</v>
      </c>
      <c r="G4" s="6" t="n">
        <v>0.667</v>
      </c>
      <c r="H4" s="6" t="n">
        <v>0.8</v>
      </c>
      <c r="I4" s="7" t="n">
        <v>0.6890000000000001</v>
      </c>
    </row>
    <row r="5" ht="17" customHeight="1">
      <c r="A5" s="8" t="inlineStr">
        <is>
          <t>NIFTY PHARMA</t>
        </is>
      </c>
      <c r="B5" s="9" t="n">
        <v>20</v>
      </c>
      <c r="C5" s="9" t="n">
        <v>10</v>
      </c>
      <c r="D5" s="9" t="n">
        <v>12</v>
      </c>
      <c r="E5" s="9" t="n">
        <v>14</v>
      </c>
      <c r="F5" s="10" t="n">
        <v>0.5</v>
      </c>
      <c r="G5" s="10" t="n">
        <v>0.6</v>
      </c>
      <c r="H5" s="10" t="n">
        <v>0.7</v>
      </c>
      <c r="I5" s="11" t="n">
        <v>0.6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5</v>
      </c>
      <c r="E6" s="5" t="n">
        <v>8</v>
      </c>
      <c r="F6" s="6" t="n">
        <v>0.4</v>
      </c>
      <c r="G6" s="6" t="n">
        <v>0.5</v>
      </c>
      <c r="H6" s="6" t="n">
        <v>0.8</v>
      </c>
      <c r="I6" s="7" t="n">
        <v>0.5667</v>
      </c>
    </row>
    <row r="7" ht="17" customHeight="1">
      <c r="A7" s="8" t="inlineStr">
        <is>
          <t>NIFTY AUTO</t>
        </is>
      </c>
      <c r="B7" s="9" t="n">
        <v>15</v>
      </c>
      <c r="C7" s="9" t="n">
        <v>4</v>
      </c>
      <c r="D7" s="9" t="n">
        <v>10</v>
      </c>
      <c r="E7" s="9" t="n">
        <v>11</v>
      </c>
      <c r="F7" s="10" t="n">
        <v>0.267</v>
      </c>
      <c r="G7" s="10" t="n">
        <v>0.667</v>
      </c>
      <c r="H7" s="10" t="n">
        <v>0.733</v>
      </c>
      <c r="I7" s="11" t="n">
        <v>0.5557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10</v>
      </c>
      <c r="E8" s="5" t="n">
        <v>11</v>
      </c>
      <c r="F8" s="6" t="n">
        <v>0.5</v>
      </c>
      <c r="G8" s="6" t="n">
        <v>0.5</v>
      </c>
      <c r="H8" s="6" t="n">
        <v>0.55</v>
      </c>
      <c r="I8" s="7" t="n">
        <v>0.5167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6</v>
      </c>
      <c r="D9" s="9" t="n">
        <v>7</v>
      </c>
      <c r="E9" s="9" t="n">
        <v>6</v>
      </c>
      <c r="F9" s="10" t="n">
        <v>0.4</v>
      </c>
      <c r="G9" s="10" t="n">
        <v>0.467</v>
      </c>
      <c r="H9" s="10" t="n">
        <v>0.4</v>
      </c>
      <c r="I9" s="11" t="n">
        <v>0.4223</v>
      </c>
    </row>
    <row r="10" ht="17" customHeight="1">
      <c r="A10" s="4" t="inlineStr">
        <is>
          <t>NIFTY IT</t>
        </is>
      </c>
      <c r="B10" s="5" t="n">
        <v>10</v>
      </c>
      <c r="C10" s="5" t="n">
        <v>5</v>
      </c>
      <c r="D10" s="5" t="n">
        <v>5</v>
      </c>
      <c r="E10" s="5" t="n">
        <v>2</v>
      </c>
      <c r="F10" s="6" t="n">
        <v>0.5</v>
      </c>
      <c r="G10" s="6" t="n">
        <v>0.5</v>
      </c>
      <c r="H10" s="6" t="n">
        <v>0.2</v>
      </c>
      <c r="I10" s="7" t="n">
        <v>0.4</v>
      </c>
    </row>
    <row r="11" ht="17" customHeight="1">
      <c r="A11" s="8" t="inlineStr">
        <is>
          <t>NIFTY PSU BANK</t>
        </is>
      </c>
      <c r="B11" s="9" t="n">
        <v>12</v>
      </c>
      <c r="C11" s="9" t="n">
        <v>4</v>
      </c>
      <c r="D11" s="9" t="n">
        <v>4</v>
      </c>
      <c r="E11" s="9" t="n">
        <v>6</v>
      </c>
      <c r="F11" s="10" t="n">
        <v>0.333</v>
      </c>
      <c r="G11" s="10" t="n">
        <v>0.333</v>
      </c>
      <c r="H11" s="10" t="n">
        <v>0.5</v>
      </c>
      <c r="I11" s="11" t="n">
        <v>0.3887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5</v>
      </c>
      <c r="D12" s="5" t="n">
        <v>5</v>
      </c>
      <c r="E12" s="5" t="n">
        <v>6</v>
      </c>
      <c r="F12" s="6" t="n">
        <v>0.333</v>
      </c>
      <c r="G12" s="6" t="n">
        <v>0.333</v>
      </c>
      <c r="H12" s="6" t="n">
        <v>0.4</v>
      </c>
      <c r="I12" s="7" t="n">
        <v>0.3553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5</v>
      </c>
      <c r="D13" s="9" t="n">
        <v>7</v>
      </c>
      <c r="E13" s="9" t="n">
        <v>8</v>
      </c>
      <c r="F13" s="10" t="n">
        <v>0.25</v>
      </c>
      <c r="G13" s="10" t="n">
        <v>0.35</v>
      </c>
      <c r="H13" s="10" t="n">
        <v>0.4</v>
      </c>
      <c r="I13" s="11" t="n">
        <v>0.3333</v>
      </c>
    </row>
    <row r="14" ht="17" customHeight="1">
      <c r="A14" s="4" t="inlineStr">
        <is>
          <t>NIFTY MEDIA</t>
        </is>
      </c>
      <c r="B14" s="5" t="n">
        <v>10</v>
      </c>
      <c r="C14" s="5" t="n">
        <v>2</v>
      </c>
      <c r="D14" s="5" t="n">
        <v>2</v>
      </c>
      <c r="E14" s="5" t="n">
        <v>4</v>
      </c>
      <c r="F14" s="6" t="n">
        <v>0.2</v>
      </c>
      <c r="G14" s="6" t="n">
        <v>0.2</v>
      </c>
      <c r="H14" s="6" t="n">
        <v>0.4</v>
      </c>
      <c r="I14" s="7" t="n">
        <v>0.2667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3</v>
      </c>
      <c r="E15" s="9" t="n">
        <v>4</v>
      </c>
      <c r="F15" s="10" t="n">
        <v>0.083</v>
      </c>
      <c r="G15" s="10" t="n">
        <v>0.25</v>
      </c>
      <c r="H15" s="10" t="n">
        <v>0.333</v>
      </c>
      <c r="I15" s="11" t="n">
        <v>0.222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3</v>
      </c>
      <c r="E16" s="5" t="n">
        <v>5</v>
      </c>
      <c r="F16" s="6" t="n">
        <v>0.067</v>
      </c>
      <c r="G16" s="6" t="n">
        <v>0.2</v>
      </c>
      <c r="H16" s="6" t="n">
        <v>0.333</v>
      </c>
      <c r="I16" s="7" t="n">
        <v>0.2</v>
      </c>
    </row>
    <row r="17" ht="17" customHeight="1">
      <c r="A17" s="8" t="inlineStr">
        <is>
          <t>NIFTY ENERGY</t>
        </is>
      </c>
      <c r="B17" s="9" t="n">
        <v>40</v>
      </c>
      <c r="C17" s="9" t="n">
        <v>4</v>
      </c>
      <c r="D17" s="9" t="n">
        <v>4</v>
      </c>
      <c r="E17" s="9" t="n">
        <v>11</v>
      </c>
      <c r="F17" s="10" t="n">
        <v>0.1</v>
      </c>
      <c r="G17" s="10" t="n">
        <v>0.1</v>
      </c>
      <c r="H17" s="10" t="n">
        <v>0.275</v>
      </c>
      <c r="I17" s="11" t="n">
        <v>0.1583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2234</v>
      </c>
      <c r="D3" s="14" t="n">
        <v>2107.25</v>
      </c>
      <c r="E3" s="14" t="n">
        <v>1998.1</v>
      </c>
      <c r="F3" s="14" t="n">
        <v>1909.87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HINDZINC</t>
        </is>
      </c>
      <c r="C4" s="14" t="n">
        <v>597</v>
      </c>
      <c r="D4" s="14" t="n">
        <v>586.8200000000001</v>
      </c>
      <c r="E4" s="14" t="n">
        <v>572.92</v>
      </c>
      <c r="F4" s="14" t="n">
        <v>555.51</v>
      </c>
      <c r="G4" s="15">
        <f>HYPERLINK("https://www.tradingview.com/chart/?symbol=NSE:HINDZINC","Chart 📈")</f>
        <v/>
      </c>
    </row>
    <row r="5" ht="16" customHeight="1">
      <c r="A5" s="16" t="inlineStr">
        <is>
          <t>NIFTY METAL</t>
        </is>
      </c>
      <c r="B5" s="13" t="inlineStr">
        <is>
          <t>JINDALSTEL</t>
        </is>
      </c>
      <c r="C5" s="14" t="n">
        <v>1160</v>
      </c>
      <c r="D5" s="14" t="n">
        <v>1134.77</v>
      </c>
      <c r="E5" s="14" t="n">
        <v>1116.86</v>
      </c>
      <c r="F5" s="14" t="n">
        <v>1110.98</v>
      </c>
      <c r="G5" s="15">
        <f>HYPERLINK("https://www.tradingview.com/chart/?symbol=NSE:JINDALSTEL","Chart 📈")</f>
        <v/>
      </c>
    </row>
    <row r="6" ht="16" customHeight="1">
      <c r="A6" s="16" t="inlineStr">
        <is>
          <t>NIFTY METAL</t>
        </is>
      </c>
      <c r="B6" s="13" t="inlineStr">
        <is>
          <t>JSWSTEEL</t>
        </is>
      </c>
      <c r="C6" s="14" t="n">
        <v>1313.5</v>
      </c>
      <c r="D6" s="14" t="n">
        <v>1302.39</v>
      </c>
      <c r="E6" s="14" t="n">
        <v>1281.5</v>
      </c>
      <c r="F6" s="14" t="n">
        <v>1221.89</v>
      </c>
      <c r="G6" s="15">
        <f>HYPERLINK("https://www.tradingview.com/chart/?symbol=NSE:JSWSTEEL","Chart 📈")</f>
        <v/>
      </c>
    </row>
    <row r="7" ht="16" customHeight="1">
      <c r="A7" s="16" t="inlineStr">
        <is>
          <t>NIFTY METAL</t>
        </is>
      </c>
      <c r="B7" s="13" t="inlineStr">
        <is>
          <t>NMDC</t>
        </is>
      </c>
      <c r="C7" s="14" t="n">
        <v>85.69</v>
      </c>
      <c r="D7" s="14" t="n">
        <v>85.68000000000001</v>
      </c>
      <c r="E7" s="14" t="n">
        <v>85.62</v>
      </c>
      <c r="F7" s="14" t="n">
        <v>82.64</v>
      </c>
      <c r="G7" s="15">
        <f>HYPERLINK("https://www.tradingview.com/chart/?symbol=NSE:NMDC","Chart 📈")</f>
        <v/>
      </c>
    </row>
    <row r="8" ht="16" customHeight="1">
      <c r="A8" s="16" t="inlineStr">
        <is>
          <t>NIFTY METAL</t>
        </is>
      </c>
      <c r="B8" s="13" t="inlineStr">
        <is>
          <t>RATNAMANI</t>
        </is>
      </c>
      <c r="C8" s="14" t="n">
        <v>2605.1</v>
      </c>
      <c r="D8" s="14" t="n">
        <v>2500.17</v>
      </c>
      <c r="E8" s="14" t="n">
        <v>2482.52</v>
      </c>
      <c r="F8" s="14" t="n">
        <v>2445.5</v>
      </c>
      <c r="G8" s="15">
        <f>HYPERLINK("https://www.tradingview.com/chart/?symbol=NSE:RATNAMANI","Chart 📈")</f>
        <v/>
      </c>
    </row>
    <row r="9" ht="16" customHeight="1">
      <c r="A9" s="16" t="inlineStr">
        <is>
          <t>NIFTY METAL</t>
        </is>
      </c>
      <c r="B9" s="13" t="inlineStr">
        <is>
          <t>SAIL</t>
        </is>
      </c>
      <c r="C9" s="14" t="n">
        <v>193</v>
      </c>
      <c r="D9" s="14" t="n">
        <v>181.96</v>
      </c>
      <c r="E9" s="14" t="n">
        <v>177</v>
      </c>
      <c r="F9" s="14" t="n">
        <v>164.79</v>
      </c>
      <c r="G9" s="15">
        <f>HYPERLINK("https://www.tradingview.com/chart/?symbol=NSE:SAIL","Chart 📈")</f>
        <v/>
      </c>
    </row>
    <row r="10" ht="16" customHeight="1">
      <c r="A10" s="16" t="inlineStr">
        <is>
          <t>NIFTY METAL</t>
        </is>
      </c>
      <c r="B10" s="13" t="inlineStr">
        <is>
          <t>WELCORP</t>
        </is>
      </c>
      <c r="C10" s="14" t="n">
        <v>2553.6</v>
      </c>
      <c r="D10" s="14" t="n">
        <v>2137.15</v>
      </c>
      <c r="E10" s="14" t="n">
        <v>1855.18</v>
      </c>
      <c r="F10" s="14" t="n">
        <v>1335.87</v>
      </c>
      <c r="G10" s="15">
        <f>HYPERLINK("https://www.tradingview.com/chart/?symbol=NSE:WELCORP","Chart 📈")</f>
        <v/>
      </c>
    </row>
    <row r="11" ht="16" customHeight="1">
      <c r="A11" s="8" t="inlineStr">
        <is>
          <t>NIFTY PHARMA</t>
        </is>
      </c>
      <c r="B11" s="17" t="inlineStr">
        <is>
          <t>AUROPHARMA</t>
        </is>
      </c>
      <c r="C11" s="18" t="n">
        <v>1683.3</v>
      </c>
      <c r="D11" s="18" t="n">
        <v>1633.06</v>
      </c>
      <c r="E11" s="18" t="n">
        <v>1587.37</v>
      </c>
      <c r="F11" s="18" t="n">
        <v>1403.31</v>
      </c>
      <c r="G11" s="19">
        <f>HYPERLINK("https://www.tradingview.com/chart/?symbol=NSE:AUROPHARMA","Chart 📈")</f>
        <v/>
      </c>
    </row>
    <row r="12" ht="16" customHeight="1">
      <c r="A12" s="20" t="inlineStr">
        <is>
          <t>NIFTY PHARMA</t>
        </is>
      </c>
      <c r="B12" s="17" t="inlineStr">
        <is>
          <t>DIVISLAB</t>
        </is>
      </c>
      <c r="C12" s="18" t="n">
        <v>9165</v>
      </c>
      <c r="D12" s="18" t="n">
        <v>8663.92</v>
      </c>
      <c r="E12" s="18" t="n">
        <v>8003.68</v>
      </c>
      <c r="F12" s="18" t="n">
        <v>6955.41</v>
      </c>
      <c r="G12" s="19">
        <f>HYPERLINK("https://www.tradingview.com/chart/?symbol=NSE:DIVISLAB","Chart 📈")</f>
        <v/>
      </c>
    </row>
    <row r="13" ht="16" customHeight="1">
      <c r="A13" s="20" t="inlineStr">
        <is>
          <t>NIFTY PHARMA</t>
        </is>
      </c>
      <c r="B13" s="17" t="inlineStr">
        <is>
          <t>GLAND</t>
        </is>
      </c>
      <c r="C13" s="18" t="n">
        <v>2875</v>
      </c>
      <c r="D13" s="18" t="n">
        <v>2796.96</v>
      </c>
      <c r="E13" s="18" t="n">
        <v>2611.87</v>
      </c>
      <c r="F13" s="18" t="n">
        <v>2177.31</v>
      </c>
      <c r="G13" s="19">
        <f>HYPERLINK("https://www.tradingview.com/chart/?symbol=NSE:GLAND","Chart 📈")</f>
        <v/>
      </c>
    </row>
    <row r="14" ht="16" customHeight="1">
      <c r="A14" s="20" t="inlineStr">
        <is>
          <t>NIFTY PHARMA</t>
        </is>
      </c>
      <c r="B14" s="17" t="inlineStr">
        <is>
          <t>GLENMARK</t>
        </is>
      </c>
      <c r="C14" s="18" t="n">
        <v>2470.4</v>
      </c>
      <c r="D14" s="18" t="n">
        <v>2366.41</v>
      </c>
      <c r="E14" s="18" t="n">
        <v>2300.93</v>
      </c>
      <c r="F14" s="18" t="n">
        <v>2176.7</v>
      </c>
      <c r="G14" s="19">
        <f>HYPERLINK("https://www.tradingview.com/chart/?symbol=NSE:GLENMARK","Chart 📈")</f>
        <v/>
      </c>
    </row>
    <row r="15" ht="16" customHeight="1">
      <c r="A15" s="20" t="inlineStr">
        <is>
          <t>NIFTY PHARMA</t>
        </is>
      </c>
      <c r="B15" s="17" t="inlineStr">
        <is>
          <t>IPCALAB</t>
        </is>
      </c>
      <c r="C15" s="18" t="n">
        <v>1987.6</v>
      </c>
      <c r="D15" s="18" t="n">
        <v>1883.37</v>
      </c>
      <c r="E15" s="18" t="n">
        <v>1797.69</v>
      </c>
      <c r="F15" s="18" t="n">
        <v>1607.79</v>
      </c>
      <c r="G15" s="19">
        <f>HYPERLINK("https://www.tradingview.com/chart/?symbol=NSE:IPCALAB","Chart 📈")</f>
        <v/>
      </c>
    </row>
    <row r="16" ht="16" customHeight="1">
      <c r="A16" s="20" t="inlineStr">
        <is>
          <t>NIFTY PHARMA</t>
        </is>
      </c>
      <c r="B16" s="17" t="inlineStr">
        <is>
          <t>JBCHEPHARM</t>
        </is>
      </c>
      <c r="C16" s="18" t="n">
        <v>2408.9</v>
      </c>
      <c r="D16" s="18" t="n">
        <v>2383.66</v>
      </c>
      <c r="E16" s="18" t="n">
        <v>2287.69</v>
      </c>
      <c r="F16" s="18" t="n">
        <v>2043.12</v>
      </c>
      <c r="G16" s="19">
        <f>HYPERLINK("https://www.tradingview.com/chart/?symbol=NSE:JBCHEPHARM","Chart 📈")</f>
        <v/>
      </c>
    </row>
    <row r="17" ht="16" customHeight="1">
      <c r="A17" s="20" t="inlineStr">
        <is>
          <t>NIFTY PHARMA</t>
        </is>
      </c>
      <c r="B17" s="17" t="inlineStr">
        <is>
          <t>LAURUSLABS</t>
        </is>
      </c>
      <c r="C17" s="18" t="n">
        <v>1861.6</v>
      </c>
      <c r="D17" s="18" t="n">
        <v>1835.13</v>
      </c>
      <c r="E17" s="18" t="n">
        <v>1707</v>
      </c>
      <c r="F17" s="18" t="n">
        <v>1343.14</v>
      </c>
      <c r="G17" s="19">
        <f>HYPERLINK("https://www.tradingview.com/chart/?symbol=NSE:LAURUSLABS","Chart 📈")</f>
        <v/>
      </c>
    </row>
    <row r="18" ht="16" customHeight="1">
      <c r="A18" s="20" t="inlineStr">
        <is>
          <t>NIFTY PHARMA</t>
        </is>
      </c>
      <c r="B18" s="17" t="inlineStr">
        <is>
          <t>SUNPHARMA</t>
        </is>
      </c>
      <c r="C18" s="18" t="n">
        <v>1929</v>
      </c>
      <c r="D18" s="18" t="n">
        <v>1926.48</v>
      </c>
      <c r="E18" s="18" t="n">
        <v>1911.64</v>
      </c>
      <c r="F18" s="18" t="n">
        <v>1804.47</v>
      </c>
      <c r="G18" s="19">
        <f>HYPERLINK("https://www.tradingview.com/chart/?symbol=NSE:SUNPHARMA","Chart 📈")</f>
        <v/>
      </c>
    </row>
    <row r="19" ht="16" customHeight="1">
      <c r="A19" s="20" t="inlineStr">
        <is>
          <t>NIFTY PHARMA</t>
        </is>
      </c>
      <c r="B19" s="17" t="inlineStr">
        <is>
          <t>TORNTPHARM</t>
        </is>
      </c>
      <c r="C19" s="18" t="n">
        <v>4965.5</v>
      </c>
      <c r="D19" s="18" t="n">
        <v>4956.37</v>
      </c>
      <c r="E19" s="18" t="n">
        <v>4859.98</v>
      </c>
      <c r="F19" s="18" t="n">
        <v>4398.69</v>
      </c>
      <c r="G19" s="19">
        <f>HYPERLINK("https://www.tradingview.com/chart/?symbol=NSE:TORNTPHARM","Chart 📈")</f>
        <v/>
      </c>
    </row>
    <row r="20" ht="16" customHeight="1">
      <c r="A20" s="20" t="inlineStr">
        <is>
          <t>NIFTY PHARMA</t>
        </is>
      </c>
      <c r="B20" s="17" t="inlineStr">
        <is>
          <t>ZYDUSLIFE</t>
        </is>
      </c>
      <c r="C20" s="18" t="n">
        <v>1167.8</v>
      </c>
      <c r="D20" s="18" t="n">
        <v>1144.19</v>
      </c>
      <c r="E20" s="18" t="n">
        <v>1122.37</v>
      </c>
      <c r="F20" s="18" t="n">
        <v>1033.57</v>
      </c>
      <c r="G20" s="19">
        <f>HYPERLINK("https://www.tradingview.com/chart/?symbol=NSE:ZYDUSLIFE","Chart 📈")</f>
        <v/>
      </c>
    </row>
    <row r="21" ht="16" customHeight="1">
      <c r="A21" s="12" t="inlineStr">
        <is>
          <t>NIFTY REALTY</t>
        </is>
      </c>
      <c r="B21" s="13" t="inlineStr">
        <is>
          <t>BRIGADE</t>
        </is>
      </c>
      <c r="C21" s="14" t="n">
        <v>645.1</v>
      </c>
      <c r="D21" s="14" t="n">
        <v>620.3099999999999</v>
      </c>
      <c r="E21" s="14" t="n">
        <v>585.5599999999999</v>
      </c>
      <c r="F21" s="14" t="n">
        <v>582.17</v>
      </c>
      <c r="G21" s="15">
        <f>HYPERLINK("https://www.tradingview.com/chart/?symbol=NSE:BRIGADE","Chart 📈")</f>
        <v/>
      </c>
    </row>
    <row r="22" ht="16" customHeight="1">
      <c r="A22" s="16" t="inlineStr">
        <is>
          <t>NIFTY REALTY</t>
        </is>
      </c>
      <c r="B22" s="13" t="inlineStr">
        <is>
          <t>DLF</t>
        </is>
      </c>
      <c r="C22" s="14" t="n">
        <v>675.15</v>
      </c>
      <c r="D22" s="14" t="n">
        <v>670.97</v>
      </c>
      <c r="E22" s="14" t="n">
        <v>653</v>
      </c>
      <c r="F22" s="14" t="n">
        <v>642.01</v>
      </c>
      <c r="G22" s="15">
        <f>HYPERLINK("https://www.tradingview.com/chart/?symbol=NSE:DLF","Chart 📈")</f>
        <v/>
      </c>
    </row>
    <row r="23" ht="16" customHeight="1">
      <c r="A23" s="16" t="inlineStr">
        <is>
          <t>NIFTY REALTY</t>
        </is>
      </c>
      <c r="B23" s="13" t="inlineStr">
        <is>
          <t>OBEROIRLTY</t>
        </is>
      </c>
      <c r="C23" s="14" t="n">
        <v>1880.7</v>
      </c>
      <c r="D23" s="14" t="n">
        <v>1860.35</v>
      </c>
      <c r="E23" s="14" t="n">
        <v>1824.83</v>
      </c>
      <c r="F23" s="14" t="n">
        <v>1709.65</v>
      </c>
      <c r="G23" s="15">
        <f>HYPERLINK("https://www.tradingview.com/chart/?symbol=NSE:OBEROIRLTY","Chart 📈")</f>
        <v/>
      </c>
    </row>
    <row r="24" ht="16" customHeight="1">
      <c r="A24" s="16" t="inlineStr">
        <is>
          <t>NIFTY REALTY</t>
        </is>
      </c>
      <c r="B24" s="13" t="inlineStr">
        <is>
          <t>RAYMOND</t>
        </is>
      </c>
      <c r="C24" s="14" t="n">
        <v>635.3</v>
      </c>
      <c r="D24" s="14" t="n">
        <v>626.05</v>
      </c>
      <c r="E24" s="14" t="n">
        <v>605.61</v>
      </c>
      <c r="F24" s="14" t="n">
        <v>538.8200000000001</v>
      </c>
      <c r="G24" s="15">
        <f>HYPERLINK("https://www.tradingview.com/chart/?symbol=NSE:RAYMOND","Chart 📈")</f>
        <v/>
      </c>
    </row>
    <row r="25" ht="16" customHeight="1">
      <c r="A25" s="8" t="inlineStr">
        <is>
          <t>NIFTY AUTO</t>
        </is>
      </c>
      <c r="B25" s="17" t="inlineStr">
        <is>
          <t>APOLLOTYRE</t>
        </is>
      </c>
      <c r="C25" s="18" t="n">
        <v>442.7</v>
      </c>
      <c r="D25" s="18" t="n">
        <v>439.31</v>
      </c>
      <c r="E25" s="18" t="n">
        <v>433.37</v>
      </c>
      <c r="F25" s="18" t="n">
        <v>440.44</v>
      </c>
      <c r="G25" s="19">
        <f>HYPERLINK("https://www.tradingview.com/chart/?symbol=NSE:APOLLOTYRE","Chart 📈")</f>
        <v/>
      </c>
    </row>
    <row r="26" ht="16" customHeight="1">
      <c r="A26" s="20" t="inlineStr">
        <is>
          <t>NIFTY AUTO</t>
        </is>
      </c>
      <c r="B26" s="17" t="inlineStr">
        <is>
          <t>BAJAJ-AUTO</t>
        </is>
      </c>
      <c r="C26" s="18" t="n">
        <v>12361</v>
      </c>
      <c r="D26" s="18" t="n">
        <v>11736.06</v>
      </c>
      <c r="E26" s="18" t="n">
        <v>11225.14</v>
      </c>
      <c r="F26" s="18" t="n">
        <v>10130.29</v>
      </c>
      <c r="G26" s="19">
        <f>HYPERLINK("https://www.tradingview.com/chart/?symbol=NSE:BAJAJ-AUTO","Chart 📈")</f>
        <v/>
      </c>
    </row>
    <row r="27" ht="16" customHeight="1">
      <c r="A27" s="20" t="inlineStr">
        <is>
          <t>NIFTY AUTO</t>
        </is>
      </c>
      <c r="B27" s="17" t="inlineStr">
        <is>
          <t>BOSCHLTD</t>
        </is>
      </c>
      <c r="C27" s="18" t="n">
        <v>48550</v>
      </c>
      <c r="D27" s="18" t="n">
        <v>47036.44</v>
      </c>
      <c r="E27" s="18" t="n">
        <v>44019.81</v>
      </c>
      <c r="F27" s="18" t="n">
        <v>39549.18</v>
      </c>
      <c r="G27" s="19">
        <f>HYPERLINK("https://www.tradingview.com/chart/?symbol=NSE:BOSCHLTD","Chart 📈")</f>
        <v/>
      </c>
    </row>
    <row r="28" ht="16" customHeight="1">
      <c r="A28" s="20" t="inlineStr">
        <is>
          <t>NIFTY AUTO</t>
        </is>
      </c>
      <c r="B28" s="17" t="inlineStr">
        <is>
          <t>MOTHERSON</t>
        </is>
      </c>
      <c r="C28" s="18" t="n">
        <v>165.6</v>
      </c>
      <c r="D28" s="18" t="n">
        <v>164.59</v>
      </c>
      <c r="E28" s="18" t="n">
        <v>156.35</v>
      </c>
      <c r="F28" s="18" t="n">
        <v>134.42</v>
      </c>
      <c r="G28" s="19">
        <f>HYPERLINK("https://www.tradingview.com/chart/?symbol=NSE:MOTHERSON","Chart 📈")</f>
        <v/>
      </c>
    </row>
    <row r="29" ht="16" customHeight="1">
      <c r="A29" s="12" t="inlineStr">
        <is>
          <t>NIFTY MIDSMALL IT &amp; TELECOM</t>
        </is>
      </c>
      <c r="B29" s="13" t="inlineStr">
        <is>
          <t>COFORGE</t>
        </is>
      </c>
      <c r="C29" s="14" t="n">
        <v>1988.9</v>
      </c>
      <c r="D29" s="14" t="n">
        <v>1852.42</v>
      </c>
      <c r="E29" s="14" t="n">
        <v>1704.83</v>
      </c>
      <c r="F29" s="14" t="n">
        <v>1558.37</v>
      </c>
      <c r="G29" s="15">
        <f>HYPERLINK("https://www.tradingview.com/chart/?symbol=NSE:COFORGE","Chart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CYIENT</t>
        </is>
      </c>
      <c r="C30" s="14" t="n">
        <v>1164.6</v>
      </c>
      <c r="D30" s="14" t="n">
        <v>974.38</v>
      </c>
      <c r="E30" s="14" t="n">
        <v>916.97</v>
      </c>
      <c r="F30" s="14" t="n">
        <v>958.89</v>
      </c>
      <c r="G30" s="15">
        <f>HYPERLINK("https://www.tradingview.com/chart/?symbol=NSE:CYIENT","Chart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HFCL</t>
        </is>
      </c>
      <c r="C31" s="14" t="n">
        <v>236.64</v>
      </c>
      <c r="D31" s="14" t="n">
        <v>229.64</v>
      </c>
      <c r="E31" s="14" t="n">
        <v>212.7</v>
      </c>
      <c r="F31" s="14" t="n">
        <v>148.68</v>
      </c>
      <c r="G31" s="15">
        <f>HYPERLINK("https://www.tradingview.com/chart/?symbol=NSE:HFCL","Chart 📈")</f>
        <v/>
      </c>
    </row>
    <row r="32" ht="16" customHeight="1">
      <c r="A32" s="16" t="inlineStr">
        <is>
          <t>NIFTY MIDSMALL IT &amp; TELECOM</t>
        </is>
      </c>
      <c r="B32" s="13" t="inlineStr">
        <is>
          <t>MPHASIS</t>
        </is>
      </c>
      <c r="C32" s="14" t="n">
        <v>2505.5</v>
      </c>
      <c r="D32" s="14" t="n">
        <v>2438.7</v>
      </c>
      <c r="E32" s="14" t="n">
        <v>2383.23</v>
      </c>
      <c r="F32" s="14" t="n">
        <v>2410.64</v>
      </c>
      <c r="G32" s="15">
        <f>HYPERLINK("https://www.tradingview.com/chart/?symbol=NSE:MPHASIS","Chart 📈")</f>
        <v/>
      </c>
    </row>
    <row r="33" ht="16" customHeight="1">
      <c r="A33" s="16" t="inlineStr">
        <is>
          <t>NIFTY MIDSMALL IT &amp; TELECOM</t>
        </is>
      </c>
      <c r="B33" s="13" t="inlineStr">
        <is>
          <t>OFSS</t>
        </is>
      </c>
      <c r="C33" s="14" t="n">
        <v>12187</v>
      </c>
      <c r="D33" s="14" t="n">
        <v>11815.12</v>
      </c>
      <c r="E33" s="14" t="n">
        <v>11302.38</v>
      </c>
      <c r="F33" s="14" t="n">
        <v>9520.809999999999</v>
      </c>
      <c r="G33" s="15">
        <f>HYPERLINK("https://www.tradingview.com/chart/?symbol=NSE:OFSS","Chart 📈")</f>
        <v/>
      </c>
    </row>
    <row r="34" ht="16" customHeight="1">
      <c r="A34" s="16" t="inlineStr">
        <is>
          <t>NIFTY MIDSMALL IT &amp; TELECOM</t>
        </is>
      </c>
      <c r="B34" s="13" t="inlineStr">
        <is>
          <t>PERSISTENT</t>
        </is>
      </c>
      <c r="C34" s="14" t="n">
        <v>5800</v>
      </c>
      <c r="D34" s="14" t="n">
        <v>5584.54</v>
      </c>
      <c r="E34" s="14" t="n">
        <v>5374.32</v>
      </c>
      <c r="F34" s="14" t="n">
        <v>5307.18</v>
      </c>
      <c r="G34" s="15">
        <f>HYPERLINK("https://www.tradingview.com/chart/?symbol=NSE:PERSISTENT","Chart 📈")</f>
        <v/>
      </c>
    </row>
    <row r="35" ht="16" customHeight="1">
      <c r="A35" s="16" t="inlineStr">
        <is>
          <t>NIFTY MIDSMALL IT &amp; TELECOM</t>
        </is>
      </c>
      <c r="B35" s="13" t="inlineStr">
        <is>
          <t>TATATECH</t>
        </is>
      </c>
      <c r="C35" s="14" t="n">
        <v>814.95</v>
      </c>
      <c r="D35" s="14" t="n">
        <v>811.0700000000001</v>
      </c>
      <c r="E35" s="14" t="n">
        <v>777.0700000000001</v>
      </c>
      <c r="F35" s="14" t="n">
        <v>694.76</v>
      </c>
      <c r="G35" s="15">
        <f>HYPERLINK("https://www.tradingview.com/chart/?symbol=NSE:TATATECH","Chart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TEJASNET</t>
        </is>
      </c>
      <c r="C36" s="14" t="n">
        <v>541.9</v>
      </c>
      <c r="D36" s="14" t="n">
        <v>526.5700000000001</v>
      </c>
      <c r="E36" s="14" t="n">
        <v>528.48</v>
      </c>
      <c r="F36" s="14" t="n">
        <v>506.55</v>
      </c>
      <c r="G36" s="15">
        <f>HYPERLINK("https://www.tradingview.com/chart/?symbol=NSE:TEJASNET","Chart 📈")</f>
        <v/>
      </c>
    </row>
    <row r="37" ht="16" customHeight="1">
      <c r="A37" s="8" t="inlineStr">
        <is>
          <t>NIFTY CONSUMER DURABLES</t>
        </is>
      </c>
      <c r="B37" s="17" t="inlineStr">
        <is>
          <t>AMBER</t>
        </is>
      </c>
      <c r="C37" s="18" t="n">
        <v>7508</v>
      </c>
      <c r="D37" s="18" t="n">
        <v>7439.99</v>
      </c>
      <c r="E37" s="18" t="n">
        <v>7469.09</v>
      </c>
      <c r="F37" s="18" t="n">
        <v>7447.67</v>
      </c>
      <c r="G37" s="19">
        <f>HYPERLINK("https://www.tradingview.com/chart/?symbol=NSE:AMBER","Chart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DIXON</t>
        </is>
      </c>
      <c r="C38" s="18" t="n">
        <v>14461</v>
      </c>
      <c r="D38" s="18" t="n">
        <v>14431.09</v>
      </c>
      <c r="E38" s="18" t="n">
        <v>13791.12</v>
      </c>
      <c r="F38" s="18" t="n">
        <v>13169.73</v>
      </c>
      <c r="G38" s="19">
        <f>HYPERLINK("https://www.tradingview.com/chart/?symbol=NSE:DIXON","Chart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KAJARIACER</t>
        </is>
      </c>
      <c r="C39" s="18" t="n">
        <v>1229</v>
      </c>
      <c r="D39" s="18" t="n">
        <v>1218.35</v>
      </c>
      <c r="E39" s="18" t="n">
        <v>1200.78</v>
      </c>
      <c r="F39" s="18" t="n">
        <v>1137.03</v>
      </c>
      <c r="G39" s="19">
        <f>HYPERLINK("https://www.tradingview.com/chart/?symbol=NSE:KAJARIACER","Chart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TITAN</t>
        </is>
      </c>
      <c r="C40" s="18" t="n">
        <v>5050</v>
      </c>
      <c r="D40" s="18" t="n">
        <v>5038.4</v>
      </c>
      <c r="E40" s="18" t="n">
        <v>4832.41</v>
      </c>
      <c r="F40" s="18" t="n">
        <v>4353.1</v>
      </c>
      <c r="G40" s="19">
        <f>HYPERLINK("https://www.tradingview.com/chart/?symbol=NSE:TITAN","Chart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VGUARD</t>
        </is>
      </c>
      <c r="C41" s="18" t="n">
        <v>343.05</v>
      </c>
      <c r="D41" s="18" t="n">
        <v>329.86</v>
      </c>
      <c r="E41" s="18" t="n">
        <v>320.1</v>
      </c>
      <c r="F41" s="18" t="n">
        <v>323.1</v>
      </c>
      <c r="G41" s="19">
        <f>HYPERLINK("https://www.tradingview.com/chart/?symbol=NSE:VGUARD","Chart 📈")</f>
        <v/>
      </c>
    </row>
    <row r="42" ht="16" customHeight="1">
      <c r="A42" s="12" t="inlineStr">
        <is>
          <t>NIFTY IT</t>
        </is>
      </c>
      <c r="B42" s="13" t="inlineStr">
        <is>
          <t>HCLTECH</t>
        </is>
      </c>
      <c r="C42" s="14" t="n">
        <v>1351.4</v>
      </c>
      <c r="D42" s="14" t="n">
        <v>1315.78</v>
      </c>
      <c r="E42" s="14" t="n">
        <v>1278.03</v>
      </c>
      <c r="F42" s="14" t="n">
        <v>1310.74</v>
      </c>
      <c r="G42" s="15">
        <f>HYPERLINK("https://www.tradingview.com/chart/?symbol=NSE:HCLTECH","Chart 📈")</f>
        <v/>
      </c>
    </row>
    <row r="43" ht="16" customHeight="1">
      <c r="A43" s="16" t="inlineStr">
        <is>
          <t>NIFTY IT</t>
        </is>
      </c>
      <c r="B43" s="13" t="inlineStr">
        <is>
          <t>TECHM</t>
        </is>
      </c>
      <c r="C43" s="14" t="n">
        <v>1638</v>
      </c>
      <c r="D43" s="14" t="n">
        <v>1606.07</v>
      </c>
      <c r="E43" s="14" t="n">
        <v>1562.77</v>
      </c>
      <c r="F43" s="14" t="n">
        <v>1487.35</v>
      </c>
      <c r="G43" s="15">
        <f>HYPERLINK("https://www.tradingview.com/chart/?symbol=NSE:TECHM","Chart 📈")</f>
        <v/>
      </c>
    </row>
    <row r="44" ht="16" customHeight="1">
      <c r="A44" s="8" t="inlineStr">
        <is>
          <t>NIFTY PSU BANK</t>
        </is>
      </c>
      <c r="B44" s="17" t="inlineStr">
        <is>
          <t>INDIANB</t>
        </is>
      </c>
      <c r="C44" s="18" t="n">
        <v>881.75</v>
      </c>
      <c r="D44" s="18" t="n">
        <v>875.98</v>
      </c>
      <c r="E44" s="18" t="n">
        <v>860.29</v>
      </c>
      <c r="F44" s="18" t="n">
        <v>831.1</v>
      </c>
      <c r="G44" s="19">
        <f>HYPERLINK("https://www.tradingview.com/chart/?symbol=NSE:INDIANB","Chart 📈")</f>
        <v/>
      </c>
    </row>
    <row r="45" ht="16" customHeight="1">
      <c r="A45" s="20" t="inlineStr">
        <is>
          <t>NIFTY PSU BANK</t>
        </is>
      </c>
      <c r="B45" s="17" t="inlineStr">
        <is>
          <t>MAHABANK</t>
        </is>
      </c>
      <c r="C45" s="18" t="n">
        <v>82.7</v>
      </c>
      <c r="D45" s="18" t="n">
        <v>81.73</v>
      </c>
      <c r="E45" s="18" t="n">
        <v>81.38</v>
      </c>
      <c r="F45" s="18" t="n">
        <v>73.34999999999999</v>
      </c>
      <c r="G45" s="19">
        <f>HYPERLINK("https://www.tradingview.com/chart/?symbol=NSE:MAHABANK","Chart 📈")</f>
        <v/>
      </c>
    </row>
    <row r="46" ht="16" customHeight="1">
      <c r="A46" s="20" t="inlineStr">
        <is>
          <t>NIFTY PSU BANK</t>
        </is>
      </c>
      <c r="B46" s="17" t="inlineStr">
        <is>
          <t>PNB</t>
        </is>
      </c>
      <c r="C46" s="18" t="n">
        <v>115.22</v>
      </c>
      <c r="D46" s="18" t="n">
        <v>115.14</v>
      </c>
      <c r="E46" s="18" t="n">
        <v>112.43</v>
      </c>
      <c r="F46" s="18" t="n">
        <v>110.13</v>
      </c>
      <c r="G46" s="19">
        <f>HYPERLINK("https://www.tradingview.com/chart/?symbol=NSE:PNB","Chart 📈")</f>
        <v/>
      </c>
    </row>
    <row r="47" ht="16" customHeight="1">
      <c r="A47" s="20" t="inlineStr">
        <is>
          <t>NIFTY PSU BANK</t>
        </is>
      </c>
      <c r="B47" s="17" t="inlineStr">
        <is>
          <t>UNIONBANK</t>
        </is>
      </c>
      <c r="C47" s="18" t="n">
        <v>184.9</v>
      </c>
      <c r="D47" s="18" t="n">
        <v>183.5</v>
      </c>
      <c r="E47" s="18" t="n">
        <v>177.58</v>
      </c>
      <c r="F47" s="18" t="n">
        <v>165.42</v>
      </c>
      <c r="G47" s="19">
        <f>HYPERLINK("https://www.tradingview.com/chart/?symbol=NSE:UNIONBANK","Chart 📈")</f>
        <v/>
      </c>
    </row>
    <row r="48" ht="16" customHeight="1">
      <c r="A48" s="12" t="inlineStr">
        <is>
          <t>NIFTY OIL &amp; GAS</t>
        </is>
      </c>
      <c r="B48" s="13" t="inlineStr">
        <is>
          <t>BPCL</t>
        </is>
      </c>
      <c r="C48" s="14" t="n">
        <v>317.65</v>
      </c>
      <c r="D48" s="14" t="n">
        <v>316.71</v>
      </c>
      <c r="E48" s="14" t="n">
        <v>314.21</v>
      </c>
      <c r="F48" s="14" t="n">
        <v>316.91</v>
      </c>
      <c r="G48" s="15">
        <f>HYPERLINK("https://www.tradingview.com/chart/?symbol=NSE:BPCL","Chart 📈")</f>
        <v/>
      </c>
    </row>
    <row r="49" ht="16" customHeight="1">
      <c r="A49" s="16" t="inlineStr">
        <is>
          <t>NIFTY OIL &amp; GAS</t>
        </is>
      </c>
      <c r="B49" s="13" t="inlineStr">
        <is>
          <t>CASTROLIND</t>
        </is>
      </c>
      <c r="C49" s="14" t="n">
        <v>186.02</v>
      </c>
      <c r="D49" s="14" t="n">
        <v>185.51</v>
      </c>
      <c r="E49" s="14" t="n">
        <v>182.99</v>
      </c>
      <c r="F49" s="14" t="n">
        <v>180.27</v>
      </c>
      <c r="G49" s="15">
        <f>HYPERLINK("https://www.tradingview.com/chart/?symbol=NSE:CASTROLIND","Chart 📈")</f>
        <v/>
      </c>
    </row>
    <row r="50" ht="16" customHeight="1">
      <c r="A50" s="16" t="inlineStr">
        <is>
          <t>NIFTY OIL &amp; GAS</t>
        </is>
      </c>
      <c r="B50" s="13" t="inlineStr">
        <is>
          <t>OIL</t>
        </is>
      </c>
      <c r="C50" s="14" t="n">
        <v>490</v>
      </c>
      <c r="D50" s="14" t="n">
        <v>470.9</v>
      </c>
      <c r="E50" s="14" t="n">
        <v>460.41</v>
      </c>
      <c r="F50" s="14" t="n">
        <v>448.49</v>
      </c>
      <c r="G50" s="15">
        <f>HYPERLINK("https://www.tradingview.com/chart/?symbol=NSE:OIL","Chart 📈")</f>
        <v/>
      </c>
    </row>
    <row r="51" ht="16" customHeight="1">
      <c r="A51" s="16" t="inlineStr">
        <is>
          <t>NIFTY OIL &amp; GAS</t>
        </is>
      </c>
      <c r="B51" s="13" t="inlineStr">
        <is>
          <t>PETRONET</t>
        </is>
      </c>
      <c r="C51" s="14" t="n">
        <v>292.3</v>
      </c>
      <c r="D51" s="14" t="n">
        <v>288.23</v>
      </c>
      <c r="E51" s="14" t="n">
        <v>283</v>
      </c>
      <c r="F51" s="14" t="n">
        <v>277.1</v>
      </c>
      <c r="G51" s="15">
        <f>HYPERLINK("https://www.tradingview.com/chart/?symbol=NSE:PETRONET","Chart 📈")</f>
        <v/>
      </c>
    </row>
    <row r="52" ht="16" customHeight="1">
      <c r="A52" s="8" t="inlineStr">
        <is>
          <t>NIFTY FINANCIAL SERVICES</t>
        </is>
      </c>
      <c r="B52" s="17" t="inlineStr">
        <is>
          <t>ICICIBANK</t>
        </is>
      </c>
      <c r="C52" s="18" t="n">
        <v>1438</v>
      </c>
      <c r="D52" s="18" t="n">
        <v>1426.63</v>
      </c>
      <c r="E52" s="18" t="n">
        <v>1403.8</v>
      </c>
      <c r="F52" s="18" t="n">
        <v>1360.35</v>
      </c>
      <c r="G52" s="19">
        <f>HYPERLINK("https://www.tradingview.com/chart/?symbol=NSE:ICICIBANK","Chart 📈")</f>
        <v/>
      </c>
    </row>
    <row r="53" ht="16" customHeight="1">
      <c r="A53" s="20" t="inlineStr">
        <is>
          <t>NIFTY FINANCIAL SERVICES</t>
        </is>
      </c>
      <c r="B53" s="17" t="inlineStr">
        <is>
          <t>KOTAKBANK</t>
        </is>
      </c>
      <c r="C53" s="18" t="n">
        <v>425</v>
      </c>
      <c r="D53" s="18" t="n">
        <v>405.04</v>
      </c>
      <c r="E53" s="18" t="n">
        <v>396.65</v>
      </c>
      <c r="F53" s="18" t="n">
        <v>395.79</v>
      </c>
      <c r="G53" s="19">
        <f>HYPERLINK("https://www.tradingview.com/chart/?symbol=NSE:KOTAKBANK","Chart 📈")</f>
        <v/>
      </c>
    </row>
    <row r="54" ht="16" customHeight="1">
      <c r="A54" s="20" t="inlineStr">
        <is>
          <t>NIFTY FINANCIAL SERVICES</t>
        </is>
      </c>
      <c r="B54" s="17" t="inlineStr">
        <is>
          <t>LICHSGFIN</t>
        </is>
      </c>
      <c r="C54" s="18" t="n">
        <v>534.9</v>
      </c>
      <c r="D54" s="18" t="n">
        <v>514.64</v>
      </c>
      <c r="E54" s="18" t="n">
        <v>518.62</v>
      </c>
      <c r="F54" s="18" t="n">
        <v>527.72</v>
      </c>
      <c r="G54" s="19">
        <f>HYPERLINK("https://www.tradingview.com/chart/?symbol=NSE:LICHSGFIN","Chart 📈")</f>
        <v/>
      </c>
    </row>
    <row r="55" ht="16" customHeight="1">
      <c r="A55" s="20" t="inlineStr">
        <is>
          <t>NIFTY FINANCIAL SERVICES</t>
        </is>
      </c>
      <c r="B55" s="17" t="inlineStr">
        <is>
          <t>MCX</t>
        </is>
      </c>
      <c r="C55" s="18" t="n">
        <v>3303</v>
      </c>
      <c r="D55" s="18" t="n">
        <v>3105.3</v>
      </c>
      <c r="E55" s="18" t="n">
        <v>2958.74</v>
      </c>
      <c r="F55" s="18" t="n">
        <v>2620.14</v>
      </c>
      <c r="G55" s="19">
        <f>HYPERLINK("https://www.tradingview.com/chart/?symbol=NSE:MCX","Chart 📈")</f>
        <v/>
      </c>
    </row>
    <row r="56" ht="16" customHeight="1">
      <c r="A56" s="12" t="inlineStr">
        <is>
          <t>NIFTY MEDIA</t>
        </is>
      </c>
      <c r="B56" s="13" t="inlineStr">
        <is>
          <t>NAZARA</t>
        </is>
      </c>
      <c r="C56" s="14" t="n">
        <v>367.65</v>
      </c>
      <c r="D56" s="14" t="n">
        <v>353.39</v>
      </c>
      <c r="E56" s="14" t="n">
        <v>332.25</v>
      </c>
      <c r="F56" s="14" t="n">
        <v>294.49</v>
      </c>
      <c r="G56" s="15">
        <f>HYPERLINK("https://www.tradingview.com/chart/?symbol=NSE:NAZARA","Chart 📈")</f>
        <v/>
      </c>
    </row>
    <row r="57" ht="16" customHeight="1">
      <c r="A57" s="16" t="inlineStr">
        <is>
          <t>NIFTY MEDIA</t>
        </is>
      </c>
      <c r="B57" s="13" t="inlineStr">
        <is>
          <t>PVRINOX</t>
        </is>
      </c>
      <c r="C57" s="14" t="n">
        <v>1228.2</v>
      </c>
      <c r="D57" s="14" t="n">
        <v>1193.14</v>
      </c>
      <c r="E57" s="14" t="n">
        <v>1125.67</v>
      </c>
      <c r="F57" s="14" t="n">
        <v>1060.72</v>
      </c>
      <c r="G57" s="15">
        <f>HYPERLINK("https://www.tradingview.com/chart/?symbol=NSE:PVRINOX","Chart 📈")</f>
        <v/>
      </c>
    </row>
    <row r="58" ht="16" customHeight="1">
      <c r="A58" s="8" t="inlineStr">
        <is>
          <t>NIFTY BANK</t>
        </is>
      </c>
      <c r="B58" s="17" t="inlineStr">
        <is>
          <t>IDFCFIRSTB</t>
        </is>
      </c>
      <c r="C58" s="18" t="n">
        <v>84.90000000000001</v>
      </c>
      <c r="D58" s="18" t="n">
        <v>84.68000000000001</v>
      </c>
      <c r="E58" s="18" t="n">
        <v>82.29000000000001</v>
      </c>
      <c r="F58" s="18" t="n">
        <v>76.75</v>
      </c>
      <c r="G58" s="19">
        <f>HYPERLINK("https://www.tradingview.com/chart/?symbol=NSE:IDFCFIRSTB","Chart 📈")</f>
        <v/>
      </c>
    </row>
    <row r="59" ht="16" customHeight="1">
      <c r="A59" s="12" t="inlineStr">
        <is>
          <t>NIFTY FMCG</t>
        </is>
      </c>
      <c r="B59" s="13" t="inlineStr">
        <is>
          <t>BALRAMCHIN</t>
        </is>
      </c>
      <c r="C59" s="14" t="n">
        <v>668.85</v>
      </c>
      <c r="D59" s="14" t="n">
        <v>659.89</v>
      </c>
      <c r="E59" s="14" t="n">
        <v>623.6</v>
      </c>
      <c r="F59" s="14" t="n">
        <v>547.37</v>
      </c>
      <c r="G59" s="15">
        <f>HYPERLINK("https://www.tradingview.com/chart/?symbol=NSE:BALRAMCHIN","Chart 📈")</f>
        <v/>
      </c>
    </row>
    <row r="60" ht="16" customHeight="1">
      <c r="A60" s="8" t="inlineStr">
        <is>
          <t>NIFTY ENERGY</t>
        </is>
      </c>
      <c r="B60" s="17" t="inlineStr">
        <is>
          <t>BHEL</t>
        </is>
      </c>
      <c r="C60" s="18" t="n">
        <v>426.55</v>
      </c>
      <c r="D60" s="18" t="n">
        <v>420.86</v>
      </c>
      <c r="E60" s="18" t="n">
        <v>409.94</v>
      </c>
      <c r="F60" s="18" t="n">
        <v>345.97</v>
      </c>
      <c r="G60" s="19">
        <f>HYPERLINK("https://www.tradingview.com/chart/?symbol=NSE:BHEL","Chart 📈")</f>
        <v/>
      </c>
    </row>
    <row r="61" ht="16" customHeight="1">
      <c r="A61" s="20" t="inlineStr">
        <is>
          <t>NIFTY ENERGY</t>
        </is>
      </c>
      <c r="B61" s="17" t="inlineStr">
        <is>
          <t>CGPOWER</t>
        </is>
      </c>
      <c r="C61" s="18" t="n">
        <v>885.5</v>
      </c>
      <c r="D61" s="18" t="n">
        <v>884.92</v>
      </c>
      <c r="E61" s="18" t="n">
        <v>885.16</v>
      </c>
      <c r="F61" s="18" t="n">
        <v>815.3200000000001</v>
      </c>
      <c r="G61" s="19">
        <f>HYPERLINK("https://www.tradingview.com/chart/?symbol=NSE:CGPOWER","Chart 📈")</f>
        <v/>
      </c>
    </row>
    <row r="62" ht="16" customHeight="1">
      <c r="A62" s="20" t="inlineStr">
        <is>
          <t>NIFTY ENERGY</t>
        </is>
      </c>
      <c r="B62" s="17" t="inlineStr">
        <is>
          <t>SIEMENS</t>
        </is>
      </c>
      <c r="C62" s="18" t="n">
        <v>4030</v>
      </c>
      <c r="D62" s="18" t="n">
        <v>3970.2</v>
      </c>
      <c r="E62" s="18" t="n">
        <v>3835.18</v>
      </c>
      <c r="F62" s="18" t="n">
        <v>3525.54</v>
      </c>
      <c r="G62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2026-09-01T15:35:03Z</dcterms:created>
  <dcterms:modified xmlns:dcterms="http://purl.org/dc/terms/" xmlns:xsi="http://www.w3.org/2001/XMLSchema-instance" xsi:type="dcterms:W3CDTF">2026-09-01T15:35:03Z</dcterms:modified>
</cp:coreProperties>
</file>