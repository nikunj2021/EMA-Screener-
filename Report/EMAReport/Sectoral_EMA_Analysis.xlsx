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tor EMA Summary" sheetId="1" state="visible" r:id="rId1"/>
    <sheet xmlns:r="http://schemas.openxmlformats.org/officeDocument/2006/relationships"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09-Oct-2026  17:29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MEDIA</t>
        </is>
      </c>
      <c r="B4" s="5" t="n">
        <v>10</v>
      </c>
      <c r="C4" s="5" t="n">
        <v>3</v>
      </c>
      <c r="D4" s="5" t="n">
        <v>3</v>
      </c>
      <c r="E4" s="5" t="n">
        <v>5</v>
      </c>
      <c r="F4" s="6" t="n">
        <v>0.3</v>
      </c>
      <c r="G4" s="6" t="n">
        <v>0.3</v>
      </c>
      <c r="H4" s="6" t="n">
        <v>0.5</v>
      </c>
      <c r="I4" s="7" t="n">
        <v>0.3667</v>
      </c>
    </row>
    <row r="5" ht="17" customHeight="1">
      <c r="A5" s="8" t="inlineStr">
        <is>
          <t>NIFTY PHARMA</t>
        </is>
      </c>
      <c r="B5" s="9" t="n">
        <v>20</v>
      </c>
      <c r="C5" s="9" t="n">
        <v>5</v>
      </c>
      <c r="D5" s="9" t="n">
        <v>6</v>
      </c>
      <c r="E5" s="9" t="n">
        <v>10</v>
      </c>
      <c r="F5" s="10" t="n">
        <v>0.25</v>
      </c>
      <c r="G5" s="10" t="n">
        <v>0.3</v>
      </c>
      <c r="H5" s="10" t="n">
        <v>0.5</v>
      </c>
      <c r="I5" s="11" t="n">
        <v>0.35</v>
      </c>
    </row>
    <row r="6" ht="17" customHeight="1">
      <c r="A6" s="4" t="inlineStr">
        <is>
          <t>NIFTY MIDSMALL IT &amp; TELECOM</t>
        </is>
      </c>
      <c r="B6" s="5" t="n">
        <v>20</v>
      </c>
      <c r="C6" s="5" t="n">
        <v>8</v>
      </c>
      <c r="D6" s="5" t="n">
        <v>6</v>
      </c>
      <c r="E6" s="5" t="n">
        <v>7</v>
      </c>
      <c r="F6" s="6" t="n">
        <v>0.4</v>
      </c>
      <c r="G6" s="6" t="n">
        <v>0.3</v>
      </c>
      <c r="H6" s="6" t="n">
        <v>0.35</v>
      </c>
      <c r="I6" s="7" t="n">
        <v>0.35</v>
      </c>
    </row>
    <row r="7" ht="17" customHeight="1">
      <c r="A7" s="8" t="inlineStr">
        <is>
          <t>NIFTY FINANCIAL SERVICES</t>
        </is>
      </c>
      <c r="B7" s="9" t="n">
        <v>20</v>
      </c>
      <c r="C7" s="9" t="n">
        <v>7</v>
      </c>
      <c r="D7" s="9" t="n">
        <v>6</v>
      </c>
      <c r="E7" s="9" t="n">
        <v>3</v>
      </c>
      <c r="F7" s="10" t="n">
        <v>0.35</v>
      </c>
      <c r="G7" s="10" t="n">
        <v>0.3</v>
      </c>
      <c r="H7" s="10" t="n">
        <v>0.15</v>
      </c>
      <c r="I7" s="11" t="n">
        <v>0.2667</v>
      </c>
    </row>
    <row r="8" ht="17" customHeight="1">
      <c r="A8" s="4" t="inlineStr">
        <is>
          <t>NIFTY PSU BANK</t>
        </is>
      </c>
      <c r="B8" s="5" t="n">
        <v>12</v>
      </c>
      <c r="C8" s="5" t="n">
        <v>4</v>
      </c>
      <c r="D8" s="5" t="n">
        <v>2</v>
      </c>
      <c r="E8" s="5" t="n">
        <v>3</v>
      </c>
      <c r="F8" s="6" t="n">
        <v>0.333</v>
      </c>
      <c r="G8" s="6" t="n">
        <v>0.167</v>
      </c>
      <c r="H8" s="6" t="n">
        <v>0.25</v>
      </c>
      <c r="I8" s="7" t="n">
        <v>0.25</v>
      </c>
    </row>
    <row r="9" ht="17" customHeight="1">
      <c r="A9" s="8" t="inlineStr">
        <is>
          <t>NIFTY FMCG</t>
        </is>
      </c>
      <c r="B9" s="9" t="n">
        <v>15</v>
      </c>
      <c r="C9" s="9" t="n">
        <v>5</v>
      </c>
      <c r="D9" s="9" t="n">
        <v>3</v>
      </c>
      <c r="E9" s="9" t="n">
        <v>2</v>
      </c>
      <c r="F9" s="10" t="n">
        <v>0.333</v>
      </c>
      <c r="G9" s="10" t="n">
        <v>0.2</v>
      </c>
      <c r="H9" s="10" t="n">
        <v>0.133</v>
      </c>
      <c r="I9" s="11" t="n">
        <v>0.222</v>
      </c>
    </row>
    <row r="10" ht="17" customHeight="1">
      <c r="A10" s="4" t="inlineStr">
        <is>
          <t>NIFTY OIL &amp; GAS</t>
        </is>
      </c>
      <c r="B10" s="5" t="n">
        <v>15</v>
      </c>
      <c r="C10" s="5" t="n">
        <v>3</v>
      </c>
      <c r="D10" s="5" t="n">
        <v>3</v>
      </c>
      <c r="E10" s="5" t="n">
        <v>3</v>
      </c>
      <c r="F10" s="6" t="n">
        <v>0.2</v>
      </c>
      <c r="G10" s="6" t="n">
        <v>0.2</v>
      </c>
      <c r="H10" s="6" t="n">
        <v>0.2</v>
      </c>
      <c r="I10" s="7" t="n">
        <v>0.2</v>
      </c>
    </row>
    <row r="11" ht="17" customHeight="1">
      <c r="A11" s="8" t="inlineStr">
        <is>
          <t>NIFTY METAL</t>
        </is>
      </c>
      <c r="B11" s="9" t="n">
        <v>15</v>
      </c>
      <c r="C11" s="9" t="n">
        <v>2</v>
      </c>
      <c r="D11" s="9" t="n">
        <v>2</v>
      </c>
      <c r="E11" s="9" t="n">
        <v>4</v>
      </c>
      <c r="F11" s="10" t="n">
        <v>0.133</v>
      </c>
      <c r="G11" s="10" t="n">
        <v>0.133</v>
      </c>
      <c r="H11" s="10" t="n">
        <v>0.267</v>
      </c>
      <c r="I11" s="11" t="n">
        <v>0.1777</v>
      </c>
    </row>
    <row r="12" ht="17" customHeight="1">
      <c r="A12" s="4" t="inlineStr">
        <is>
          <t>NIFTY CONSUMER DURABLES</t>
        </is>
      </c>
      <c r="B12" s="5" t="n">
        <v>15</v>
      </c>
      <c r="C12" s="5" t="n">
        <v>2</v>
      </c>
      <c r="D12" s="5" t="n">
        <v>3</v>
      </c>
      <c r="E12" s="5" t="n">
        <v>2</v>
      </c>
      <c r="F12" s="6" t="n">
        <v>0.133</v>
      </c>
      <c r="G12" s="6" t="n">
        <v>0.2</v>
      </c>
      <c r="H12" s="6" t="n">
        <v>0.133</v>
      </c>
      <c r="I12" s="7" t="n">
        <v>0.1553</v>
      </c>
    </row>
    <row r="13" ht="17" customHeight="1">
      <c r="A13" s="8" t="inlineStr">
        <is>
          <t>NIFTY REALTY</t>
        </is>
      </c>
      <c r="B13" s="9" t="n">
        <v>10</v>
      </c>
      <c r="C13" s="9" t="n">
        <v>1</v>
      </c>
      <c r="D13" s="9" t="n">
        <v>1</v>
      </c>
      <c r="E13" s="9" t="n">
        <v>2</v>
      </c>
      <c r="F13" s="10" t="n">
        <v>0.1</v>
      </c>
      <c r="G13" s="10" t="n">
        <v>0.1</v>
      </c>
      <c r="H13" s="10" t="n">
        <v>0.2</v>
      </c>
      <c r="I13" s="11" t="n">
        <v>0.1333</v>
      </c>
    </row>
    <row r="14" ht="17" customHeight="1">
      <c r="A14" s="4" t="inlineStr">
        <is>
          <t>NIFTY BANK</t>
        </is>
      </c>
      <c r="B14" s="5" t="n">
        <v>12</v>
      </c>
      <c r="C14" s="5" t="n">
        <v>1</v>
      </c>
      <c r="D14" s="5" t="n">
        <v>0</v>
      </c>
      <c r="E14" s="5" t="n">
        <v>2</v>
      </c>
      <c r="F14" s="6" t="n">
        <v>0.083</v>
      </c>
      <c r="G14" s="6" t="n">
        <v>0</v>
      </c>
      <c r="H14" s="6" t="n">
        <v>0.167</v>
      </c>
      <c r="I14" s="7" t="n">
        <v>0.0833</v>
      </c>
    </row>
    <row r="15" ht="17" customHeight="1">
      <c r="A15" s="8" t="inlineStr">
        <is>
          <t>NIFTY ENERGY</t>
        </is>
      </c>
      <c r="B15" s="9" t="n">
        <v>40</v>
      </c>
      <c r="C15" s="9" t="n">
        <v>1</v>
      </c>
      <c r="D15" s="9" t="n">
        <v>1</v>
      </c>
      <c r="E15" s="9" t="n">
        <v>8</v>
      </c>
      <c r="F15" s="10" t="n">
        <v>0.025</v>
      </c>
      <c r="G15" s="10" t="n">
        <v>0.025</v>
      </c>
      <c r="H15" s="10" t="n">
        <v>0.2</v>
      </c>
      <c r="I15" s="11" t="n">
        <v>0.0833</v>
      </c>
    </row>
    <row r="16" ht="17" customHeight="1">
      <c r="A16" s="4" t="inlineStr">
        <is>
          <t>NIFTY IT</t>
        </is>
      </c>
      <c r="B16" s="5" t="n">
        <v>10</v>
      </c>
      <c r="C16" s="5" t="n">
        <v>1</v>
      </c>
      <c r="D16" s="5" t="n">
        <v>0</v>
      </c>
      <c r="E16" s="5" t="n">
        <v>1</v>
      </c>
      <c r="F16" s="6" t="n">
        <v>0.1</v>
      </c>
      <c r="G16" s="6" t="n">
        <v>0</v>
      </c>
      <c r="H16" s="6" t="n">
        <v>0.1</v>
      </c>
      <c r="I16" s="7" t="n">
        <v>0.0667</v>
      </c>
    </row>
    <row r="17" ht="17" customHeight="1">
      <c r="A17" s="8" t="inlineStr">
        <is>
          <t>NIFTY AUTO</t>
        </is>
      </c>
      <c r="B17" s="9" t="n">
        <v>15</v>
      </c>
      <c r="C17" s="9" t="n">
        <v>0</v>
      </c>
      <c r="D17" s="9" t="n">
        <v>0</v>
      </c>
      <c r="E17" s="9" t="n">
        <v>3</v>
      </c>
      <c r="F17" s="10" t="n">
        <v>0</v>
      </c>
      <c r="G17" s="10" t="n">
        <v>0</v>
      </c>
      <c r="H17" s="10" t="n">
        <v>0.2</v>
      </c>
      <c r="I17" s="11" t="n">
        <v>0.0667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MEDIA</t>
        </is>
      </c>
      <c r="B3" s="13" t="inlineStr">
        <is>
          <t>NAZARA</t>
        </is>
      </c>
      <c r="C3" s="14" t="n">
        <v>377.65</v>
      </c>
      <c r="D3" s="14" t="n">
        <v>375.39</v>
      </c>
      <c r="E3" s="14" t="n">
        <v>359.78</v>
      </c>
      <c r="F3" s="14" t="n">
        <v>310.8</v>
      </c>
      <c r="G3" s="15">
        <f>HYPERLINK("https://www.tradingview.com/chart/?symbol=NSE:NAZARA","Chart 📈")</f>
        <v/>
      </c>
    </row>
    <row r="4" ht="16" customHeight="1">
      <c r="A4" s="16" t="inlineStr">
        <is>
          <t>NIFTY MEDIA</t>
        </is>
      </c>
      <c r="B4" s="13" t="inlineStr">
        <is>
          <t>PVRINOX</t>
        </is>
      </c>
      <c r="C4" s="14" t="n">
        <v>1327.2</v>
      </c>
      <c r="D4" s="14" t="n">
        <v>1264.01</v>
      </c>
      <c r="E4" s="14" t="n">
        <v>1213.3</v>
      </c>
      <c r="F4" s="14" t="n">
        <v>1103.85</v>
      </c>
      <c r="G4" s="15">
        <f>HYPERLINK("https://www.tradingview.com/chart/?symbol=NSE:PVRINOX","Chart 📈")</f>
        <v/>
      </c>
    </row>
    <row r="5" ht="16" customHeight="1">
      <c r="A5" s="16" t="inlineStr">
        <is>
          <t>NIFTY MEDIA</t>
        </is>
      </c>
      <c r="B5" s="13" t="inlineStr">
        <is>
          <t>SUNTV</t>
        </is>
      </c>
      <c r="C5" s="14" t="n">
        <v>635.9</v>
      </c>
      <c r="D5" s="14" t="n">
        <v>556.1799999999999</v>
      </c>
      <c r="E5" s="14" t="n">
        <v>518.96</v>
      </c>
      <c r="F5" s="14" t="n">
        <v>527.08</v>
      </c>
      <c r="G5" s="15">
        <f>HYPERLINK("https://www.tradingview.com/chart/?symbol=NSE:SUNTV","Chart 📈")</f>
        <v/>
      </c>
    </row>
    <row r="6" ht="16" customHeight="1">
      <c r="A6" s="8" t="inlineStr">
        <is>
          <t>NIFTY PHARMA</t>
        </is>
      </c>
      <c r="B6" s="17" t="inlineStr">
        <is>
          <t>AUROPHARMA</t>
        </is>
      </c>
      <c r="C6" s="18" t="n">
        <v>1693</v>
      </c>
      <c r="D6" s="18" t="n">
        <v>1681.26</v>
      </c>
      <c r="E6" s="18" t="n">
        <v>1650.03</v>
      </c>
      <c r="F6" s="18" t="n">
        <v>1471.66</v>
      </c>
      <c r="G6" s="19">
        <f>HYPERLINK("https://www.tradingview.com/chart/?symbol=NSE:AUROPHARMA","Chart 📈")</f>
        <v/>
      </c>
    </row>
    <row r="7" ht="16" customHeight="1">
      <c r="A7" s="20" t="inlineStr">
        <is>
          <t>NIFTY PHARMA</t>
        </is>
      </c>
      <c r="B7" s="17" t="inlineStr">
        <is>
          <t>GLAND</t>
        </is>
      </c>
      <c r="C7" s="18" t="n">
        <v>3061.8</v>
      </c>
      <c r="D7" s="18" t="n">
        <v>2960.3</v>
      </c>
      <c r="E7" s="18" t="n">
        <v>2833.15</v>
      </c>
      <c r="F7" s="18" t="n">
        <v>2355.14</v>
      </c>
      <c r="G7" s="19">
        <f>HYPERLINK("https://www.tradingview.com/chart/?symbol=NSE:GLAND","Chart 📈")</f>
        <v/>
      </c>
    </row>
    <row r="8" ht="16" customHeight="1">
      <c r="A8" s="20" t="inlineStr">
        <is>
          <t>NIFTY PHARMA</t>
        </is>
      </c>
      <c r="B8" s="17" t="inlineStr">
        <is>
          <t>LAURUSLABS</t>
        </is>
      </c>
      <c r="C8" s="18" t="n">
        <v>2036.6</v>
      </c>
      <c r="D8" s="18" t="n">
        <v>1984.32</v>
      </c>
      <c r="E8" s="18" t="n">
        <v>1883.26</v>
      </c>
      <c r="F8" s="18" t="n">
        <v>1483.4</v>
      </c>
      <c r="G8" s="19">
        <f>HYPERLINK("https://www.tradingview.com/chart/?symbol=NSE:LAURUSLABS","Chart 📈")</f>
        <v/>
      </c>
    </row>
    <row r="9" ht="16" customHeight="1">
      <c r="A9" s="12" t="inlineStr">
        <is>
          <t>NIFTY MIDSMALL IT &amp; TELECOM</t>
        </is>
      </c>
      <c r="B9" s="13" t="inlineStr">
        <is>
          <t>COFORGE</t>
        </is>
      </c>
      <c r="C9" s="14" t="n">
        <v>1867.9</v>
      </c>
      <c r="D9" s="14" t="n">
        <v>1822.06</v>
      </c>
      <c r="E9" s="14" t="n">
        <v>1783.66</v>
      </c>
      <c r="F9" s="14" t="n">
        <v>1622.6</v>
      </c>
      <c r="G9" s="15">
        <f>HYPERLINK("https://www.tradingview.com/chart/?symbol=NSE:COFORGE","Chart 📈")</f>
        <v/>
      </c>
    </row>
    <row r="10" ht="16" customHeight="1">
      <c r="A10" s="16" t="inlineStr">
        <is>
          <t>NIFTY MIDSMALL IT &amp; TELECOM</t>
        </is>
      </c>
      <c r="B10" s="13" t="inlineStr">
        <is>
          <t>CYIENT</t>
        </is>
      </c>
      <c r="C10" s="14" t="n">
        <v>1158.8</v>
      </c>
      <c r="D10" s="14" t="n">
        <v>1089.59</v>
      </c>
      <c r="E10" s="14" t="n">
        <v>1030.59</v>
      </c>
      <c r="F10" s="14" t="n">
        <v>989.22</v>
      </c>
      <c r="G10" s="15">
        <f>HYPERLINK("https://www.tradingview.com/chart/?symbol=NSE:CYIENT","Chart 📈")</f>
        <v/>
      </c>
    </row>
    <row r="11" ht="16" customHeight="1">
      <c r="A11" s="16" t="inlineStr">
        <is>
          <t>NIFTY MIDSMALL IT &amp; TELECOM</t>
        </is>
      </c>
      <c r="B11" s="13" t="inlineStr">
        <is>
          <t>HFCL</t>
        </is>
      </c>
      <c r="C11" s="14" t="n">
        <v>260.4</v>
      </c>
      <c r="D11" s="14" t="n">
        <v>237.65</v>
      </c>
      <c r="E11" s="14" t="n">
        <v>225.85</v>
      </c>
      <c r="F11" s="14" t="n">
        <v>166.73</v>
      </c>
      <c r="G11" s="15">
        <f>HYPERLINK("https://www.tradingview.com/chart/?symbol=NSE:HFCL","Chart 📈")</f>
        <v/>
      </c>
    </row>
    <row r="12" ht="16" customHeight="1">
      <c r="A12" s="16" t="inlineStr">
        <is>
          <t>NIFTY MIDSMALL IT &amp; TELECOM</t>
        </is>
      </c>
      <c r="B12" s="13" t="inlineStr">
        <is>
          <t>PERSISTENT</t>
        </is>
      </c>
      <c r="C12" s="14" t="n">
        <v>5770</v>
      </c>
      <c r="D12" s="14" t="n">
        <v>5465.06</v>
      </c>
      <c r="E12" s="14" t="n">
        <v>5425.01</v>
      </c>
      <c r="F12" s="14" t="n">
        <v>5344.72</v>
      </c>
      <c r="G12" s="15">
        <f>HYPERLINK("https://www.tradingview.com/chart/?symbol=NSE:PERSISTENT","Chart 📈")</f>
        <v/>
      </c>
    </row>
    <row r="13" ht="16" customHeight="1">
      <c r="A13" s="8" t="inlineStr">
        <is>
          <t>NIFTY FINANCIAL SERVICES</t>
        </is>
      </c>
      <c r="B13" s="17" t="inlineStr">
        <is>
          <t>KOTAKBANK</t>
        </is>
      </c>
      <c r="C13" s="18" t="n">
        <v>441</v>
      </c>
      <c r="D13" s="18" t="n">
        <v>420.35</v>
      </c>
      <c r="E13" s="18" t="n">
        <v>411.13</v>
      </c>
      <c r="F13" s="18" t="n">
        <v>403.74</v>
      </c>
      <c r="G13" s="19">
        <f>HYPERLINK("https://www.tradingview.com/chart/?symbol=NSE:KOTAKBANK","Chart 📈")</f>
        <v/>
      </c>
    </row>
    <row r="14" ht="16" customHeight="1">
      <c r="A14" s="20" t="inlineStr">
        <is>
          <t>NIFTY FINANCIAL SERVICES</t>
        </is>
      </c>
      <c r="B14" s="17" t="inlineStr">
        <is>
          <t>LICHSGFIN</t>
        </is>
      </c>
      <c r="C14" s="18" t="n">
        <v>551.65</v>
      </c>
      <c r="D14" s="18" t="n">
        <v>537.47</v>
      </c>
      <c r="E14" s="18" t="n">
        <v>534.9400000000001</v>
      </c>
      <c r="F14" s="18" t="n">
        <v>531.46</v>
      </c>
      <c r="G14" s="19">
        <f>HYPERLINK("https://www.tradingview.com/chart/?symbol=NSE:LICHSGFIN","Chart 📈")</f>
        <v/>
      </c>
    </row>
    <row r="15" ht="16" customHeight="1">
      <c r="A15" s="20" t="inlineStr">
        <is>
          <t>NIFTY FINANCIAL SERVICES</t>
        </is>
      </c>
      <c r="B15" s="17" t="inlineStr">
        <is>
          <t>MCX</t>
        </is>
      </c>
      <c r="C15" s="18" t="n">
        <v>3318.2</v>
      </c>
      <c r="D15" s="18" t="n">
        <v>3269.6</v>
      </c>
      <c r="E15" s="18" t="n">
        <v>3166.7</v>
      </c>
      <c r="F15" s="18" t="n">
        <v>2778.54</v>
      </c>
      <c r="G15" s="19">
        <f>HYPERLINK("https://www.tradingview.com/chart/?symbol=NSE:MCX","Chart 📈")</f>
        <v/>
      </c>
    </row>
    <row r="16" ht="16" customHeight="1">
      <c r="A16" s="12" t="inlineStr">
        <is>
          <t>NIFTY PSU BANK</t>
        </is>
      </c>
      <c r="B16" s="13" t="inlineStr">
        <is>
          <t>MAHABANK</t>
        </is>
      </c>
      <c r="C16" s="14" t="n">
        <v>83.16</v>
      </c>
      <c r="D16" s="14" t="n">
        <v>82.08</v>
      </c>
      <c r="E16" s="14" t="n">
        <v>82</v>
      </c>
      <c r="F16" s="14" t="n">
        <v>75.56</v>
      </c>
      <c r="G16" s="15">
        <f>HYPERLINK("https://www.tradingview.com/chart/?symbol=NSE:MAHABANK","Chart 📈")</f>
        <v/>
      </c>
    </row>
    <row r="17" ht="16" customHeight="1">
      <c r="A17" s="16" t="inlineStr">
        <is>
          <t>NIFTY PSU BANK</t>
        </is>
      </c>
      <c r="B17" s="13" t="inlineStr">
        <is>
          <t>PNB</t>
        </is>
      </c>
      <c r="C17" s="14" t="n">
        <v>116.98</v>
      </c>
      <c r="D17" s="14" t="n">
        <v>114.75</v>
      </c>
      <c r="E17" s="14" t="n">
        <v>114.17</v>
      </c>
      <c r="F17" s="14" t="n">
        <v>112.22</v>
      </c>
      <c r="G17" s="15">
        <f>HYPERLINK("https://www.tradingview.com/chart/?symbol=NSE:PNB","Chart 📈")</f>
        <v/>
      </c>
    </row>
    <row r="18" ht="16" customHeight="1">
      <c r="A18" s="8" t="inlineStr">
        <is>
          <t>NIFTY FMCG</t>
        </is>
      </c>
      <c r="B18" s="17" t="inlineStr">
        <is>
          <t>RADICO</t>
        </is>
      </c>
      <c r="C18" s="18" t="n">
        <v>4550</v>
      </c>
      <c r="D18" s="18" t="n">
        <v>4447.81</v>
      </c>
      <c r="E18" s="18" t="n">
        <v>4390.41</v>
      </c>
      <c r="F18" s="18" t="n">
        <v>3793.27</v>
      </c>
      <c r="G18" s="19">
        <f>HYPERLINK("https://www.tradingview.com/chart/?symbol=NSE:RADICO","Chart 📈")</f>
        <v/>
      </c>
    </row>
    <row r="19" ht="16" customHeight="1">
      <c r="A19" s="12" t="inlineStr">
        <is>
          <t>NIFTY OIL &amp; GAS</t>
        </is>
      </c>
      <c r="B19" s="13" t="inlineStr">
        <is>
          <t>AEGISLOG</t>
        </is>
      </c>
      <c r="C19" s="14" t="n">
        <v>1388.9</v>
      </c>
      <c r="D19" s="14" t="n">
        <v>1371.65</v>
      </c>
      <c r="E19" s="14" t="n">
        <v>1320.15</v>
      </c>
      <c r="F19" s="14" t="n">
        <v>1051.91</v>
      </c>
      <c r="G19" s="15">
        <f>HYPERLINK("https://www.tradingview.com/chart/?symbol=NSE:AEGISLOG","Chart 📈")</f>
        <v/>
      </c>
    </row>
    <row r="20" ht="16" customHeight="1">
      <c r="A20" s="16" t="inlineStr">
        <is>
          <t>NIFTY OIL &amp; GAS</t>
        </is>
      </c>
      <c r="B20" s="13" t="inlineStr">
        <is>
          <t>PETRONET</t>
        </is>
      </c>
      <c r="C20" s="14" t="n">
        <v>291.5</v>
      </c>
      <c r="D20" s="14" t="n">
        <v>288.87</v>
      </c>
      <c r="E20" s="14" t="n">
        <v>286.33</v>
      </c>
      <c r="F20" s="14" t="n">
        <v>279.98</v>
      </c>
      <c r="G20" s="15">
        <f>HYPERLINK("https://www.tradingview.com/chart/?symbol=NSE:PETRONET","Chart 📈")</f>
        <v/>
      </c>
    </row>
    <row r="21" ht="16" customHeight="1">
      <c r="A21" s="8" t="inlineStr">
        <is>
          <t>NIFTY METAL</t>
        </is>
      </c>
      <c r="B21" s="17" t="inlineStr">
        <is>
          <t>WELCORP</t>
        </is>
      </c>
      <c r="C21" s="18" t="n">
        <v>2640.4</v>
      </c>
      <c r="D21" s="18" t="n">
        <v>2625.47</v>
      </c>
      <c r="E21" s="18" t="n">
        <v>2372.94</v>
      </c>
      <c r="F21" s="18" t="n">
        <v>1631.7</v>
      </c>
      <c r="G21" s="19">
        <f>HYPERLINK("https://www.tradingview.com/chart/?symbol=NSE:WELCORP","Chart 📈")</f>
        <v/>
      </c>
    </row>
    <row r="22" ht="16" customHeight="1">
      <c r="A22" s="12" t="inlineStr">
        <is>
          <t>NIFTY CONSUMER DURABLES</t>
        </is>
      </c>
      <c r="B22" s="13" t="inlineStr">
        <is>
          <t>KAJARIACER</t>
        </is>
      </c>
      <c r="C22" s="14" t="n">
        <v>1215.4</v>
      </c>
      <c r="D22" s="14" t="n">
        <v>1214.77</v>
      </c>
      <c r="E22" s="14" t="n">
        <v>1208.5</v>
      </c>
      <c r="F22" s="14" t="n">
        <v>1149.51</v>
      </c>
      <c r="G22" s="15">
        <f>HYPERLINK("https://www.tradingview.com/chart/?symbol=NSE:KAJARIACER","Chart 📈")</f>
        <v/>
      </c>
    </row>
    <row r="23" ht="16" customHeight="1">
      <c r="A23" s="8" t="inlineStr">
        <is>
          <t>NIFTY REALTY</t>
        </is>
      </c>
      <c r="B23" s="17" t="inlineStr">
        <is>
          <t>RAYMOND</t>
        </is>
      </c>
      <c r="C23" s="18" t="n">
        <v>1186.6</v>
      </c>
      <c r="D23" s="18" t="n">
        <v>1106.57</v>
      </c>
      <c r="E23" s="18" t="n">
        <v>917.98</v>
      </c>
      <c r="F23" s="18" t="n">
        <v>653.7</v>
      </c>
      <c r="G23" s="19">
        <f>HYPERLINK("https://www.tradingview.com/chart/?symbol=NSE:RAYMOND","Chart 📈")</f>
        <v/>
      </c>
    </row>
    <row r="24" ht="16" customHeight="1">
      <c r="A24" s="12" t="inlineStr">
        <is>
          <t>NIFTY ENERGY</t>
        </is>
      </c>
      <c r="B24" s="13" t="inlineStr">
        <is>
          <t>BHEL</t>
        </is>
      </c>
      <c r="C24" s="14" t="n">
        <v>433.6</v>
      </c>
      <c r="D24" s="14" t="n">
        <v>427.96</v>
      </c>
      <c r="E24" s="14" t="n">
        <v>420.93</v>
      </c>
      <c r="F24" s="14" t="n">
        <v>365.03</v>
      </c>
      <c r="G24" s="15">
        <f>HYPERLINK("https://www.tradingview.com/chart/?symbol=NSE:BHEL","Chart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2026-10-09T17:29:00Z</dcterms:created>
  <dcterms:modified xmlns:dcterms="http://purl.org/dc/terms/" xmlns:xsi="http://www.w3.org/2001/XMLSchema-instance" xsi:type="dcterms:W3CDTF">2026-10-09T17:29:00Z</dcterms:modified>
</cp:coreProperties>
</file>