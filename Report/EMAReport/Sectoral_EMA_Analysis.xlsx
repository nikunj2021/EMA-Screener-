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22-Apr-2026  16:57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15</v>
      </c>
      <c r="D4" s="5" t="n">
        <v>15</v>
      </c>
      <c r="E4" s="5" t="n">
        <v>15</v>
      </c>
      <c r="F4" s="6" t="n">
        <v>1</v>
      </c>
      <c r="G4" s="6" t="n">
        <v>1</v>
      </c>
      <c r="H4" s="6" t="n">
        <v>1</v>
      </c>
      <c r="I4" s="7" t="n">
        <v>1</v>
      </c>
    </row>
    <row r="5" ht="17" customHeight="1">
      <c r="A5" s="8" t="inlineStr">
        <is>
          <t>NIFTY PSU BANK</t>
        </is>
      </c>
      <c r="B5" s="9" t="n">
        <v>12</v>
      </c>
      <c r="C5" s="9" t="n">
        <v>12</v>
      </c>
      <c r="D5" s="9" t="n">
        <v>11</v>
      </c>
      <c r="E5" s="9" t="n">
        <v>8</v>
      </c>
      <c r="F5" s="10" t="n">
        <v>1</v>
      </c>
      <c r="G5" s="10" t="n">
        <v>0.917</v>
      </c>
      <c r="H5" s="10" t="n">
        <v>0.667</v>
      </c>
      <c r="I5" s="11" t="n">
        <v>0.8613</v>
      </c>
    </row>
    <row r="6" ht="17" customHeight="1">
      <c r="A6" s="4" t="inlineStr">
        <is>
          <t>NIFTY MEDIA</t>
        </is>
      </c>
      <c r="B6" s="5" t="n">
        <v>10</v>
      </c>
      <c r="C6" s="5" t="n">
        <v>10</v>
      </c>
      <c r="D6" s="5" t="n">
        <v>10</v>
      </c>
      <c r="E6" s="5" t="n">
        <v>3</v>
      </c>
      <c r="F6" s="6" t="n">
        <v>1</v>
      </c>
      <c r="G6" s="6" t="n">
        <v>1</v>
      </c>
      <c r="H6" s="6" t="n">
        <v>0.3</v>
      </c>
      <c r="I6" s="7" t="n">
        <v>0.7667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14</v>
      </c>
      <c r="D7" s="9" t="n">
        <v>13</v>
      </c>
      <c r="E7" s="9" t="n">
        <v>7</v>
      </c>
      <c r="F7" s="10" t="n">
        <v>0.9329999999999999</v>
      </c>
      <c r="G7" s="10" t="n">
        <v>0.867</v>
      </c>
      <c r="H7" s="10" t="n">
        <v>0.467</v>
      </c>
      <c r="I7" s="11" t="n">
        <v>0.7556999999999999</v>
      </c>
    </row>
    <row r="8" ht="17" customHeight="1">
      <c r="A8" s="4" t="inlineStr">
        <is>
          <t>NIFTY FMCG</t>
        </is>
      </c>
      <c r="B8" s="5" t="n">
        <v>15</v>
      </c>
      <c r="C8" s="5" t="n">
        <v>14</v>
      </c>
      <c r="D8" s="5" t="n">
        <v>11</v>
      </c>
      <c r="E8" s="5" t="n">
        <v>8</v>
      </c>
      <c r="F8" s="6" t="n">
        <v>0.9329999999999999</v>
      </c>
      <c r="G8" s="6" t="n">
        <v>0.733</v>
      </c>
      <c r="H8" s="6" t="n">
        <v>0.5329999999999999</v>
      </c>
      <c r="I8" s="7" t="n">
        <v>0.733</v>
      </c>
    </row>
    <row r="9" ht="17" customHeight="1">
      <c r="A9" s="8" t="inlineStr">
        <is>
          <t>NIFTY AUTO</t>
        </is>
      </c>
      <c r="B9" s="9" t="n">
        <v>15</v>
      </c>
      <c r="C9" s="9" t="n">
        <v>13</v>
      </c>
      <c r="D9" s="9" t="n">
        <v>10</v>
      </c>
      <c r="E9" s="9" t="n">
        <v>8</v>
      </c>
      <c r="F9" s="10" t="n">
        <v>0.867</v>
      </c>
      <c r="G9" s="10" t="n">
        <v>0.667</v>
      </c>
      <c r="H9" s="10" t="n">
        <v>0.5329999999999999</v>
      </c>
      <c r="I9" s="11" t="n">
        <v>0.6890000000000001</v>
      </c>
    </row>
    <row r="10" ht="17" customHeight="1">
      <c r="A10" s="4" t="inlineStr">
        <is>
          <t>NIFTY REALTY</t>
        </is>
      </c>
      <c r="B10" s="5" t="n">
        <v>10</v>
      </c>
      <c r="C10" s="5" t="n">
        <v>9</v>
      </c>
      <c r="D10" s="5" t="n">
        <v>9</v>
      </c>
      <c r="E10" s="5" t="n">
        <v>2</v>
      </c>
      <c r="F10" s="6" t="n">
        <v>0.9</v>
      </c>
      <c r="G10" s="6" t="n">
        <v>0.9</v>
      </c>
      <c r="H10" s="6" t="n">
        <v>0.2</v>
      </c>
      <c r="I10" s="7" t="n">
        <v>0.6667000000000001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14</v>
      </c>
      <c r="D11" s="9" t="n">
        <v>11</v>
      </c>
      <c r="E11" s="9" t="n">
        <v>4</v>
      </c>
      <c r="F11" s="10" t="n">
        <v>0.9329999999999999</v>
      </c>
      <c r="G11" s="10" t="n">
        <v>0.733</v>
      </c>
      <c r="H11" s="10" t="n">
        <v>0.267</v>
      </c>
      <c r="I11" s="11" t="n">
        <v>0.6443000000000001</v>
      </c>
    </row>
    <row r="12" ht="17" customHeight="1">
      <c r="A12" s="4" t="inlineStr">
        <is>
          <t>NIFTY PHARMA</t>
        </is>
      </c>
      <c r="B12" s="5" t="n">
        <v>20</v>
      </c>
      <c r="C12" s="5" t="n">
        <v>11</v>
      </c>
      <c r="D12" s="5" t="n">
        <v>12</v>
      </c>
      <c r="E12" s="5" t="n">
        <v>14</v>
      </c>
      <c r="F12" s="6" t="n">
        <v>0.55</v>
      </c>
      <c r="G12" s="6" t="n">
        <v>0.6</v>
      </c>
      <c r="H12" s="6" t="n">
        <v>0.7</v>
      </c>
      <c r="I12" s="7" t="n">
        <v>0.6167</v>
      </c>
    </row>
    <row r="13" ht="17" customHeight="1">
      <c r="A13" s="8" t="inlineStr">
        <is>
          <t>NIFTY ENERGY</t>
        </is>
      </c>
      <c r="B13" s="9" t="n">
        <v>40</v>
      </c>
      <c r="C13" s="9" t="n">
        <v>24</v>
      </c>
      <c r="D13" s="9" t="n">
        <v>25</v>
      </c>
      <c r="E13" s="9" t="n">
        <v>24</v>
      </c>
      <c r="F13" s="10" t="n">
        <v>0.6</v>
      </c>
      <c r="G13" s="10" t="n">
        <v>0.625</v>
      </c>
      <c r="H13" s="10" t="n">
        <v>0.6</v>
      </c>
      <c r="I13" s="11" t="n">
        <v>0.6083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15</v>
      </c>
      <c r="D14" s="5" t="n">
        <v>12</v>
      </c>
      <c r="E14" s="5" t="n">
        <v>9</v>
      </c>
      <c r="F14" s="6" t="n">
        <v>0.75</v>
      </c>
      <c r="G14" s="6" t="n">
        <v>0.6</v>
      </c>
      <c r="H14" s="6" t="n">
        <v>0.45</v>
      </c>
      <c r="I14" s="7" t="n">
        <v>0.6</v>
      </c>
    </row>
    <row r="15" ht="17" customHeight="1">
      <c r="A15" s="8" t="inlineStr">
        <is>
          <t>NIFTY MIDSMALL IT &amp; TELECOM</t>
        </is>
      </c>
      <c r="B15" s="9" t="n">
        <v>20</v>
      </c>
      <c r="C15" s="9" t="n">
        <v>15</v>
      </c>
      <c r="D15" s="9" t="n">
        <v>8</v>
      </c>
      <c r="E15" s="9" t="n">
        <v>3</v>
      </c>
      <c r="F15" s="10" t="n">
        <v>0.75</v>
      </c>
      <c r="G15" s="10" t="n">
        <v>0.4</v>
      </c>
      <c r="H15" s="10" t="n">
        <v>0.15</v>
      </c>
      <c r="I15" s="11" t="n">
        <v>0.4333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3</v>
      </c>
      <c r="E16" s="5" t="n">
        <v>3</v>
      </c>
      <c r="F16" s="6" t="n">
        <v>0.333</v>
      </c>
      <c r="G16" s="6" t="n">
        <v>0.25</v>
      </c>
      <c r="H16" s="6" t="n">
        <v>0.25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4</v>
      </c>
      <c r="D17" s="9" t="n">
        <v>2</v>
      </c>
      <c r="E17" s="9" t="n">
        <v>0</v>
      </c>
      <c r="F17" s="10" t="n">
        <v>0.4</v>
      </c>
      <c r="G17" s="10" t="n">
        <v>0.2</v>
      </c>
      <c r="H17" s="10" t="n">
        <v>0</v>
      </c>
      <c r="I17" s="11" t="n">
        <v>0.2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2260.8</v>
      </c>
      <c r="D3" s="14" t="n">
        <v>2085.12</v>
      </c>
      <c r="E3" s="14" t="n">
        <v>2075.27</v>
      </c>
      <c r="F3" s="14" t="n">
        <v>2237.38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2121.9</v>
      </c>
      <c r="D4" s="14" t="n">
        <v>2043.28</v>
      </c>
      <c r="E4" s="14" t="n">
        <v>2034.48</v>
      </c>
      <c r="F4" s="14" t="n">
        <v>1892.85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HINDALCO</t>
        </is>
      </c>
      <c r="C5" s="14" t="n">
        <v>1039.9</v>
      </c>
      <c r="D5" s="14" t="n">
        <v>976.22</v>
      </c>
      <c r="E5" s="14" t="n">
        <v>945.4</v>
      </c>
      <c r="F5" s="14" t="n">
        <v>844.5</v>
      </c>
      <c r="G5" s="15">
        <f>HYPERLINK("https://www.tradingview.com/chart/?symbol=NSE:HINDALCO","Chart 📈")</f>
        <v/>
      </c>
    </row>
    <row r="6" ht="16" customHeight="1">
      <c r="A6" s="16" t="inlineStr">
        <is>
          <t>NIFTY METAL</t>
        </is>
      </c>
      <c r="B6" s="13" t="inlineStr">
        <is>
          <t>HINDCOPPER</t>
        </is>
      </c>
      <c r="C6" s="14" t="n">
        <v>556.95</v>
      </c>
      <c r="D6" s="14" t="n">
        <v>531.88</v>
      </c>
      <c r="E6" s="14" t="n">
        <v>526.35</v>
      </c>
      <c r="F6" s="14" t="n">
        <v>428.4</v>
      </c>
      <c r="G6" s="15">
        <f>HYPERLINK("https://www.tradingview.com/chart/?symbol=NSE:HINDCOPPER","Chart 📈")</f>
        <v/>
      </c>
    </row>
    <row r="7" ht="16" customHeight="1">
      <c r="A7" s="16" t="inlineStr">
        <is>
          <t>NIFTY METAL</t>
        </is>
      </c>
      <c r="B7" s="13" t="inlineStr">
        <is>
          <t>HINDZINC</t>
        </is>
      </c>
      <c r="C7" s="14" t="n">
        <v>604.75</v>
      </c>
      <c r="D7" s="14" t="n">
        <v>566.52</v>
      </c>
      <c r="E7" s="14" t="n">
        <v>569.87</v>
      </c>
      <c r="F7" s="14" t="n">
        <v>535.48</v>
      </c>
      <c r="G7" s="15">
        <f>HYPERLINK("https://www.tradingview.com/chart/?symbol=NSE:HINDZINC","Chart 📈")</f>
        <v/>
      </c>
    </row>
    <row r="8" ht="16" customHeight="1">
      <c r="A8" s="16" t="inlineStr">
        <is>
          <t>NIFTY METAL</t>
        </is>
      </c>
      <c r="B8" s="13" t="inlineStr">
        <is>
          <t>JINDALSTEL</t>
        </is>
      </c>
      <c r="C8" s="14" t="n">
        <v>1278.6</v>
      </c>
      <c r="D8" s="14" t="n">
        <v>1214.98</v>
      </c>
      <c r="E8" s="14" t="n">
        <v>1179.77</v>
      </c>
      <c r="F8" s="14" t="n">
        <v>1082.25</v>
      </c>
      <c r="G8" s="15">
        <f>HYPERLINK("https://www.tradingview.com/chart/?symbol=NSE:JINDALSTEL","Chart 📈")</f>
        <v/>
      </c>
    </row>
    <row r="9" ht="16" customHeight="1">
      <c r="A9" s="16" t="inlineStr">
        <is>
          <t>NIFTY METAL</t>
        </is>
      </c>
      <c r="B9" s="13" t="inlineStr">
        <is>
          <t>JSL</t>
        </is>
      </c>
      <c r="C9" s="14" t="n">
        <v>784.5</v>
      </c>
      <c r="D9" s="14" t="n">
        <v>760.8200000000001</v>
      </c>
      <c r="E9" s="14" t="n">
        <v>758.28</v>
      </c>
      <c r="F9" s="14" t="n">
        <v>741.97</v>
      </c>
      <c r="G9" s="15">
        <f>HYPERLINK("https://www.tradingview.com/chart/?symbol=NSE:JSL","Chart 📈")</f>
        <v/>
      </c>
    </row>
    <row r="10" ht="16" customHeight="1">
      <c r="A10" s="16" t="inlineStr">
        <is>
          <t>NIFTY METAL</t>
        </is>
      </c>
      <c r="B10" s="13" t="inlineStr">
        <is>
          <t>JSWSTEEL</t>
        </is>
      </c>
      <c r="C10" s="14" t="n">
        <v>1263.4</v>
      </c>
      <c r="D10" s="14" t="n">
        <v>1209.79</v>
      </c>
      <c r="E10" s="14" t="n">
        <v>1197.25</v>
      </c>
      <c r="F10" s="14" t="n">
        <v>1149.09</v>
      </c>
      <c r="G10" s="15">
        <f>HYPERLINK("https://www.tradingview.com/chart/?symbol=NSE:JSWSTEEL","Chart 📈")</f>
        <v/>
      </c>
    </row>
    <row r="11" ht="16" customHeight="1">
      <c r="A11" s="16" t="inlineStr">
        <is>
          <t>NIFTY METAL</t>
        </is>
      </c>
      <c r="B11" s="13" t="inlineStr">
        <is>
          <t>NATIONALUM</t>
        </is>
      </c>
      <c r="C11" s="14" t="n">
        <v>435.95</v>
      </c>
      <c r="D11" s="14" t="n">
        <v>410.11</v>
      </c>
      <c r="E11" s="14" t="n">
        <v>385.53</v>
      </c>
      <c r="F11" s="14" t="n">
        <v>298.96</v>
      </c>
      <c r="G11" s="15">
        <f>HYPERLINK("https://www.tradingview.com/chart/?symbol=NSE:NATIONALUM","Chart 📈")</f>
        <v/>
      </c>
    </row>
    <row r="12" ht="16" customHeight="1">
      <c r="A12" s="16" t="inlineStr">
        <is>
          <t>NIFTY METAL</t>
        </is>
      </c>
      <c r="B12" s="13" t="inlineStr">
        <is>
          <t>NMDC</t>
        </is>
      </c>
      <c r="C12" s="14" t="n">
        <v>88.59</v>
      </c>
      <c r="D12" s="14" t="n">
        <v>84.25</v>
      </c>
      <c r="E12" s="14" t="n">
        <v>81.59999999999999</v>
      </c>
      <c r="F12" s="14" t="n">
        <v>76.03</v>
      </c>
      <c r="G12" s="15">
        <f>HYPERLINK("https://www.tradingview.com/chart/?symbol=NSE:NMDC","Chart 📈")</f>
        <v/>
      </c>
    </row>
    <row r="13" ht="16" customHeight="1">
      <c r="A13" s="16" t="inlineStr">
        <is>
          <t>NIFTY METAL</t>
        </is>
      </c>
      <c r="B13" s="13" t="inlineStr">
        <is>
          <t>RATNAMANI</t>
        </is>
      </c>
      <c r="C13" s="14" t="n">
        <v>2454.3</v>
      </c>
      <c r="D13" s="14" t="n">
        <v>2345.8</v>
      </c>
      <c r="E13" s="14" t="n">
        <v>2313.94</v>
      </c>
      <c r="F13" s="14" t="n">
        <v>2385.78</v>
      </c>
      <c r="G13" s="15">
        <f>HYPERLINK("https://www.tradingview.com/chart/?symbol=NSE:RATNAMANI","Chart 📈")</f>
        <v/>
      </c>
    </row>
    <row r="14" ht="16" customHeight="1">
      <c r="A14" s="16" t="inlineStr">
        <is>
          <t>NIFTY METAL</t>
        </is>
      </c>
      <c r="B14" s="13" t="inlineStr">
        <is>
          <t>SAIL</t>
        </is>
      </c>
      <c r="C14" s="14" t="n">
        <v>176.23</v>
      </c>
      <c r="D14" s="14" t="n">
        <v>164.71</v>
      </c>
      <c r="E14" s="14" t="n">
        <v>158.51</v>
      </c>
      <c r="F14" s="14" t="n">
        <v>143.25</v>
      </c>
      <c r="G14" s="15">
        <f>HYPERLINK("https://www.tradingview.com/chart/?symbol=NSE:SAIL","Chart 📈")</f>
        <v/>
      </c>
    </row>
    <row r="15" ht="16" customHeight="1">
      <c r="A15" s="16" t="inlineStr">
        <is>
          <t>NIFTY METAL</t>
        </is>
      </c>
      <c r="B15" s="13" t="inlineStr">
        <is>
          <t>TATASTEEL</t>
        </is>
      </c>
      <c r="C15" s="14" t="n">
        <v>213.03</v>
      </c>
      <c r="D15" s="14" t="n">
        <v>204.5</v>
      </c>
      <c r="E15" s="14" t="n">
        <v>199.29</v>
      </c>
      <c r="F15" s="14" t="n">
        <v>180.57</v>
      </c>
      <c r="G15" s="15">
        <f>HYPERLINK("https://www.tradingview.com/chart/?symbol=NSE:TATASTEEL","Chart 📈")</f>
        <v/>
      </c>
    </row>
    <row r="16" ht="16" customHeight="1">
      <c r="A16" s="16" t="inlineStr">
        <is>
          <t>NIFTY METAL</t>
        </is>
      </c>
      <c r="B16" s="13" t="inlineStr">
        <is>
          <t>VEDL</t>
        </is>
      </c>
      <c r="C16" s="14" t="n">
        <v>757</v>
      </c>
      <c r="D16" s="14" t="n">
        <v>730.9400000000001</v>
      </c>
      <c r="E16" s="14" t="n">
        <v>696.35</v>
      </c>
      <c r="F16" s="14" t="n">
        <v>579.34</v>
      </c>
      <c r="G16" s="15">
        <f>HYPERLINK("https://www.tradingview.com/chart/?symbol=NSE:VEDL","Chart 📈")</f>
        <v/>
      </c>
    </row>
    <row r="17" ht="16" customHeight="1">
      <c r="A17" s="16" t="inlineStr">
        <is>
          <t>NIFTY METAL</t>
        </is>
      </c>
      <c r="B17" s="13" t="inlineStr">
        <is>
          <t>WELCORP</t>
        </is>
      </c>
      <c r="C17" s="14" t="n">
        <v>1139.2</v>
      </c>
      <c r="D17" s="14" t="n">
        <v>970.51</v>
      </c>
      <c r="E17" s="14" t="n">
        <v>889.1799999999999</v>
      </c>
      <c r="F17" s="14" t="n">
        <v>844.34</v>
      </c>
      <c r="G17" s="15">
        <f>HYPERLINK("https://www.tradingview.com/chart/?symbol=NSE:WELCORP","Chart 📈")</f>
        <v/>
      </c>
    </row>
    <row r="18" ht="16" customHeight="1">
      <c r="A18" s="8" t="inlineStr">
        <is>
          <t>NIFTY PSU BANK</t>
        </is>
      </c>
      <c r="B18" s="17" t="inlineStr">
        <is>
          <t>BANKBARODA</t>
        </is>
      </c>
      <c r="C18" s="18" t="n">
        <v>282.77</v>
      </c>
      <c r="D18" s="18" t="n">
        <v>276.72</v>
      </c>
      <c r="E18" s="18" t="n">
        <v>282.11</v>
      </c>
      <c r="F18" s="18" t="n">
        <v>275.38</v>
      </c>
      <c r="G18" s="19">
        <f>HYPERLINK("https://www.tradingview.com/chart/?symbol=NSE:BANKBARODA","Chart 📈")</f>
        <v/>
      </c>
    </row>
    <row r="19" ht="16" customHeight="1">
      <c r="A19" s="20" t="inlineStr">
        <is>
          <t>NIFTY PSU BANK</t>
        </is>
      </c>
      <c r="B19" s="17" t="inlineStr">
        <is>
          <t>BANKINDIA</t>
        </is>
      </c>
      <c r="C19" s="18" t="n">
        <v>152.92</v>
      </c>
      <c r="D19" s="18" t="n">
        <v>148.37</v>
      </c>
      <c r="E19" s="18" t="n">
        <v>151.49</v>
      </c>
      <c r="F19" s="18" t="n">
        <v>141.6</v>
      </c>
      <c r="G19" s="19">
        <f>HYPERLINK("https://www.tradingview.com/chart/?symbol=NSE:BANKINDIA","Chart 📈")</f>
        <v/>
      </c>
    </row>
    <row r="20" ht="16" customHeight="1">
      <c r="A20" s="20" t="inlineStr">
        <is>
          <t>NIFTY PSU BANK</t>
        </is>
      </c>
      <c r="B20" s="17" t="inlineStr">
        <is>
          <t>CANBK</t>
        </is>
      </c>
      <c r="C20" s="18" t="n">
        <v>145.23</v>
      </c>
      <c r="D20" s="18" t="n">
        <v>139.25</v>
      </c>
      <c r="E20" s="18" t="n">
        <v>141.08</v>
      </c>
      <c r="F20" s="18" t="n">
        <v>133.92</v>
      </c>
      <c r="G20" s="19">
        <f>HYPERLINK("https://www.tradingview.com/chart/?symbol=NSE:CANBK","Chart 📈")</f>
        <v/>
      </c>
    </row>
    <row r="21" ht="16" customHeight="1">
      <c r="A21" s="20" t="inlineStr">
        <is>
          <t>NIFTY PSU BANK</t>
        </is>
      </c>
      <c r="B21" s="17" t="inlineStr">
        <is>
          <t>CENTRALBK</t>
        </is>
      </c>
      <c r="C21" s="18" t="n">
        <v>36.93</v>
      </c>
      <c r="D21" s="18" t="n">
        <v>35.38</v>
      </c>
      <c r="E21" s="18" t="n">
        <v>35.83</v>
      </c>
      <c r="F21" s="18" t="n">
        <v>36.78</v>
      </c>
      <c r="G21" s="19">
        <f>HYPERLINK("https://www.tradingview.com/chart/?symbol=NSE:CENTRALBK","Chart 📈")</f>
        <v/>
      </c>
    </row>
    <row r="22" ht="16" customHeight="1">
      <c r="A22" s="20" t="inlineStr">
        <is>
          <t>NIFTY PSU BANK</t>
        </is>
      </c>
      <c r="B22" s="17" t="inlineStr">
        <is>
          <t>INDIANB</t>
        </is>
      </c>
      <c r="C22" s="18" t="n">
        <v>925.35</v>
      </c>
      <c r="D22" s="18" t="n">
        <v>921.66</v>
      </c>
      <c r="E22" s="18" t="n">
        <v>906.78</v>
      </c>
      <c r="F22" s="18" t="n">
        <v>812.11</v>
      </c>
      <c r="G22" s="19">
        <f>HYPERLINK("https://www.tradingview.com/chart/?symbol=NSE:INDIANB","Chart 📈")</f>
        <v/>
      </c>
    </row>
    <row r="23" ht="16" customHeight="1">
      <c r="A23" s="20" t="inlineStr">
        <is>
          <t>NIFTY PSU BANK</t>
        </is>
      </c>
      <c r="B23" s="17" t="inlineStr">
        <is>
          <t>MAHABANK</t>
        </is>
      </c>
      <c r="C23" s="18" t="n">
        <v>79.76000000000001</v>
      </c>
      <c r="D23" s="18" t="n">
        <v>70.93000000000001</v>
      </c>
      <c r="E23" s="18" t="n">
        <v>68.02</v>
      </c>
      <c r="F23" s="18" t="n">
        <v>61.13</v>
      </c>
      <c r="G23" s="19">
        <f>HYPERLINK("https://www.tradingview.com/chart/?symbol=NSE:MAHABANK","Chart 📈")</f>
        <v/>
      </c>
    </row>
    <row r="24" ht="16" customHeight="1">
      <c r="A24" s="20" t="inlineStr">
        <is>
          <t>NIFTY PSU BANK</t>
        </is>
      </c>
      <c r="B24" s="17" t="inlineStr">
        <is>
          <t>SBIN</t>
        </is>
      </c>
      <c r="C24" s="18" t="n">
        <v>1103.3</v>
      </c>
      <c r="D24" s="18" t="n">
        <v>1073.62</v>
      </c>
      <c r="E24" s="18" t="n">
        <v>1075.81</v>
      </c>
      <c r="F24" s="18" t="n">
        <v>985.6</v>
      </c>
      <c r="G24" s="19">
        <f>HYPERLINK("https://www.tradingview.com/chart/?symbol=NSE:SBIN","Chart 📈")</f>
        <v/>
      </c>
    </row>
    <row r="25" ht="16" customHeight="1">
      <c r="A25" s="20" t="inlineStr">
        <is>
          <t>NIFTY PSU BANK</t>
        </is>
      </c>
      <c r="B25" s="17" t="inlineStr">
        <is>
          <t>UNIONBANK</t>
        </is>
      </c>
      <c r="C25" s="18" t="n">
        <v>194.05</v>
      </c>
      <c r="D25" s="18" t="n">
        <v>184.45</v>
      </c>
      <c r="E25" s="18" t="n">
        <v>180.75</v>
      </c>
      <c r="F25" s="18" t="n">
        <v>161.16</v>
      </c>
      <c r="G25" s="19">
        <f>HYPERLINK("https://www.tradingview.com/chart/?symbol=NSE:UNIONBANK","Chart 📈")</f>
        <v/>
      </c>
    </row>
    <row r="26" ht="16" customHeight="1">
      <c r="A26" s="12" t="inlineStr">
        <is>
          <t>NIFTY MEDIA</t>
        </is>
      </c>
      <c r="B26" s="13" t="inlineStr">
        <is>
          <t>NAZARA</t>
        </is>
      </c>
      <c r="C26" s="14" t="n">
        <v>271.56</v>
      </c>
      <c r="D26" s="14" t="n">
        <v>254.91</v>
      </c>
      <c r="E26" s="14" t="n">
        <v>254.36</v>
      </c>
      <c r="F26" s="14" t="n">
        <v>266.19</v>
      </c>
      <c r="G26" s="15">
        <f>HYPERLINK("https://www.tradingview.com/chart/?symbol=NSE:NAZARA","Chart 📈")</f>
        <v/>
      </c>
    </row>
    <row r="27" ht="16" customHeight="1">
      <c r="A27" s="16" t="inlineStr">
        <is>
          <t>NIFTY MEDIA</t>
        </is>
      </c>
      <c r="B27" s="13" t="inlineStr">
        <is>
          <t>SUNTV</t>
        </is>
      </c>
      <c r="C27" s="14" t="n">
        <v>652.45</v>
      </c>
      <c r="D27" s="14" t="n">
        <v>615.29</v>
      </c>
      <c r="E27" s="14" t="n">
        <v>596.77</v>
      </c>
      <c r="F27" s="14" t="n">
        <v>581.33</v>
      </c>
      <c r="G27" s="15">
        <f>HYPERLINK("https://www.tradingview.com/chart/?symbol=NSE:SUNTV","Chart 📈")</f>
        <v/>
      </c>
    </row>
    <row r="28" ht="16" customHeight="1">
      <c r="A28" s="16" t="inlineStr">
        <is>
          <t>NIFTY MEDIA</t>
        </is>
      </c>
      <c r="B28" s="13" t="inlineStr">
        <is>
          <t>TIPSMUSIC</t>
        </is>
      </c>
      <c r="C28" s="14" t="n">
        <v>599.6</v>
      </c>
      <c r="D28" s="14" t="n">
        <v>552.1</v>
      </c>
      <c r="E28" s="14" t="n">
        <v>539.73</v>
      </c>
      <c r="F28" s="14" t="n">
        <v>557.28</v>
      </c>
      <c r="G28" s="15">
        <f>HYPERLINK("https://www.tradingview.com/chart/?symbol=NSE:TIPSMUSIC","Chart 📈")</f>
        <v/>
      </c>
    </row>
    <row r="29" ht="16" customHeight="1">
      <c r="A29" s="8" t="inlineStr">
        <is>
          <t>NIFTY CONSUMER DURABLES</t>
        </is>
      </c>
      <c r="B29" s="17" t="inlineStr">
        <is>
          <t>AMBER</t>
        </is>
      </c>
      <c r="C29" s="18" t="n">
        <v>7803.5</v>
      </c>
      <c r="D29" s="18" t="n">
        <v>7283.85</v>
      </c>
      <c r="E29" s="18" t="n">
        <v>7104.62</v>
      </c>
      <c r="F29" s="18" t="n">
        <v>7065.54</v>
      </c>
      <c r="G29" s="19">
        <f>HYPERLINK("https://www.tradingview.com/chart/?symbol=NSE:AMBER","Chart 📈")</f>
        <v/>
      </c>
    </row>
    <row r="30" ht="16" customHeight="1">
      <c r="A30" s="20" t="inlineStr">
        <is>
          <t>NIFTY CONSUMER DURABLES</t>
        </is>
      </c>
      <c r="B30" s="17" t="inlineStr">
        <is>
          <t>BLUESTARCO</t>
        </is>
      </c>
      <c r="C30" s="18" t="n">
        <v>1888.6</v>
      </c>
      <c r="D30" s="18" t="n">
        <v>1772.06</v>
      </c>
      <c r="E30" s="18" t="n">
        <v>1788.9</v>
      </c>
      <c r="F30" s="18" t="n">
        <v>1827.26</v>
      </c>
      <c r="G30" s="19">
        <f>HYPERLINK("https://www.tradingview.com/chart/?symbol=NSE:BLUESTARCO","Chart 📈")</f>
        <v/>
      </c>
    </row>
    <row r="31" ht="16" customHeight="1">
      <c r="A31" s="20" t="inlineStr">
        <is>
          <t>NIFTY CONSUMER DURABLES</t>
        </is>
      </c>
      <c r="B31" s="17" t="inlineStr">
        <is>
          <t>CENTURYPLY</t>
        </is>
      </c>
      <c r="C31" s="18" t="n">
        <v>777.9</v>
      </c>
      <c r="D31" s="18" t="n">
        <v>733.4400000000001</v>
      </c>
      <c r="E31" s="18" t="n">
        <v>732.86</v>
      </c>
      <c r="F31" s="18" t="n">
        <v>753.9299999999999</v>
      </c>
      <c r="G31" s="19">
        <f>HYPERLINK("https://www.tradingview.com/chart/?symbol=NSE:CENTURYPLY","Chart 📈")</f>
        <v/>
      </c>
    </row>
    <row r="32" ht="16" customHeight="1">
      <c r="A32" s="20" t="inlineStr">
        <is>
          <t>NIFTY CONSUMER DURABLES</t>
        </is>
      </c>
      <c r="B32" s="17" t="inlineStr">
        <is>
          <t>CERA</t>
        </is>
      </c>
      <c r="C32" s="18" t="n">
        <v>5488.9</v>
      </c>
      <c r="D32" s="18" t="n">
        <v>5078.61</v>
      </c>
      <c r="E32" s="18" t="n">
        <v>5009.25</v>
      </c>
      <c r="F32" s="18" t="n">
        <v>5443.43</v>
      </c>
      <c r="G32" s="19">
        <f>HYPERLINK("https://www.tradingview.com/chart/?symbol=NSE:CERA","Chart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KAJARIACER</t>
        </is>
      </c>
      <c r="C33" s="18" t="n">
        <v>1202.7</v>
      </c>
      <c r="D33" s="18" t="n">
        <v>1084.09</v>
      </c>
      <c r="E33" s="18" t="n">
        <v>1023.53</v>
      </c>
      <c r="F33" s="18" t="n">
        <v>1024.52</v>
      </c>
      <c r="G33" s="19">
        <f>HYPERLINK("https://www.tradingview.com/chart/?symbol=NSE:KAJARIACER","Chart 📈")</f>
        <v/>
      </c>
    </row>
    <row r="34" ht="16" customHeight="1">
      <c r="A34" s="20" t="inlineStr">
        <is>
          <t>NIFTY CONSUMER DURABLES</t>
        </is>
      </c>
      <c r="B34" s="17" t="inlineStr">
        <is>
          <t>TITAN</t>
        </is>
      </c>
      <c r="C34" s="18" t="n">
        <v>4454.6</v>
      </c>
      <c r="D34" s="18" t="n">
        <v>4344.85</v>
      </c>
      <c r="E34" s="18" t="n">
        <v>4231.77</v>
      </c>
      <c r="F34" s="18" t="n">
        <v>3923.33</v>
      </c>
      <c r="G34" s="19">
        <f>HYPERLINK("https://www.tradingview.com/chart/?symbol=NSE:TITAN","Chart 📈")</f>
        <v/>
      </c>
    </row>
    <row r="35" ht="16" customHeight="1">
      <c r="A35" s="20" t="inlineStr">
        <is>
          <t>NIFTY CONSUMER DURABLES</t>
        </is>
      </c>
      <c r="B35" s="17" t="inlineStr">
        <is>
          <t>VOLTAS</t>
        </is>
      </c>
      <c r="C35" s="18" t="n">
        <v>1481.6</v>
      </c>
      <c r="D35" s="18" t="n">
        <v>1379.49</v>
      </c>
      <c r="E35" s="18" t="n">
        <v>1390.35</v>
      </c>
      <c r="F35" s="18" t="n">
        <v>1383.03</v>
      </c>
      <c r="G35" s="19">
        <f>HYPERLINK("https://www.tradingview.com/chart/?symbol=NSE:VOLTAS","Chart 📈")</f>
        <v/>
      </c>
    </row>
    <row r="36" ht="16" customHeight="1">
      <c r="A36" s="12" t="inlineStr">
        <is>
          <t>NIFTY FMCG</t>
        </is>
      </c>
      <c r="B36" s="13" t="inlineStr">
        <is>
          <t>BALRAMCHIN</t>
        </is>
      </c>
      <c r="C36" s="14" t="n">
        <v>541.55</v>
      </c>
      <c r="D36" s="14" t="n">
        <v>493.47</v>
      </c>
      <c r="E36" s="14" t="n">
        <v>479.74</v>
      </c>
      <c r="F36" s="14" t="n">
        <v>489.13</v>
      </c>
      <c r="G36" s="15">
        <f>HYPERLINK("https://www.tradingview.com/chart/?symbol=NSE:BALRAMCHIN","Chart 📈")</f>
        <v/>
      </c>
    </row>
    <row r="37" ht="16" customHeight="1">
      <c r="A37" s="16" t="inlineStr">
        <is>
          <t>NIFTY FMCG</t>
        </is>
      </c>
      <c r="B37" s="13" t="inlineStr">
        <is>
          <t>HINDUNILVR</t>
        </is>
      </c>
      <c r="C37" s="14" t="n">
        <v>2368.8</v>
      </c>
      <c r="D37" s="14" t="n">
        <v>2189.01</v>
      </c>
      <c r="E37" s="14" t="n">
        <v>2218.26</v>
      </c>
      <c r="F37" s="14" t="n">
        <v>2332.44</v>
      </c>
      <c r="G37" s="15">
        <f>HYPERLINK("https://www.tradingview.com/chart/?symbol=NSE:HINDUNILVR","Chart 📈")</f>
        <v/>
      </c>
    </row>
    <row r="38" ht="16" customHeight="1">
      <c r="A38" s="16" t="inlineStr">
        <is>
          <t>NIFTY FMCG</t>
        </is>
      </c>
      <c r="B38" s="13" t="inlineStr">
        <is>
          <t>MARICO</t>
        </is>
      </c>
      <c r="C38" s="14" t="n">
        <v>772.5</v>
      </c>
      <c r="D38" s="14" t="n">
        <v>756.52</v>
      </c>
      <c r="E38" s="14" t="n">
        <v>757</v>
      </c>
      <c r="F38" s="14" t="n">
        <v>739.9400000000001</v>
      </c>
      <c r="G38" s="15">
        <f>HYPERLINK("https://www.tradingview.com/chart/?symbol=NSE:MARICO","Chart 📈")</f>
        <v/>
      </c>
    </row>
    <row r="39" ht="16" customHeight="1">
      <c r="A39" s="16" t="inlineStr">
        <is>
          <t>NIFTY FMCG</t>
        </is>
      </c>
      <c r="B39" s="13" t="inlineStr">
        <is>
          <t>NESTLEIND</t>
        </is>
      </c>
      <c r="C39" s="14" t="n">
        <v>1395.8</v>
      </c>
      <c r="D39" s="14" t="n">
        <v>1264.01</v>
      </c>
      <c r="E39" s="14" t="n">
        <v>1254.68</v>
      </c>
      <c r="F39" s="14" t="n">
        <v>1238.35</v>
      </c>
      <c r="G39" s="15">
        <f>HYPERLINK("https://www.tradingview.com/chart/?symbol=NSE:NESTLEIND","Chart 📈")</f>
        <v/>
      </c>
    </row>
    <row r="40" ht="16" customHeight="1">
      <c r="A40" s="16" t="inlineStr">
        <is>
          <t>NIFTY FMCG</t>
        </is>
      </c>
      <c r="B40" s="13" t="inlineStr">
        <is>
          <t>RADICO</t>
        </is>
      </c>
      <c r="C40" s="14" t="n">
        <v>3243</v>
      </c>
      <c r="D40" s="14" t="n">
        <v>2924.74</v>
      </c>
      <c r="E40" s="14" t="n">
        <v>2852.01</v>
      </c>
      <c r="F40" s="14" t="n">
        <v>2864.56</v>
      </c>
      <c r="G40" s="15">
        <f>HYPERLINK("https://www.tradingview.com/chart/?symbol=NSE:RADICO","Chart 📈")</f>
        <v/>
      </c>
    </row>
    <row r="41" ht="16" customHeight="1">
      <c r="A41" s="16" t="inlineStr">
        <is>
          <t>NIFTY FMCG</t>
        </is>
      </c>
      <c r="B41" s="13" t="inlineStr">
        <is>
          <t>TATACONSUM</t>
        </is>
      </c>
      <c r="C41" s="14" t="n">
        <v>1178.6</v>
      </c>
      <c r="D41" s="14" t="n">
        <v>1097.96</v>
      </c>
      <c r="E41" s="14" t="n">
        <v>1105.24</v>
      </c>
      <c r="F41" s="14" t="n">
        <v>1126.34</v>
      </c>
      <c r="G41" s="15">
        <f>HYPERLINK("https://www.tradingview.com/chart/?symbol=NSE:TATACONSUM","Chart 📈")</f>
        <v/>
      </c>
    </row>
    <row r="42" ht="16" customHeight="1">
      <c r="A42" s="16" t="inlineStr">
        <is>
          <t>NIFTY FMCG</t>
        </is>
      </c>
      <c r="B42" s="13" t="inlineStr">
        <is>
          <t>UNITDSPR</t>
        </is>
      </c>
      <c r="C42" s="14" t="n">
        <v>1392.8</v>
      </c>
      <c r="D42" s="14" t="n">
        <v>1296.69</v>
      </c>
      <c r="E42" s="14" t="n">
        <v>1318.52</v>
      </c>
      <c r="F42" s="14" t="n">
        <v>1373.77</v>
      </c>
      <c r="G42" s="15">
        <f>HYPERLINK("https://www.tradingview.com/chart/?symbol=NSE:UNITDSPR","Chart 📈")</f>
        <v/>
      </c>
    </row>
    <row r="43" ht="16" customHeight="1">
      <c r="A43" s="16" t="inlineStr">
        <is>
          <t>NIFTY FMCG</t>
        </is>
      </c>
      <c r="B43" s="13" t="inlineStr">
        <is>
          <t>VBL</t>
        </is>
      </c>
      <c r="C43" s="14" t="n">
        <v>494.95</v>
      </c>
      <c r="D43" s="14" t="n">
        <v>441.25</v>
      </c>
      <c r="E43" s="14" t="n">
        <v>439.08</v>
      </c>
      <c r="F43" s="14" t="n">
        <v>465.29</v>
      </c>
      <c r="G43" s="15">
        <f>HYPERLINK("https://www.tradingview.com/chart/?symbol=NSE:VBL","Chart 📈")</f>
        <v/>
      </c>
    </row>
    <row r="44" ht="16" customHeight="1">
      <c r="A44" s="8" t="inlineStr">
        <is>
          <t>NIFTY AUTO</t>
        </is>
      </c>
      <c r="B44" s="17" t="inlineStr">
        <is>
          <t>ASHOKLEY</t>
        </is>
      </c>
      <c r="C44" s="18" t="n">
        <v>178.97</v>
      </c>
      <c r="D44" s="18" t="n">
        <v>172.98</v>
      </c>
      <c r="E44" s="18" t="n">
        <v>177.8</v>
      </c>
      <c r="F44" s="18" t="n">
        <v>161.25</v>
      </c>
      <c r="G44" s="19">
        <f>HYPERLINK("https://www.tradingview.com/chart/?symbol=NSE:ASHOKLEY","Chart 📈")</f>
        <v/>
      </c>
    </row>
    <row r="45" ht="16" customHeight="1">
      <c r="A45" s="20" t="inlineStr">
        <is>
          <t>NIFTY AUTO</t>
        </is>
      </c>
      <c r="B45" s="17" t="inlineStr">
        <is>
          <t>BAJAJ-AUTO</t>
        </is>
      </c>
      <c r="C45" s="18" t="n">
        <v>9602</v>
      </c>
      <c r="D45" s="18" t="n">
        <v>9497.559999999999</v>
      </c>
      <c r="E45" s="18" t="n">
        <v>9431.549999999999</v>
      </c>
      <c r="F45" s="18" t="n">
        <v>9081.889999999999</v>
      </c>
      <c r="G45" s="19">
        <f>HYPERLINK("https://www.tradingview.com/chart/?symbol=NSE:BAJAJ-AUTO","Chart 📈")</f>
        <v/>
      </c>
    </row>
    <row r="46" ht="16" customHeight="1">
      <c r="A46" s="20" t="inlineStr">
        <is>
          <t>NIFTY AUTO</t>
        </is>
      </c>
      <c r="B46" s="17" t="inlineStr">
        <is>
          <t>BHARATFORG</t>
        </is>
      </c>
      <c r="C46" s="18" t="n">
        <v>1903.2</v>
      </c>
      <c r="D46" s="18" t="n">
        <v>1798.04</v>
      </c>
      <c r="E46" s="18" t="n">
        <v>1731.43</v>
      </c>
      <c r="F46" s="18" t="n">
        <v>1485.95</v>
      </c>
      <c r="G46" s="19">
        <f>HYPERLINK("https://www.tradingview.com/chart/?symbol=NSE:BHARATFORG","Chart 📈")</f>
        <v/>
      </c>
    </row>
    <row r="47" ht="16" customHeight="1">
      <c r="A47" s="20" t="inlineStr">
        <is>
          <t>NIFTY AUTO</t>
        </is>
      </c>
      <c r="B47" s="17" t="inlineStr">
        <is>
          <t>BOSCHLTD</t>
        </is>
      </c>
      <c r="C47" s="18" t="n">
        <v>37885</v>
      </c>
      <c r="D47" s="18" t="n">
        <v>35311.22</v>
      </c>
      <c r="E47" s="18" t="n">
        <v>34622.59</v>
      </c>
      <c r="F47" s="18" t="n">
        <v>34987.02</v>
      </c>
      <c r="G47" s="19">
        <f>HYPERLINK("https://www.tradingview.com/chart/?symbol=NSE:BOSCHLTD","Chart 📈")</f>
        <v/>
      </c>
    </row>
    <row r="48" ht="16" customHeight="1">
      <c r="A48" s="20" t="inlineStr">
        <is>
          <t>NIFTY AUTO</t>
        </is>
      </c>
      <c r="B48" s="17" t="inlineStr">
        <is>
          <t>EICHERMOT</t>
        </is>
      </c>
      <c r="C48" s="18" t="n">
        <v>7230</v>
      </c>
      <c r="D48" s="18" t="n">
        <v>7102.17</v>
      </c>
      <c r="E48" s="18" t="n">
        <v>7178.32</v>
      </c>
      <c r="F48" s="18" t="n">
        <v>6865.56</v>
      </c>
      <c r="G48" s="19">
        <f>HYPERLINK("https://www.tradingview.com/chart/?symbol=NSE:EICHERMOT","Chart 📈")</f>
        <v/>
      </c>
    </row>
    <row r="49" ht="16" customHeight="1">
      <c r="A49" s="20" t="inlineStr">
        <is>
          <t>NIFTY AUTO</t>
        </is>
      </c>
      <c r="B49" s="17" t="inlineStr">
        <is>
          <t>EXIDEIND</t>
        </is>
      </c>
      <c r="C49" s="18" t="n">
        <v>354.55</v>
      </c>
      <c r="D49" s="18" t="n">
        <v>321.36</v>
      </c>
      <c r="E49" s="18" t="n">
        <v>322.89</v>
      </c>
      <c r="F49" s="18" t="n">
        <v>352.6</v>
      </c>
      <c r="G49" s="19">
        <f>HYPERLINK("https://www.tradingview.com/chart/?symbol=NSE:EXIDEIND","Chart 📈")</f>
        <v/>
      </c>
    </row>
    <row r="50" ht="16" customHeight="1">
      <c r="A50" s="20" t="inlineStr">
        <is>
          <t>NIFTY AUTO</t>
        </is>
      </c>
      <c r="B50" s="17" t="inlineStr">
        <is>
          <t>MOTHERSON</t>
        </is>
      </c>
      <c r="C50" s="18" t="n">
        <v>131.76</v>
      </c>
      <c r="D50" s="18" t="n">
        <v>119.75</v>
      </c>
      <c r="E50" s="18" t="n">
        <v>118.83</v>
      </c>
      <c r="F50" s="18" t="n">
        <v>111.68</v>
      </c>
      <c r="G50" s="19">
        <f>HYPERLINK("https://www.tradingview.com/chart/?symbol=NSE:MOTHERSON","Chart 📈")</f>
        <v/>
      </c>
    </row>
    <row r="51" ht="16" customHeight="1">
      <c r="A51" s="20" t="inlineStr">
        <is>
          <t>NIFTY AUTO</t>
        </is>
      </c>
      <c r="B51" s="17" t="inlineStr">
        <is>
          <t>TVSMOTOR</t>
        </is>
      </c>
      <c r="C51" s="18" t="n">
        <v>3660.7</v>
      </c>
      <c r="D51" s="18" t="n">
        <v>3655.18</v>
      </c>
      <c r="E51" s="18" t="n">
        <v>3642.31</v>
      </c>
      <c r="F51" s="18" t="n">
        <v>3458.83</v>
      </c>
      <c r="G51" s="19">
        <f>HYPERLINK("https://www.tradingview.com/chart/?symbol=NSE:TVSMOTOR","Chart 📈")</f>
        <v/>
      </c>
    </row>
    <row r="52" ht="16" customHeight="1">
      <c r="A52" s="12" t="inlineStr">
        <is>
          <t>NIFTY REALTY</t>
        </is>
      </c>
      <c r="B52" s="13" t="inlineStr">
        <is>
          <t>OBEROIRLTY</t>
        </is>
      </c>
      <c r="C52" s="14" t="n">
        <v>1733.6</v>
      </c>
      <c r="D52" s="14" t="n">
        <v>1620.63</v>
      </c>
      <c r="E52" s="14" t="n">
        <v>1573.2</v>
      </c>
      <c r="F52" s="14" t="n">
        <v>1617.91</v>
      </c>
      <c r="G52" s="15">
        <f>HYPERLINK("https://www.tradingview.com/chart/?symbol=NSE:OBEROIRLTY","Chart 📈")</f>
        <v/>
      </c>
    </row>
    <row r="53" ht="16" customHeight="1">
      <c r="A53" s="16" t="inlineStr">
        <is>
          <t>NIFTY REALTY</t>
        </is>
      </c>
      <c r="B53" s="13" t="inlineStr">
        <is>
          <t>PHOENIXLTD</t>
        </is>
      </c>
      <c r="C53" s="14" t="n">
        <v>1809.4</v>
      </c>
      <c r="D53" s="14" t="n">
        <v>1700.02</v>
      </c>
      <c r="E53" s="14" t="n">
        <v>1680.47</v>
      </c>
      <c r="F53" s="14" t="n">
        <v>1677.06</v>
      </c>
      <c r="G53" s="15">
        <f>HYPERLINK("https://www.tradingview.com/chart/?symbol=NSE:PHOENIXLTD","Chart 📈")</f>
        <v/>
      </c>
    </row>
    <row r="54" ht="16" customHeight="1">
      <c r="A54" s="8" t="inlineStr">
        <is>
          <t>NIFTY OIL &amp; GAS</t>
        </is>
      </c>
      <c r="B54" s="17" t="inlineStr">
        <is>
          <t>ATGL</t>
        </is>
      </c>
      <c r="C54" s="18" t="n">
        <v>629.1</v>
      </c>
      <c r="D54" s="18" t="n">
        <v>572.84</v>
      </c>
      <c r="E54" s="18" t="n">
        <v>553.21</v>
      </c>
      <c r="F54" s="18" t="n">
        <v>578.67</v>
      </c>
      <c r="G54" s="19">
        <f>HYPERLINK("https://www.tradingview.com/chart/?symbol=NSE:ATGL","Chart 📈")</f>
        <v/>
      </c>
    </row>
    <row r="55" ht="16" customHeight="1">
      <c r="A55" s="20" t="inlineStr">
        <is>
          <t>NIFTY OIL &amp; GAS</t>
        </is>
      </c>
      <c r="B55" s="17" t="inlineStr">
        <is>
          <t>GAIL</t>
        </is>
      </c>
      <c r="C55" s="18" t="n">
        <v>166.12</v>
      </c>
      <c r="D55" s="18" t="n">
        <v>153.55</v>
      </c>
      <c r="E55" s="18" t="n">
        <v>154.47</v>
      </c>
      <c r="F55" s="18" t="n">
        <v>165.25</v>
      </c>
      <c r="G55" s="19">
        <f>HYPERLINK("https://www.tradingview.com/chart/?symbol=NSE:GAIL","Chart 📈")</f>
        <v/>
      </c>
    </row>
    <row r="56" ht="16" customHeight="1">
      <c r="A56" s="20" t="inlineStr">
        <is>
          <t>NIFTY OIL &amp; GAS</t>
        </is>
      </c>
      <c r="B56" s="17" t="inlineStr">
        <is>
          <t>ONGC</t>
        </is>
      </c>
      <c r="C56" s="18" t="n">
        <v>283.65</v>
      </c>
      <c r="D56" s="18" t="n">
        <v>281.56</v>
      </c>
      <c r="E56" s="18" t="n">
        <v>273.05</v>
      </c>
      <c r="F56" s="18" t="n">
        <v>250.97</v>
      </c>
      <c r="G56" s="19">
        <f>HYPERLINK("https://www.tradingview.com/chart/?symbol=NSE:ONGC","Chart 📈")</f>
        <v/>
      </c>
    </row>
    <row r="57" ht="16" customHeight="1">
      <c r="A57" s="12" t="inlineStr">
        <is>
          <t>NIFTY PHARMA</t>
        </is>
      </c>
      <c r="B57" s="13" t="inlineStr">
        <is>
          <t>ALKEM</t>
        </is>
      </c>
      <c r="C57" s="14" t="n">
        <v>5627</v>
      </c>
      <c r="D57" s="14" t="n">
        <v>5468.23</v>
      </c>
      <c r="E57" s="14" t="n">
        <v>5468.63</v>
      </c>
      <c r="F57" s="14" t="n">
        <v>5404.04</v>
      </c>
      <c r="G57" s="15">
        <f>HYPERLINK("https://www.tradingview.com/chart/?symbol=NSE:ALKEM","Chart 📈")</f>
        <v/>
      </c>
    </row>
    <row r="58" ht="16" customHeight="1">
      <c r="A58" s="16" t="inlineStr">
        <is>
          <t>NIFTY PHARMA</t>
        </is>
      </c>
      <c r="B58" s="13" t="inlineStr">
        <is>
          <t>AUROPHARMA</t>
        </is>
      </c>
      <c r="C58" s="14" t="n">
        <v>1421.2</v>
      </c>
      <c r="D58" s="14" t="n">
        <v>1344.71</v>
      </c>
      <c r="E58" s="14" t="n">
        <v>1287.8</v>
      </c>
      <c r="F58" s="14" t="n">
        <v>1203.94</v>
      </c>
      <c r="G58" s="15">
        <f>HYPERLINK("https://www.tradingview.com/chart/?symbol=NSE:AUROPHARMA","Chart 📈")</f>
        <v/>
      </c>
    </row>
    <row r="59" ht="16" customHeight="1">
      <c r="A59" s="16" t="inlineStr">
        <is>
          <t>NIFTY PHARMA</t>
        </is>
      </c>
      <c r="B59" s="13" t="inlineStr">
        <is>
          <t>DIVISLAB</t>
        </is>
      </c>
      <c r="C59" s="14" t="n">
        <v>6285.5</v>
      </c>
      <c r="D59" s="14" t="n">
        <v>6133.81</v>
      </c>
      <c r="E59" s="14" t="n">
        <v>6158.66</v>
      </c>
      <c r="F59" s="14" t="n">
        <v>6237.65</v>
      </c>
      <c r="G59" s="15">
        <f>HYPERLINK("https://www.tradingview.com/chart/?symbol=NSE:DIVISLAB","Chart 📈")</f>
        <v/>
      </c>
    </row>
    <row r="60" ht="16" customHeight="1">
      <c r="A60" s="16" t="inlineStr">
        <is>
          <t>NIFTY PHARMA</t>
        </is>
      </c>
      <c r="B60" s="13" t="inlineStr">
        <is>
          <t>GLAND</t>
        </is>
      </c>
      <c r="C60" s="14" t="n">
        <v>1800.6</v>
      </c>
      <c r="D60" s="14" t="n">
        <v>1740.66</v>
      </c>
      <c r="E60" s="14" t="n">
        <v>1736.8</v>
      </c>
      <c r="F60" s="14" t="n">
        <v>1745.27</v>
      </c>
      <c r="G60" s="15">
        <f>HYPERLINK("https://www.tradingview.com/chart/?symbol=NSE:GLAND","Chart 📈")</f>
        <v/>
      </c>
    </row>
    <row r="61" ht="16" customHeight="1">
      <c r="A61" s="16" t="inlineStr">
        <is>
          <t>NIFTY PHARMA</t>
        </is>
      </c>
      <c r="B61" s="13" t="inlineStr">
        <is>
          <t>GLENMARK</t>
        </is>
      </c>
      <c r="C61" s="14" t="n">
        <v>2240</v>
      </c>
      <c r="D61" s="14" t="n">
        <v>2186.67</v>
      </c>
      <c r="E61" s="14" t="n">
        <v>2130.72</v>
      </c>
      <c r="F61" s="14" t="n">
        <v>1961.36</v>
      </c>
      <c r="G61" s="15">
        <f>HYPERLINK("https://www.tradingview.com/chart/?symbol=NSE:GLENMARK","Chart 📈")</f>
        <v/>
      </c>
    </row>
    <row r="62" ht="16" customHeight="1">
      <c r="A62" s="16" t="inlineStr">
        <is>
          <t>NIFTY PHARMA</t>
        </is>
      </c>
      <c r="B62" s="13" t="inlineStr">
        <is>
          <t>GRANULES</t>
        </is>
      </c>
      <c r="C62" s="14" t="n">
        <v>672.75</v>
      </c>
      <c r="D62" s="14" t="n">
        <v>636.52</v>
      </c>
      <c r="E62" s="14" t="n">
        <v>611.23</v>
      </c>
      <c r="F62" s="14" t="n">
        <v>563.78</v>
      </c>
      <c r="G62" s="15">
        <f>HYPERLINK("https://www.tradingview.com/chart/?symbol=NSE:GRANULES","Chart 📈")</f>
        <v/>
      </c>
    </row>
    <row r="63" ht="16" customHeight="1">
      <c r="A63" s="16" t="inlineStr">
        <is>
          <t>NIFTY PHARMA</t>
        </is>
      </c>
      <c r="B63" s="13" t="inlineStr">
        <is>
          <t>IPCALAB</t>
        </is>
      </c>
      <c r="C63" s="14" t="n">
        <v>1494.8</v>
      </c>
      <c r="D63" s="14" t="n">
        <v>1486.23</v>
      </c>
      <c r="E63" s="14" t="n">
        <v>1489.03</v>
      </c>
      <c r="F63" s="14" t="n">
        <v>1446.25</v>
      </c>
      <c r="G63" s="15">
        <f>HYPERLINK("https://www.tradingview.com/chart/?symbol=NSE:IPCALAB","Chart 📈")</f>
        <v/>
      </c>
    </row>
    <row r="64" ht="16" customHeight="1">
      <c r="A64" s="16" t="inlineStr">
        <is>
          <t>NIFTY PHARMA</t>
        </is>
      </c>
      <c r="B64" s="13" t="inlineStr">
        <is>
          <t>LAURUSLABS</t>
        </is>
      </c>
      <c r="C64" s="14" t="n">
        <v>1096.1</v>
      </c>
      <c r="D64" s="14" t="n">
        <v>1076.6</v>
      </c>
      <c r="E64" s="14" t="n">
        <v>1047.64</v>
      </c>
      <c r="F64" s="14" t="n">
        <v>952.61</v>
      </c>
      <c r="G64" s="15">
        <f>HYPERLINK("https://www.tradingview.com/chart/?symbol=NSE:LAURUSLABS","Chart 📈")</f>
        <v/>
      </c>
    </row>
    <row r="65" ht="16" customHeight="1">
      <c r="A65" s="16" t="inlineStr">
        <is>
          <t>NIFTY PHARMA</t>
        </is>
      </c>
      <c r="B65" s="13" t="inlineStr">
        <is>
          <t>NATCOPHARM</t>
        </is>
      </c>
      <c r="C65" s="14" t="n">
        <v>1071</v>
      </c>
      <c r="D65" s="14" t="n">
        <v>1051.45</v>
      </c>
      <c r="E65" s="14" t="n">
        <v>993.37</v>
      </c>
      <c r="F65" s="14" t="n">
        <v>912.21</v>
      </c>
      <c r="G65" s="15">
        <f>HYPERLINK("https://www.tradingview.com/chart/?symbol=NSE:NATCOPHARM","Chart 📈")</f>
        <v/>
      </c>
    </row>
    <row r="66" ht="16" customHeight="1">
      <c r="A66" s="16" t="inlineStr">
        <is>
          <t>NIFTY PHARMA</t>
        </is>
      </c>
      <c r="B66" s="13" t="inlineStr">
        <is>
          <t>ZYDUSLIFE</t>
        </is>
      </c>
      <c r="C66" s="14" t="n">
        <v>929.9</v>
      </c>
      <c r="D66" s="14" t="n">
        <v>912.33</v>
      </c>
      <c r="E66" s="14" t="n">
        <v>906.87</v>
      </c>
      <c r="F66" s="14" t="n">
        <v>919.0700000000001</v>
      </c>
      <c r="G66" s="15">
        <f>HYPERLINK("https://www.tradingview.com/chart/?symbol=NSE:ZYDUSLIFE","Chart 📈")</f>
        <v/>
      </c>
    </row>
    <row r="67" ht="16" customHeight="1">
      <c r="A67" s="8" t="inlineStr">
        <is>
          <t>NIFTY ENERGY</t>
        </is>
      </c>
      <c r="B67" s="17" t="inlineStr">
        <is>
          <t>ABB</t>
        </is>
      </c>
      <c r="C67" s="18" t="n">
        <v>7587</v>
      </c>
      <c r="D67" s="18" t="n">
        <v>6709.21</v>
      </c>
      <c r="E67" s="18" t="n">
        <v>6268.8</v>
      </c>
      <c r="F67" s="18" t="n">
        <v>5690.34</v>
      </c>
      <c r="G67" s="19">
        <f>HYPERLINK("https://www.tradingview.com/chart/?symbol=NSE:ABB","Chart 📈")</f>
        <v/>
      </c>
    </row>
    <row r="68" ht="16" customHeight="1">
      <c r="A68" s="20" t="inlineStr">
        <is>
          <t>NIFTY ENERGY</t>
        </is>
      </c>
      <c r="B68" s="17" t="inlineStr">
        <is>
          <t>ADANIENSOL</t>
        </is>
      </c>
      <c r="C68" s="18" t="n">
        <v>1368.1</v>
      </c>
      <c r="D68" s="18" t="n">
        <v>1135.94</v>
      </c>
      <c r="E68" s="18" t="n">
        <v>1057.99</v>
      </c>
      <c r="F68" s="18" t="n">
        <v>973.11</v>
      </c>
      <c r="G68" s="19">
        <f>HYPERLINK("https://www.tradingview.com/chart/?symbol=NSE:ADANIENSOL","Chart 📈")</f>
        <v/>
      </c>
    </row>
    <row r="69" ht="16" customHeight="1">
      <c r="A69" s="20" t="inlineStr">
        <is>
          <t>NIFTY ENERGY</t>
        </is>
      </c>
      <c r="B69" s="17" t="inlineStr">
        <is>
          <t>ADANIGREEN</t>
        </is>
      </c>
      <c r="C69" s="18" t="n">
        <v>1198.95</v>
      </c>
      <c r="D69" s="18" t="n">
        <v>1031.41</v>
      </c>
      <c r="E69" s="18" t="n">
        <v>973.37</v>
      </c>
      <c r="F69" s="18" t="n">
        <v>973.8200000000001</v>
      </c>
      <c r="G69" s="19">
        <f>HYPERLINK("https://www.tradingview.com/chart/?symbol=NSE:ADANIGREEN","Chart 📈")</f>
        <v/>
      </c>
    </row>
    <row r="70" ht="16" customHeight="1">
      <c r="A70" s="20" t="inlineStr">
        <is>
          <t>NIFTY ENERGY</t>
        </is>
      </c>
      <c r="B70" s="17" t="inlineStr">
        <is>
          <t>ADANIPOWER</t>
        </is>
      </c>
      <c r="C70" s="18" t="n">
        <v>215.65</v>
      </c>
      <c r="D70" s="18" t="n">
        <v>178.42</v>
      </c>
      <c r="E70" s="18" t="n">
        <v>162.28</v>
      </c>
      <c r="F70" s="18" t="n">
        <v>144.04</v>
      </c>
      <c r="G70" s="19">
        <f>HYPERLINK("https://www.tradingview.com/chart/?symbol=NSE:ADANIPOWER","Chart 📈")</f>
        <v/>
      </c>
    </row>
    <row r="71" ht="16" customHeight="1">
      <c r="A71" s="20" t="inlineStr">
        <is>
          <t>NIFTY ENERGY</t>
        </is>
      </c>
      <c r="B71" s="17" t="inlineStr">
        <is>
          <t>BHEL</t>
        </is>
      </c>
      <c r="C71" s="18" t="n">
        <v>333.64</v>
      </c>
      <c r="D71" s="18" t="n">
        <v>289.05</v>
      </c>
      <c r="E71" s="18" t="n">
        <v>274.35</v>
      </c>
      <c r="F71" s="18" t="n">
        <v>260.19</v>
      </c>
      <c r="G71" s="19">
        <f>HYPERLINK("https://www.tradingview.com/chart/?symbol=NSE:BHEL","Chart 📈")</f>
        <v/>
      </c>
    </row>
    <row r="72" ht="16" customHeight="1">
      <c r="A72" s="20" t="inlineStr">
        <is>
          <t>NIFTY ENERGY</t>
        </is>
      </c>
      <c r="B72" s="17" t="inlineStr">
        <is>
          <t>CESC</t>
        </is>
      </c>
      <c r="C72" s="18" t="n">
        <v>180.27</v>
      </c>
      <c r="D72" s="18" t="n">
        <v>163.94</v>
      </c>
      <c r="E72" s="18" t="n">
        <v>159.48</v>
      </c>
      <c r="F72" s="18" t="n">
        <v>160.39</v>
      </c>
      <c r="G72" s="19">
        <f>HYPERLINK("https://www.tradingview.com/chart/?symbol=NSE:CESC","Chart 📈")</f>
        <v/>
      </c>
    </row>
    <row r="73" ht="16" customHeight="1">
      <c r="A73" s="20" t="inlineStr">
        <is>
          <t>NIFTY ENERGY</t>
        </is>
      </c>
      <c r="B73" s="17" t="inlineStr">
        <is>
          <t>CGPOWER</t>
        </is>
      </c>
      <c r="C73" s="18" t="n">
        <v>824.35</v>
      </c>
      <c r="D73" s="18" t="n">
        <v>739.5700000000001</v>
      </c>
      <c r="E73" s="18" t="n">
        <v>708.59</v>
      </c>
      <c r="F73" s="18" t="n">
        <v>686.13</v>
      </c>
      <c r="G73" s="19">
        <f>HYPERLINK("https://www.tradingview.com/chart/?symbol=NSE:CGPOWER","Chart 📈")</f>
        <v/>
      </c>
    </row>
    <row r="74" ht="16" customHeight="1">
      <c r="A74" s="20" t="inlineStr">
        <is>
          <t>NIFTY ENERGY</t>
        </is>
      </c>
      <c r="B74" s="17" t="inlineStr">
        <is>
          <t>GVT&amp;D</t>
        </is>
      </c>
      <c r="C74" s="18" t="n">
        <v>4239.4</v>
      </c>
      <c r="D74" s="18" t="n">
        <v>3966.82</v>
      </c>
      <c r="E74" s="18" t="n">
        <v>3737</v>
      </c>
      <c r="F74" s="18" t="n">
        <v>3096.83</v>
      </c>
      <c r="G74" s="19">
        <f>HYPERLINK("https://www.tradingview.com/chart/?symbol=NSE:GVT&amp;D","Chart 📈")</f>
        <v/>
      </c>
    </row>
    <row r="75" ht="16" customHeight="1">
      <c r="A75" s="20" t="inlineStr">
        <is>
          <t>NIFTY ENERGY</t>
        </is>
      </c>
      <c r="B75" s="17" t="inlineStr">
        <is>
          <t>JPPOWER</t>
        </is>
      </c>
      <c r="C75" s="18" t="n">
        <v>20.13</v>
      </c>
      <c r="D75" s="18" t="n">
        <v>17.25</v>
      </c>
      <c r="E75" s="18" t="n">
        <v>16.24</v>
      </c>
      <c r="F75" s="18" t="n">
        <v>16.77</v>
      </c>
      <c r="G75" s="19">
        <f>HYPERLINK("https://www.tradingview.com/chart/?symbol=NSE:JPPOWER","Chart 📈")</f>
        <v/>
      </c>
    </row>
    <row r="76" ht="16" customHeight="1">
      <c r="A76" s="20" t="inlineStr">
        <is>
          <t>NIFTY ENERGY</t>
        </is>
      </c>
      <c r="B76" s="17" t="inlineStr">
        <is>
          <t>JSWENERGY</t>
        </is>
      </c>
      <c r="C76" s="18" t="n">
        <v>560.55</v>
      </c>
      <c r="D76" s="18" t="n">
        <v>515.92</v>
      </c>
      <c r="E76" s="18" t="n">
        <v>501.55</v>
      </c>
      <c r="F76" s="18" t="n">
        <v>500.82</v>
      </c>
      <c r="G76" s="19">
        <f>HYPERLINK("https://www.tradingview.com/chart/?symbol=NSE:JSWENERGY","Chart 📈")</f>
        <v/>
      </c>
    </row>
    <row r="77" ht="16" customHeight="1">
      <c r="A77" s="20" t="inlineStr">
        <is>
          <t>NIFTY ENERGY</t>
        </is>
      </c>
      <c r="B77" s="17" t="inlineStr">
        <is>
          <t>NHPC</t>
        </is>
      </c>
      <c r="C77" s="18" t="n">
        <v>82.63</v>
      </c>
      <c r="D77" s="18" t="n">
        <v>78.97</v>
      </c>
      <c r="E77" s="18" t="n">
        <v>77.48999999999999</v>
      </c>
      <c r="F77" s="18" t="n">
        <v>79.41</v>
      </c>
      <c r="G77" s="19">
        <f>HYPERLINK("https://www.tradingview.com/chart/?symbol=NSE:NHPC","Chart 📈")</f>
        <v/>
      </c>
    </row>
    <row r="78" ht="16" customHeight="1">
      <c r="A78" s="20" t="inlineStr">
        <is>
          <t>NIFTY ENERGY</t>
        </is>
      </c>
      <c r="B78" s="17" t="inlineStr">
        <is>
          <t>NLCINDIA</t>
        </is>
      </c>
      <c r="C78" s="18" t="n">
        <v>301.15</v>
      </c>
      <c r="D78" s="18" t="n">
        <v>280.86</v>
      </c>
      <c r="E78" s="18" t="n">
        <v>269.3</v>
      </c>
      <c r="F78" s="18" t="n">
        <v>254.27</v>
      </c>
      <c r="G78" s="19">
        <f>HYPERLINK("https://www.tradingview.com/chart/?symbol=NSE:NLCINDIA","Chart 📈")</f>
        <v/>
      </c>
    </row>
    <row r="79" ht="16" customHeight="1">
      <c r="A79" s="20" t="inlineStr">
        <is>
          <t>NIFTY ENERGY</t>
        </is>
      </c>
      <c r="B79" s="17" t="inlineStr">
        <is>
          <t>NTPC</t>
        </is>
      </c>
      <c r="C79" s="18" t="n">
        <v>405.4</v>
      </c>
      <c r="D79" s="18" t="n">
        <v>384.86</v>
      </c>
      <c r="E79" s="18" t="n">
        <v>374.51</v>
      </c>
      <c r="F79" s="18" t="n">
        <v>351.35</v>
      </c>
      <c r="G79" s="19">
        <f>HYPERLINK("https://www.tradingview.com/chart/?symbol=NSE:NTPC","Chart 📈")</f>
        <v/>
      </c>
    </row>
    <row r="80" ht="16" customHeight="1">
      <c r="A80" s="20" t="inlineStr">
        <is>
          <t>NIFTY ENERGY</t>
        </is>
      </c>
      <c r="B80" s="17" t="inlineStr">
        <is>
          <t>POWERGRID</t>
        </is>
      </c>
      <c r="C80" s="18" t="n">
        <v>319.75</v>
      </c>
      <c r="D80" s="18" t="n">
        <v>306.21</v>
      </c>
      <c r="E80" s="18" t="n">
        <v>296.99</v>
      </c>
      <c r="F80" s="18" t="n">
        <v>285.26</v>
      </c>
      <c r="G80" s="19">
        <f>HYPERLINK("https://www.tradingview.com/chart/?symbol=NSE:POWERGRID","Chart 📈")</f>
        <v/>
      </c>
    </row>
    <row r="81" ht="16" customHeight="1">
      <c r="A81" s="20" t="inlineStr">
        <is>
          <t>NIFTY ENERGY</t>
        </is>
      </c>
      <c r="B81" s="17" t="inlineStr">
        <is>
          <t>POWERINDIA</t>
        </is>
      </c>
      <c r="C81" s="18" t="n">
        <v>30335</v>
      </c>
      <c r="D81" s="18" t="n">
        <v>27338.58</v>
      </c>
      <c r="E81" s="18" t="n">
        <v>25101.25</v>
      </c>
      <c r="F81" s="18" t="n">
        <v>20994.42</v>
      </c>
      <c r="G81" s="19">
        <f>HYPERLINK("https://www.tradingview.com/chart/?symbol=NSE:POWERINDIA","Chart 📈")</f>
        <v/>
      </c>
    </row>
    <row r="82" ht="16" customHeight="1">
      <c r="A82" s="20" t="inlineStr">
        <is>
          <t>NIFTY ENERGY</t>
        </is>
      </c>
      <c r="B82" s="17" t="inlineStr">
        <is>
          <t>SCHNEIDER</t>
        </is>
      </c>
      <c r="C82" s="18" t="n">
        <v>1111.7</v>
      </c>
      <c r="D82" s="18" t="n">
        <v>982.51</v>
      </c>
      <c r="E82" s="18" t="n">
        <v>906.78</v>
      </c>
      <c r="F82" s="18" t="n">
        <v>810.6799999999999</v>
      </c>
      <c r="G82" s="19">
        <f>HYPERLINK("https://www.tradingview.com/chart/?symbol=NSE:SCHNEIDER","Chart 📈")</f>
        <v/>
      </c>
    </row>
    <row r="83" ht="16" customHeight="1">
      <c r="A83" s="20" t="inlineStr">
        <is>
          <t>NIFTY ENERGY</t>
        </is>
      </c>
      <c r="B83" s="17" t="inlineStr">
        <is>
          <t>SIEMENS</t>
        </is>
      </c>
      <c r="C83" s="18" t="n">
        <v>3844.3</v>
      </c>
      <c r="D83" s="18" t="n">
        <v>3408.92</v>
      </c>
      <c r="E83" s="18" t="n">
        <v>3272.71</v>
      </c>
      <c r="F83" s="18" t="n">
        <v>3156.57</v>
      </c>
      <c r="G83" s="19">
        <f>HYPERLINK("https://www.tradingview.com/chart/?symbol=NSE:SIEMENS","Chart 📈")</f>
        <v/>
      </c>
    </row>
    <row r="84" ht="16" customHeight="1">
      <c r="A84" s="20" t="inlineStr">
        <is>
          <t>NIFTY ENERGY</t>
        </is>
      </c>
      <c r="B84" s="17" t="inlineStr">
        <is>
          <t>SJVN</t>
        </is>
      </c>
      <c r="C84" s="18" t="n">
        <v>80.84999999999999</v>
      </c>
      <c r="D84" s="18" t="n">
        <v>73.22</v>
      </c>
      <c r="E84" s="18" t="n">
        <v>72.47</v>
      </c>
      <c r="F84" s="18" t="n">
        <v>79.92</v>
      </c>
      <c r="G84" s="19">
        <f>HYPERLINK("https://www.tradingview.com/chart/?symbol=NSE:SJVN","Chart 📈")</f>
        <v/>
      </c>
    </row>
    <row r="85" ht="16" customHeight="1">
      <c r="A85" s="20" t="inlineStr">
        <is>
          <t>NIFTY ENERGY</t>
        </is>
      </c>
      <c r="B85" s="17" t="inlineStr">
        <is>
          <t>SUZLON</t>
        </is>
      </c>
      <c r="C85" s="18" t="n">
        <v>54.57</v>
      </c>
      <c r="D85" s="18" t="n">
        <v>47.06</v>
      </c>
      <c r="E85" s="18" t="n">
        <v>45.78</v>
      </c>
      <c r="F85" s="18" t="n">
        <v>51.36</v>
      </c>
      <c r="G85" s="19">
        <f>HYPERLINK("https://www.tradingview.com/chart/?symbol=NSE:SUZLON","Chart 📈")</f>
        <v/>
      </c>
    </row>
    <row r="86" ht="16" customHeight="1">
      <c r="A86" s="20" t="inlineStr">
        <is>
          <t>NIFTY ENERGY</t>
        </is>
      </c>
      <c r="B86" s="17" t="inlineStr">
        <is>
          <t>TATAPOWER</t>
        </is>
      </c>
      <c r="C86" s="18" t="n">
        <v>436.05</v>
      </c>
      <c r="D86" s="18" t="n">
        <v>408.88</v>
      </c>
      <c r="E86" s="18" t="n">
        <v>394.35</v>
      </c>
      <c r="F86" s="18" t="n">
        <v>386.98</v>
      </c>
      <c r="G86" s="19">
        <f>HYPERLINK("https://www.tradingview.com/chart/?symbol=NSE:TATAPOWER","Chart 📈")</f>
        <v/>
      </c>
    </row>
    <row r="87" ht="16" customHeight="1">
      <c r="A87" s="20" t="inlineStr">
        <is>
          <t>NIFTY ENERGY</t>
        </is>
      </c>
      <c r="B87" s="17" t="inlineStr">
        <is>
          <t>THERMAX</t>
        </is>
      </c>
      <c r="C87" s="18" t="n">
        <v>4053.1</v>
      </c>
      <c r="D87" s="18" t="n">
        <v>3692.01</v>
      </c>
      <c r="E87" s="18" t="n">
        <v>3393.26</v>
      </c>
      <c r="F87" s="18" t="n">
        <v>3233.92</v>
      </c>
      <c r="G87" s="19">
        <f>HYPERLINK("https://www.tradingview.com/chart/?symbol=NSE:THERMAX","Chart 📈")</f>
        <v/>
      </c>
    </row>
    <row r="88" ht="16" customHeight="1">
      <c r="A88" s="20" t="inlineStr">
        <is>
          <t>NIFTY ENERGY</t>
        </is>
      </c>
      <c r="B88" s="17" t="inlineStr">
        <is>
          <t>TORNTPOWER</t>
        </is>
      </c>
      <c r="C88" s="18" t="n">
        <v>1657.4</v>
      </c>
      <c r="D88" s="18" t="n">
        <v>1497.26</v>
      </c>
      <c r="E88" s="18" t="n">
        <v>1451.92</v>
      </c>
      <c r="F88" s="18" t="n">
        <v>1394.3</v>
      </c>
      <c r="G88" s="19">
        <f>HYPERLINK("https://www.tradingview.com/chart/?symbol=NSE:TORNTPOWER","Chart 📈")</f>
        <v/>
      </c>
    </row>
    <row r="89" ht="16" customHeight="1">
      <c r="A89" s="20" t="inlineStr">
        <is>
          <t>NIFTY ENERGY</t>
        </is>
      </c>
      <c r="B89" s="17" t="inlineStr">
        <is>
          <t>TRITURBINE</t>
        </is>
      </c>
      <c r="C89" s="18" t="n">
        <v>570.9</v>
      </c>
      <c r="D89" s="18" t="n">
        <v>494.97</v>
      </c>
      <c r="E89" s="18" t="n">
        <v>486.47</v>
      </c>
      <c r="F89" s="18" t="n">
        <v>510.18</v>
      </c>
      <c r="G89" s="19">
        <f>HYPERLINK("https://www.tradingview.com/chart/?symbol=NSE:TRITURBINE","Chart 📈")</f>
        <v/>
      </c>
    </row>
    <row r="90" ht="16" customHeight="1">
      <c r="A90" s="12" t="inlineStr">
        <is>
          <t>NIFTY FINANCIAL SERVICES</t>
        </is>
      </c>
      <c r="B90" s="13" t="inlineStr">
        <is>
          <t>AXISBANK</t>
        </is>
      </c>
      <c r="C90" s="14" t="n">
        <v>1379.6</v>
      </c>
      <c r="D90" s="14" t="n">
        <v>1313.2</v>
      </c>
      <c r="E90" s="14" t="n">
        <v>1297.54</v>
      </c>
      <c r="F90" s="14" t="n">
        <v>1252.69</v>
      </c>
      <c r="G90" s="15">
        <f>HYPERLINK("https://www.tradingview.com/chart/?symbol=NSE:AXISBANK","Chart 📈")</f>
        <v/>
      </c>
    </row>
    <row r="91" ht="16" customHeight="1">
      <c r="A91" s="16" t="inlineStr">
        <is>
          <t>NIFTY FINANCIAL SERVICES</t>
        </is>
      </c>
      <c r="B91" s="13" t="inlineStr">
        <is>
          <t>HDFCAMC</t>
        </is>
      </c>
      <c r="C91" s="14" t="n">
        <v>2766.4</v>
      </c>
      <c r="D91" s="14" t="n">
        <v>2587.11</v>
      </c>
      <c r="E91" s="14" t="n">
        <v>2563.96</v>
      </c>
      <c r="F91" s="14" t="n">
        <v>2585.63</v>
      </c>
      <c r="G91" s="15">
        <f>HYPERLINK("https://www.tradingview.com/chart/?symbol=NSE:HDFCAMC","Chart 📈")</f>
        <v/>
      </c>
    </row>
    <row r="92" ht="16" customHeight="1">
      <c r="A92" s="16" t="inlineStr">
        <is>
          <t>NIFTY FINANCIAL SERVICES</t>
        </is>
      </c>
      <c r="B92" s="13" t="inlineStr">
        <is>
          <t>ICICIBANK</t>
        </is>
      </c>
      <c r="C92" s="14" t="n">
        <v>1367.6</v>
      </c>
      <c r="D92" s="14" t="n">
        <v>1317.23</v>
      </c>
      <c r="E92" s="14" t="n">
        <v>1322.82</v>
      </c>
      <c r="F92" s="14" t="n">
        <v>1365.46</v>
      </c>
      <c r="G92" s="15">
        <f>HYPERLINK("https://www.tradingview.com/chart/?symbol=NSE:ICICIBANK","Chart 📈")</f>
        <v/>
      </c>
    </row>
    <row r="93" ht="16" customHeight="1">
      <c r="A93" s="16" t="inlineStr">
        <is>
          <t>NIFTY FINANCIAL SERVICES</t>
        </is>
      </c>
      <c r="B93" s="13" t="inlineStr">
        <is>
          <t>LICHSGFIN</t>
        </is>
      </c>
      <c r="C93" s="14" t="n">
        <v>559.05</v>
      </c>
      <c r="D93" s="14" t="n">
        <v>527.85</v>
      </c>
      <c r="E93" s="14" t="n">
        <v>521.59</v>
      </c>
      <c r="F93" s="14" t="n">
        <v>544.26</v>
      </c>
      <c r="G93" s="15">
        <f>HYPERLINK("https://www.tradingview.com/chart/?symbol=NSE:LICHSGFIN","Chart 📈")</f>
        <v/>
      </c>
    </row>
    <row r="94" ht="16" customHeight="1">
      <c r="A94" s="16" t="inlineStr">
        <is>
          <t>NIFTY FINANCIAL SERVICES</t>
        </is>
      </c>
      <c r="B94" s="13" t="inlineStr">
        <is>
          <t>MCX</t>
        </is>
      </c>
      <c r="C94" s="14" t="n">
        <v>2783.2</v>
      </c>
      <c r="D94" s="14" t="n">
        <v>2675.44</v>
      </c>
      <c r="E94" s="14" t="n">
        <v>2540.57</v>
      </c>
      <c r="F94" s="14" t="n">
        <v>2102.58</v>
      </c>
      <c r="G94" s="15">
        <f>HYPERLINK("https://www.tradingview.com/chart/?symbol=NSE:MCX","Chart 📈")</f>
        <v/>
      </c>
    </row>
    <row r="95" ht="16" customHeight="1">
      <c r="A95" s="16" t="inlineStr">
        <is>
          <t>NIFTY FINANCIAL SERVICES</t>
        </is>
      </c>
      <c r="B95" s="13" t="inlineStr">
        <is>
          <t>MUTHOOTFIN</t>
        </is>
      </c>
      <c r="C95" s="14" t="n">
        <v>3586.9</v>
      </c>
      <c r="D95" s="14" t="n">
        <v>3446.24</v>
      </c>
      <c r="E95" s="14" t="n">
        <v>3447.21</v>
      </c>
      <c r="F95" s="14" t="n">
        <v>3254.35</v>
      </c>
      <c r="G95" s="15">
        <f>HYPERLINK("https://www.tradingview.com/chart/?symbol=NSE:MUTHOOTFIN","Chart 📈")</f>
        <v/>
      </c>
    </row>
    <row r="96" ht="16" customHeight="1">
      <c r="A96" s="16" t="inlineStr">
        <is>
          <t>NIFTY FINANCIAL SERVICES</t>
        </is>
      </c>
      <c r="B96" s="13" t="inlineStr">
        <is>
          <t>PFC</t>
        </is>
      </c>
      <c r="C96" s="14" t="n">
        <v>470.3</v>
      </c>
      <c r="D96" s="14" t="n">
        <v>435.67</v>
      </c>
      <c r="E96" s="14" t="n">
        <v>414.74</v>
      </c>
      <c r="F96" s="14" t="n">
        <v>394.59</v>
      </c>
      <c r="G96" s="15">
        <f>HYPERLINK("https://www.tradingview.com/chart/?symbol=NSE:PFC","Chart 📈")</f>
        <v/>
      </c>
    </row>
    <row r="97" ht="16" customHeight="1">
      <c r="A97" s="16" t="inlineStr">
        <is>
          <t>NIFTY FINANCIAL SERVICES</t>
        </is>
      </c>
      <c r="B97" s="13" t="inlineStr">
        <is>
          <t>RECLTD</t>
        </is>
      </c>
      <c r="C97" s="14" t="n">
        <v>383.35</v>
      </c>
      <c r="D97" s="14" t="n">
        <v>352.83</v>
      </c>
      <c r="E97" s="14" t="n">
        <v>346.75</v>
      </c>
      <c r="F97" s="14" t="n">
        <v>358.84</v>
      </c>
      <c r="G97" s="15">
        <f>HYPERLINK("https://www.tradingview.com/chart/?symbol=NSE:RECLTD","Chart 📈")</f>
        <v/>
      </c>
    </row>
    <row r="98" ht="16" customHeight="1">
      <c r="A98" s="16" t="inlineStr">
        <is>
          <t>NIFTY FINANCIAL SERVICES</t>
        </is>
      </c>
      <c r="B98" s="13" t="inlineStr">
        <is>
          <t>SHRIRAMFIN</t>
        </is>
      </c>
      <c r="C98" s="14" t="n">
        <v>1044.55</v>
      </c>
      <c r="D98" s="14" t="n">
        <v>1001.36</v>
      </c>
      <c r="E98" s="14" t="n">
        <v>991.8</v>
      </c>
      <c r="F98" s="14" t="n">
        <v>873</v>
      </c>
      <c r="G98" s="15">
        <f>HYPERLINK("https://www.tradingview.com/chart/?symbol=NSE:SHRIRAMFIN","Chart 📈")</f>
        <v/>
      </c>
    </row>
    <row r="99" ht="16" customHeight="1">
      <c r="A99" s="8" t="inlineStr">
        <is>
          <t>NIFTY MIDSMALL IT &amp; TELECOM</t>
        </is>
      </c>
      <c r="B99" s="17" t="inlineStr">
        <is>
          <t>HFCL</t>
        </is>
      </c>
      <c r="C99" s="18" t="n">
        <v>100.37</v>
      </c>
      <c r="D99" s="18" t="n">
        <v>83.77</v>
      </c>
      <c r="E99" s="18" t="n">
        <v>76.61</v>
      </c>
      <c r="F99" s="18" t="n">
        <v>74.47</v>
      </c>
      <c r="G99" s="19">
        <f>HYPERLINK("https://www.tradingview.com/chart/?symbol=NSE:HFCL","Chart 📈")</f>
        <v/>
      </c>
    </row>
    <row r="100" ht="16" customHeight="1">
      <c r="A100" s="20" t="inlineStr">
        <is>
          <t>NIFTY MIDSMALL IT &amp; TELECOM</t>
        </is>
      </c>
      <c r="B100" s="17" t="inlineStr">
        <is>
          <t>OFSS</t>
        </is>
      </c>
      <c r="C100" s="18" t="n">
        <v>8126.5</v>
      </c>
      <c r="D100" s="18" t="n">
        <v>7385.88</v>
      </c>
      <c r="E100" s="18" t="n">
        <v>7212.65</v>
      </c>
      <c r="F100" s="18" t="n">
        <v>7704.04</v>
      </c>
      <c r="G100" s="19">
        <f>HYPERLINK("https://www.tradingview.com/chart/?symbol=NSE:OFSS","Chart 📈")</f>
        <v/>
      </c>
    </row>
    <row r="101" ht="16" customHeight="1">
      <c r="A101" s="12" t="inlineStr">
        <is>
          <t>NIFTY BANK</t>
        </is>
      </c>
      <c r="B101" s="13" t="inlineStr">
        <is>
          <t>AUBANK</t>
        </is>
      </c>
      <c r="C101" s="14" t="n">
        <v>1043.2</v>
      </c>
      <c r="D101" s="14" t="n">
        <v>962.84</v>
      </c>
      <c r="E101" s="14" t="n">
        <v>951.86</v>
      </c>
      <c r="F101" s="14" t="n">
        <v>883.1</v>
      </c>
      <c r="G101" s="15">
        <f>HYPERLINK("https://www.tradingview.com/chart/?symbol=NSE:AUBANK","Chart 📈")</f>
        <v/>
      </c>
    </row>
    <row r="102" ht="16" customHeight="1">
      <c r="A102" s="16" t="inlineStr">
        <is>
          <t>NIFTY BANK</t>
        </is>
      </c>
      <c r="B102" s="13" t="inlineStr">
        <is>
          <t>FEDERALBNK</t>
        </is>
      </c>
      <c r="C102" s="14" t="n">
        <v>296.45</v>
      </c>
      <c r="D102" s="14" t="n">
        <v>283.59</v>
      </c>
      <c r="E102" s="14" t="n">
        <v>278.67</v>
      </c>
      <c r="F102" s="14" t="n">
        <v>251.02</v>
      </c>
      <c r="G102" s="15">
        <f>HYPERLINK("https://www.tradingview.com/chart/?symbol=NSE:FEDERALBNK","Chart 📈")</f>
        <v/>
      </c>
    </row>
    <row r="103" ht="16" customHeight="1">
      <c r="A103" s="16" t="inlineStr">
        <is>
          <t>NIFTY BANK</t>
        </is>
      </c>
      <c r="B103" s="13" t="inlineStr">
        <is>
          <t>INDUSINDBK</t>
        </is>
      </c>
      <c r="C103" s="14" t="n">
        <v>870.1</v>
      </c>
      <c r="D103" s="14" t="n">
        <v>836.5599999999999</v>
      </c>
      <c r="E103" s="14" t="n">
        <v>852</v>
      </c>
      <c r="F103" s="14" t="n">
        <v>841.51</v>
      </c>
      <c r="G103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2026-04-22T16:57:57Z</dcterms:created>
  <dcterms:modified xsi:type="dcterms:W3CDTF">2026-04-22T16:57:57Z</dcterms:modified>
</cp:coreProperties>
</file>