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19-May-2026  14:08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17</v>
      </c>
      <c r="D4" s="5" t="n">
        <v>19</v>
      </c>
      <c r="E4" s="5" t="n">
        <v>19</v>
      </c>
      <c r="F4" s="6" t="n">
        <v>0.85</v>
      </c>
      <c r="G4" s="6" t="n">
        <v>0.95</v>
      </c>
      <c r="H4" s="6" t="n">
        <v>0.95</v>
      </c>
      <c r="I4" s="7" t="n">
        <v>0.9167000000000001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12</v>
      </c>
      <c r="E5" s="9" t="n">
        <v>12</v>
      </c>
      <c r="F5" s="10" t="n">
        <v>0.5329999999999999</v>
      </c>
      <c r="G5" s="10" t="n">
        <v>0.8</v>
      </c>
      <c r="H5" s="10" t="n">
        <v>0.8</v>
      </c>
      <c r="I5" s="11" t="n">
        <v>0.711</v>
      </c>
    </row>
    <row r="6" ht="17" customHeight="1">
      <c r="A6" s="4" t="inlineStr">
        <is>
          <t>NIFTY FMCG</t>
        </is>
      </c>
      <c r="B6" s="5" t="n">
        <v>15</v>
      </c>
      <c r="C6" s="5" t="n">
        <v>9</v>
      </c>
      <c r="D6" s="5" t="n">
        <v>8</v>
      </c>
      <c r="E6" s="5" t="n">
        <v>7</v>
      </c>
      <c r="F6" s="6" t="n">
        <v>0.6</v>
      </c>
      <c r="G6" s="6" t="n">
        <v>0.5329999999999999</v>
      </c>
      <c r="H6" s="6" t="n">
        <v>0.467</v>
      </c>
      <c r="I6" s="7" t="n">
        <v>0.5333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13</v>
      </c>
      <c r="D7" s="9" t="n">
        <v>11</v>
      </c>
      <c r="E7" s="9" t="n">
        <v>6</v>
      </c>
      <c r="F7" s="10" t="n">
        <v>0.65</v>
      </c>
      <c r="G7" s="10" t="n">
        <v>0.55</v>
      </c>
      <c r="H7" s="10" t="n">
        <v>0.3</v>
      </c>
      <c r="I7" s="11" t="n">
        <v>0.5</v>
      </c>
    </row>
    <row r="8" ht="17" customHeight="1">
      <c r="A8" s="4" t="inlineStr">
        <is>
          <t>NIFTY ENERGY</t>
        </is>
      </c>
      <c r="B8" s="5" t="n">
        <v>40</v>
      </c>
      <c r="C8" s="5" t="n">
        <v>12</v>
      </c>
      <c r="D8" s="5" t="n">
        <v>19</v>
      </c>
      <c r="E8" s="5" t="n">
        <v>22</v>
      </c>
      <c r="F8" s="6" t="n">
        <v>0.3</v>
      </c>
      <c r="G8" s="6" t="n">
        <v>0.475</v>
      </c>
      <c r="H8" s="6" t="n">
        <v>0.55</v>
      </c>
      <c r="I8" s="7" t="n">
        <v>0.4417</v>
      </c>
    </row>
    <row r="9" ht="17" customHeight="1">
      <c r="A9" s="8" t="inlineStr">
        <is>
          <t>NIFTY MEDIA</t>
        </is>
      </c>
      <c r="B9" s="9" t="n">
        <v>10</v>
      </c>
      <c r="C9" s="9" t="n">
        <v>3</v>
      </c>
      <c r="D9" s="9" t="n">
        <v>5</v>
      </c>
      <c r="E9" s="9" t="n">
        <v>3</v>
      </c>
      <c r="F9" s="10" t="n">
        <v>0.3</v>
      </c>
      <c r="G9" s="10" t="n">
        <v>0.5</v>
      </c>
      <c r="H9" s="10" t="n">
        <v>0.3</v>
      </c>
      <c r="I9" s="11" t="n">
        <v>0.3667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6</v>
      </c>
      <c r="D10" s="5" t="n">
        <v>6</v>
      </c>
      <c r="E10" s="5" t="n">
        <v>3</v>
      </c>
      <c r="F10" s="6" t="n">
        <v>0.4</v>
      </c>
      <c r="G10" s="6" t="n">
        <v>0.4</v>
      </c>
      <c r="H10" s="6" t="n">
        <v>0.2</v>
      </c>
      <c r="I10" s="7" t="n">
        <v>0.3333</v>
      </c>
    </row>
    <row r="11" ht="17" customHeight="1">
      <c r="A11" s="8" t="inlineStr">
        <is>
          <t>NIFTY AUTO</t>
        </is>
      </c>
      <c r="B11" s="9" t="n">
        <v>15</v>
      </c>
      <c r="C11" s="9" t="n">
        <v>4</v>
      </c>
      <c r="D11" s="9" t="n">
        <v>6</v>
      </c>
      <c r="E11" s="9" t="n">
        <v>4</v>
      </c>
      <c r="F11" s="10" t="n">
        <v>0.267</v>
      </c>
      <c r="G11" s="10" t="n">
        <v>0.4</v>
      </c>
      <c r="H11" s="10" t="n">
        <v>0.267</v>
      </c>
      <c r="I11" s="11" t="n">
        <v>0.3113</v>
      </c>
    </row>
    <row r="12" ht="17" customHeight="1">
      <c r="A12" s="4" t="inlineStr">
        <is>
          <t>NIFTY REALTY</t>
        </is>
      </c>
      <c r="B12" s="5" t="n">
        <v>10</v>
      </c>
      <c r="C12" s="5" t="n">
        <v>2</v>
      </c>
      <c r="D12" s="5" t="n">
        <v>4</v>
      </c>
      <c r="E12" s="5" t="n">
        <v>2</v>
      </c>
      <c r="F12" s="6" t="n">
        <v>0.2</v>
      </c>
      <c r="G12" s="6" t="n">
        <v>0.4</v>
      </c>
      <c r="H12" s="6" t="n">
        <v>0.2</v>
      </c>
      <c r="I12" s="7" t="n">
        <v>0.2667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3</v>
      </c>
      <c r="D13" s="9" t="n">
        <v>4</v>
      </c>
      <c r="E13" s="9" t="n">
        <v>4</v>
      </c>
      <c r="F13" s="10" t="n">
        <v>0.2</v>
      </c>
      <c r="G13" s="10" t="n">
        <v>0.267</v>
      </c>
      <c r="H13" s="10" t="n">
        <v>0.267</v>
      </c>
      <c r="I13" s="11" t="n">
        <v>0.2447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5</v>
      </c>
      <c r="D14" s="5" t="n">
        <v>4</v>
      </c>
      <c r="E14" s="5" t="n">
        <v>5</v>
      </c>
      <c r="F14" s="6" t="n">
        <v>0.25</v>
      </c>
      <c r="G14" s="6" t="n">
        <v>0.2</v>
      </c>
      <c r="H14" s="6" t="n">
        <v>0.25</v>
      </c>
      <c r="I14" s="7" t="n">
        <v>0.2333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2</v>
      </c>
      <c r="E15" s="9" t="n">
        <v>3</v>
      </c>
      <c r="F15" s="10" t="n">
        <v>0</v>
      </c>
      <c r="G15" s="10" t="n">
        <v>0.167</v>
      </c>
      <c r="H15" s="10" t="n">
        <v>0.25</v>
      </c>
      <c r="I15" s="11" t="n">
        <v>0.139</v>
      </c>
    </row>
    <row r="16" ht="17" customHeight="1">
      <c r="A16" s="4" t="inlineStr">
        <is>
          <t>NIFTY IT</t>
        </is>
      </c>
      <c r="B16" s="5" t="n">
        <v>10</v>
      </c>
      <c r="C16" s="5" t="n">
        <v>2</v>
      </c>
      <c r="D16" s="5" t="n">
        <v>1</v>
      </c>
      <c r="E16" s="5" t="n">
        <v>0</v>
      </c>
      <c r="F16" s="6" t="n">
        <v>0.2</v>
      </c>
      <c r="G16" s="6" t="n">
        <v>0.1</v>
      </c>
      <c r="H16" s="6" t="n">
        <v>0</v>
      </c>
      <c r="I16" s="7" t="n">
        <v>0.1</v>
      </c>
    </row>
    <row r="17" ht="17" customHeight="1">
      <c r="A17" s="8" t="inlineStr">
        <is>
          <t>NIFTY PSU BANK</t>
        </is>
      </c>
      <c r="B17" s="9" t="n">
        <v>12</v>
      </c>
      <c r="C17" s="9" t="n">
        <v>0</v>
      </c>
      <c r="D17" s="9" t="n">
        <v>1</v>
      </c>
      <c r="E17" s="9" t="n">
        <v>1</v>
      </c>
      <c r="F17" s="10" t="n">
        <v>0</v>
      </c>
      <c r="G17" s="10" t="n">
        <v>0.083</v>
      </c>
      <c r="H17" s="10" t="n">
        <v>0.083</v>
      </c>
      <c r="I17" s="11" t="n">
        <v>0.0553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3248.2</v>
      </c>
      <c r="D3" s="14" t="n">
        <v>3035.92</v>
      </c>
      <c r="E3" s="14" t="n">
        <v>2938.72</v>
      </c>
      <c r="F3" s="14" t="n">
        <v>2767.86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1512.8</v>
      </c>
      <c r="D4" s="14" t="n">
        <v>1455.44</v>
      </c>
      <c r="E4" s="14" t="n">
        <v>1380.88</v>
      </c>
      <c r="F4" s="14" t="n">
        <v>1248.74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BIOCON</t>
        </is>
      </c>
      <c r="C5" s="14" t="n">
        <v>428.15</v>
      </c>
      <c r="D5" s="14" t="n">
        <v>392.43</v>
      </c>
      <c r="E5" s="14" t="n">
        <v>379.82</v>
      </c>
      <c r="F5" s="14" t="n">
        <v>372.85</v>
      </c>
      <c r="G5" s="15">
        <f>HYPERLINK("https://www.tradingview.com/chart/?symbol=NSE:BIOCON","Chart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1409.8</v>
      </c>
      <c r="D6" s="14" t="n">
        <v>1344.58</v>
      </c>
      <c r="E6" s="14" t="n">
        <v>1319.63</v>
      </c>
      <c r="F6" s="14" t="n">
        <v>1395.94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6912</v>
      </c>
      <c r="D7" s="14" t="n">
        <v>6625.7</v>
      </c>
      <c r="E7" s="14" t="n">
        <v>6425.97</v>
      </c>
      <c r="F7" s="14" t="n">
        <v>6359.28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1335.2</v>
      </c>
      <c r="D8" s="14" t="n">
        <v>1298.2</v>
      </c>
      <c r="E8" s="14" t="n">
        <v>1281.78</v>
      </c>
      <c r="F8" s="14" t="n">
        <v>1261.37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2251.1</v>
      </c>
      <c r="D9" s="14" t="n">
        <v>1891.25</v>
      </c>
      <c r="E9" s="14" t="n">
        <v>1813.17</v>
      </c>
      <c r="F9" s="14" t="n">
        <v>1768.44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2405.9</v>
      </c>
      <c r="D10" s="14" t="n">
        <v>2328.04</v>
      </c>
      <c r="E10" s="14" t="n">
        <v>2250.8</v>
      </c>
      <c r="F10" s="14" t="n">
        <v>2033.66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766.45</v>
      </c>
      <c r="D11" s="14" t="n">
        <v>717.25</v>
      </c>
      <c r="E11" s="14" t="n">
        <v>672.24</v>
      </c>
      <c r="F11" s="14" t="n">
        <v>594.0599999999999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1656.2</v>
      </c>
      <c r="D12" s="14" t="n">
        <v>1557.88</v>
      </c>
      <c r="E12" s="14" t="n">
        <v>1527.37</v>
      </c>
      <c r="F12" s="14" t="n">
        <v>1465.43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2171.6</v>
      </c>
      <c r="D13" s="14" t="n">
        <v>2103.75</v>
      </c>
      <c r="E13" s="14" t="n">
        <v>2054.88</v>
      </c>
      <c r="F13" s="14" t="n">
        <v>1894.26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1344.9</v>
      </c>
      <c r="D14" s="14" t="n">
        <v>1220.58</v>
      </c>
      <c r="E14" s="14" t="n">
        <v>1138.67</v>
      </c>
      <c r="F14" s="14" t="n">
        <v>992.5700000000001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MANKIND</t>
        </is>
      </c>
      <c r="C15" s="14" t="n">
        <v>2492.6</v>
      </c>
      <c r="D15" s="14" t="n">
        <v>2356.78</v>
      </c>
      <c r="E15" s="14" t="n">
        <v>2249.29</v>
      </c>
      <c r="F15" s="14" t="n">
        <v>2274.86</v>
      </c>
      <c r="G15" s="15">
        <f>HYPERLINK("https://www.tradingview.com/chart/?symbol=NSE:MANKIND","Chart 📈")</f>
        <v/>
      </c>
    </row>
    <row r="16" ht="16" customHeight="1">
      <c r="A16" s="16" t="inlineStr">
        <is>
          <t>NIFTY PHARMA</t>
        </is>
      </c>
      <c r="B16" s="13" t="inlineStr">
        <is>
          <t>SUNPHARMA</t>
        </is>
      </c>
      <c r="C16" s="14" t="n">
        <v>1882.3</v>
      </c>
      <c r="D16" s="14" t="n">
        <v>1820.96</v>
      </c>
      <c r="E16" s="14" t="n">
        <v>1776.26</v>
      </c>
      <c r="F16" s="14" t="n">
        <v>1725.32</v>
      </c>
      <c r="G16" s="15">
        <f>HYPERLINK("https://www.tradingview.com/chart/?symbol=NSE:SUNPHARMA","Chart 📈")</f>
        <v/>
      </c>
    </row>
    <row r="17" ht="16" customHeight="1">
      <c r="A17" s="16" t="inlineStr">
        <is>
          <t>NIFTY PHARMA</t>
        </is>
      </c>
      <c r="B17" s="13" t="inlineStr">
        <is>
          <t>TORNTPHARM</t>
        </is>
      </c>
      <c r="C17" s="14" t="n">
        <v>4460.1</v>
      </c>
      <c r="D17" s="14" t="n">
        <v>4322.84</v>
      </c>
      <c r="E17" s="14" t="n">
        <v>4243.14</v>
      </c>
      <c r="F17" s="14" t="n">
        <v>3929.46</v>
      </c>
      <c r="G17" s="15">
        <f>HYPERLINK("https://www.tradingview.com/chart/?symbol=NSE:TORNTPHARM","Chart 📈")</f>
        <v/>
      </c>
    </row>
    <row r="18" ht="16" customHeight="1">
      <c r="A18" s="16" t="inlineStr">
        <is>
          <t>NIFTY PHARMA</t>
        </is>
      </c>
      <c r="B18" s="13" t="inlineStr">
        <is>
          <t>ZYDUSLIFE</t>
        </is>
      </c>
      <c r="C18" s="14" t="n">
        <v>1018.9</v>
      </c>
      <c r="D18" s="14" t="n">
        <v>951.08</v>
      </c>
      <c r="E18" s="14" t="n">
        <v>928.72</v>
      </c>
      <c r="F18" s="14" t="n">
        <v>927.5700000000001</v>
      </c>
      <c r="G18" s="15">
        <f>HYPERLINK("https://www.tradingview.com/chart/?symbol=NSE:ZYDUSLIFE","Chart 📈")</f>
        <v/>
      </c>
    </row>
    <row r="19" ht="16" customHeight="1">
      <c r="A19" s="8" t="inlineStr">
        <is>
          <t>NIFTY METAL</t>
        </is>
      </c>
      <c r="B19" s="17" t="inlineStr">
        <is>
          <t>ADANIENT</t>
        </is>
      </c>
      <c r="C19" s="18" t="n">
        <v>2725</v>
      </c>
      <c r="D19" s="18" t="n">
        <v>2483.88</v>
      </c>
      <c r="E19" s="18" t="n">
        <v>2310.17</v>
      </c>
      <c r="F19" s="18" t="n">
        <v>2290.78</v>
      </c>
      <c r="G19" s="19">
        <f>HYPERLINK("https://www.tradingview.com/chart/?symbol=NSE:ADANIENT","Chart 📈")</f>
        <v/>
      </c>
    </row>
    <row r="20" ht="16" customHeight="1">
      <c r="A20" s="20" t="inlineStr">
        <is>
          <t>NIFTY METAL</t>
        </is>
      </c>
      <c r="B20" s="17" t="inlineStr">
        <is>
          <t>HINDALCO</t>
        </is>
      </c>
      <c r="C20" s="18" t="n">
        <v>1048.3</v>
      </c>
      <c r="D20" s="18" t="n">
        <v>1043.88</v>
      </c>
      <c r="E20" s="18" t="n">
        <v>1003.51</v>
      </c>
      <c r="F20" s="18" t="n">
        <v>883.6799999999999</v>
      </c>
      <c r="G20" s="19">
        <f>HYPERLINK("https://www.tradingview.com/chart/?symbol=NSE:HINDALCO","Chart 📈")</f>
        <v/>
      </c>
    </row>
    <row r="21" ht="16" customHeight="1">
      <c r="A21" s="20" t="inlineStr">
        <is>
          <t>NIFTY METAL</t>
        </is>
      </c>
      <c r="B21" s="17" t="inlineStr">
        <is>
          <t>HINDCOPPER</t>
        </is>
      </c>
      <c r="C21" s="18" t="n">
        <v>569.5</v>
      </c>
      <c r="D21" s="18" t="n">
        <v>562.45</v>
      </c>
      <c r="E21" s="18" t="n">
        <v>546.12</v>
      </c>
      <c r="F21" s="18" t="n">
        <v>451.64</v>
      </c>
      <c r="G21" s="19">
        <f>HYPERLINK("https://www.tradingview.com/chart/?symbol=NSE:HINDCOPPER","Chart 📈")</f>
        <v/>
      </c>
    </row>
    <row r="22" ht="16" customHeight="1">
      <c r="A22" s="20" t="inlineStr">
        <is>
          <t>NIFTY METAL</t>
        </is>
      </c>
      <c r="B22" s="17" t="inlineStr">
        <is>
          <t>HINDZINC</t>
        </is>
      </c>
      <c r="C22" s="18" t="n">
        <v>632.6</v>
      </c>
      <c r="D22" s="18" t="n">
        <v>620.5</v>
      </c>
      <c r="E22" s="18" t="n">
        <v>595.03</v>
      </c>
      <c r="F22" s="18" t="n">
        <v>542.98</v>
      </c>
      <c r="G22" s="19">
        <f>HYPERLINK("https://www.tradingview.com/chart/?symbol=NSE:HINDZINC","Chart 📈")</f>
        <v/>
      </c>
    </row>
    <row r="23" ht="16" customHeight="1">
      <c r="A23" s="20" t="inlineStr">
        <is>
          <t>NIFTY METAL</t>
        </is>
      </c>
      <c r="B23" s="17" t="inlineStr">
        <is>
          <t>JSWSTEEL</t>
        </is>
      </c>
      <c r="C23" s="18" t="n">
        <v>1285.2</v>
      </c>
      <c r="D23" s="18" t="n">
        <v>1266.22</v>
      </c>
      <c r="E23" s="18" t="n">
        <v>1238.15</v>
      </c>
      <c r="F23" s="18" t="n">
        <v>1169.07</v>
      </c>
      <c r="G23" s="19">
        <f>HYPERLINK("https://www.tradingview.com/chart/?symbol=NSE:JSWSTEEL","Chart 📈")</f>
        <v/>
      </c>
    </row>
    <row r="24" ht="16" customHeight="1">
      <c r="A24" s="20" t="inlineStr">
        <is>
          <t>NIFTY METAL</t>
        </is>
      </c>
      <c r="B24" s="17" t="inlineStr">
        <is>
          <t>NMDC</t>
        </is>
      </c>
      <c r="C24" s="18" t="n">
        <v>89.02</v>
      </c>
      <c r="D24" s="18" t="n">
        <v>88.98999999999999</v>
      </c>
      <c r="E24" s="18" t="n">
        <v>85.94</v>
      </c>
      <c r="F24" s="18" t="n">
        <v>78.59999999999999</v>
      </c>
      <c r="G24" s="19">
        <f>HYPERLINK("https://www.tradingview.com/chart/?symbol=NSE:NMDC","Chart 📈")</f>
        <v/>
      </c>
    </row>
    <row r="25" ht="16" customHeight="1">
      <c r="A25" s="20" t="inlineStr">
        <is>
          <t>NIFTY METAL</t>
        </is>
      </c>
      <c r="B25" s="17" t="inlineStr">
        <is>
          <t>SAIL</t>
        </is>
      </c>
      <c r="C25" s="18" t="n">
        <v>199.05</v>
      </c>
      <c r="D25" s="18" t="n">
        <v>185.85</v>
      </c>
      <c r="E25" s="18" t="n">
        <v>174.23</v>
      </c>
      <c r="F25" s="18" t="n">
        <v>151.36</v>
      </c>
      <c r="G25" s="19">
        <f>HYPERLINK("https://www.tradingview.com/chart/?symbol=NSE:SAIL","Chart 📈")</f>
        <v/>
      </c>
    </row>
    <row r="26" ht="16" customHeight="1">
      <c r="A26" s="20" t="inlineStr">
        <is>
          <t>NIFTY METAL</t>
        </is>
      </c>
      <c r="B26" s="17" t="inlineStr">
        <is>
          <t>WELCORP</t>
        </is>
      </c>
      <c r="C26" s="18" t="n">
        <v>1280.7</v>
      </c>
      <c r="D26" s="18" t="n">
        <v>1246.77</v>
      </c>
      <c r="E26" s="18" t="n">
        <v>1100.21</v>
      </c>
      <c r="F26" s="18" t="n">
        <v>920.75</v>
      </c>
      <c r="G26" s="19">
        <f>HYPERLINK("https://www.tradingview.com/chart/?symbol=NSE:WELCORP","Chart 📈")</f>
        <v/>
      </c>
    </row>
    <row r="27" ht="16" customHeight="1">
      <c r="A27" s="12" t="inlineStr">
        <is>
          <t>NIFTY FMCG</t>
        </is>
      </c>
      <c r="B27" s="13" t="inlineStr">
        <is>
          <t>BALRAMCHIN</t>
        </is>
      </c>
      <c r="C27" s="14" t="n">
        <v>550.45</v>
      </c>
      <c r="D27" s="14" t="n">
        <v>527.63</v>
      </c>
      <c r="E27" s="14" t="n">
        <v>506.87</v>
      </c>
      <c r="F27" s="14" t="n">
        <v>493.81</v>
      </c>
      <c r="G27" s="15">
        <f>HYPERLINK("https://www.tradingview.com/chart/?symbol=NSE:BALRAMCHIN","Chart 📈")</f>
        <v/>
      </c>
    </row>
    <row r="28" ht="16" customHeight="1">
      <c r="A28" s="16" t="inlineStr">
        <is>
          <t>NIFTY FMCG</t>
        </is>
      </c>
      <c r="B28" s="13" t="inlineStr">
        <is>
          <t>COLPAL</t>
        </is>
      </c>
      <c r="C28" s="14" t="n">
        <v>2188.3</v>
      </c>
      <c r="D28" s="14" t="n">
        <v>2129.1</v>
      </c>
      <c r="E28" s="14" t="n">
        <v>2091.49</v>
      </c>
      <c r="F28" s="14" t="n">
        <v>2176.38</v>
      </c>
      <c r="G28" s="15">
        <f>HYPERLINK("https://www.tradingview.com/chart/?symbol=NSE:COLPAL","Chart 📈")</f>
        <v/>
      </c>
    </row>
    <row r="29" ht="16" customHeight="1">
      <c r="A29" s="16" t="inlineStr">
        <is>
          <t>NIFTY FMCG</t>
        </is>
      </c>
      <c r="B29" s="13" t="inlineStr">
        <is>
          <t>MARICO</t>
        </is>
      </c>
      <c r="C29" s="14" t="n">
        <v>831.45</v>
      </c>
      <c r="D29" s="14" t="n">
        <v>811.24</v>
      </c>
      <c r="E29" s="14" t="n">
        <v>787.47</v>
      </c>
      <c r="F29" s="14" t="n">
        <v>752.63</v>
      </c>
      <c r="G29" s="15">
        <f>HYPERLINK("https://www.tradingview.com/chart/?symbol=NSE:MARICO","Chart 📈")</f>
        <v/>
      </c>
    </row>
    <row r="30" ht="16" customHeight="1">
      <c r="A30" s="16" t="inlineStr">
        <is>
          <t>NIFTY FMCG</t>
        </is>
      </c>
      <c r="B30" s="13" t="inlineStr">
        <is>
          <t>NESTLEIND</t>
        </is>
      </c>
      <c r="C30" s="14" t="n">
        <v>1431.4</v>
      </c>
      <c r="D30" s="14" t="n">
        <v>1426.09</v>
      </c>
      <c r="E30" s="14" t="n">
        <v>1361.23</v>
      </c>
      <c r="F30" s="14" t="n">
        <v>1275.92</v>
      </c>
      <c r="G30" s="15">
        <f>HYPERLINK("https://www.tradingview.com/chart/?symbol=NSE:NESTLEIND","Chart 📈")</f>
        <v/>
      </c>
    </row>
    <row r="31" ht="16" customHeight="1">
      <c r="A31" s="16" t="inlineStr">
        <is>
          <t>NIFTY FMCG</t>
        </is>
      </c>
      <c r="B31" s="13" t="inlineStr">
        <is>
          <t>RADICO</t>
        </is>
      </c>
      <c r="C31" s="14" t="n">
        <v>3599.9</v>
      </c>
      <c r="D31" s="14" t="n">
        <v>3369.77</v>
      </c>
      <c r="E31" s="14" t="n">
        <v>3157.39</v>
      </c>
      <c r="F31" s="14" t="n">
        <v>2965.98</v>
      </c>
      <c r="G31" s="15">
        <f>HYPERLINK("https://www.tradingview.com/chart/?symbol=NSE:RADICO","Chart 📈")</f>
        <v/>
      </c>
    </row>
    <row r="32" ht="16" customHeight="1">
      <c r="A32" s="16" t="inlineStr">
        <is>
          <t>NIFTY FMCG</t>
        </is>
      </c>
      <c r="B32" s="13" t="inlineStr">
        <is>
          <t>TATACONSUM</t>
        </is>
      </c>
      <c r="C32" s="14" t="n">
        <v>1210.9</v>
      </c>
      <c r="D32" s="14" t="n">
        <v>1187.86</v>
      </c>
      <c r="E32" s="14" t="n">
        <v>1152.84</v>
      </c>
      <c r="F32" s="14" t="n">
        <v>1138.26</v>
      </c>
      <c r="G32" s="15">
        <f>HYPERLINK("https://www.tradingview.com/chart/?symbol=NSE:TATACONSUM","Chart 📈")</f>
        <v/>
      </c>
    </row>
    <row r="33" ht="16" customHeight="1">
      <c r="A33" s="16" t="inlineStr">
        <is>
          <t>NIFTY FMCG</t>
        </is>
      </c>
      <c r="B33" s="13" t="inlineStr">
        <is>
          <t>VBL</t>
        </is>
      </c>
      <c r="C33" s="14" t="n">
        <v>514.8</v>
      </c>
      <c r="D33" s="14" t="n">
        <v>496.35</v>
      </c>
      <c r="E33" s="14" t="n">
        <v>474.65</v>
      </c>
      <c r="F33" s="14" t="n">
        <v>468.01</v>
      </c>
      <c r="G33" s="15">
        <f>HYPERLINK("https://www.tradingview.com/chart/?symbol=NSE:VBL","Chart 📈")</f>
        <v/>
      </c>
    </row>
    <row r="34" ht="16" customHeight="1">
      <c r="A34" s="8" t="inlineStr">
        <is>
          <t>NIFTY MIDSMALL IT &amp; TELECOM</t>
        </is>
      </c>
      <c r="B34" s="17" t="inlineStr">
        <is>
          <t>HFCL</t>
        </is>
      </c>
      <c r="C34" s="18" t="n">
        <v>138.17</v>
      </c>
      <c r="D34" s="18" t="n">
        <v>129.36</v>
      </c>
      <c r="E34" s="18" t="n">
        <v>106.66</v>
      </c>
      <c r="F34" s="18" t="n">
        <v>84.55</v>
      </c>
      <c r="G34" s="19">
        <f>HYPERLINK("https://www.tradingview.com/chart/?symbol=NSE:HFCL","Chart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IDEA</t>
        </is>
      </c>
      <c r="C35" s="18" t="n">
        <v>13.52</v>
      </c>
      <c r="D35" s="18" t="n">
        <v>11.53</v>
      </c>
      <c r="E35" s="18" t="n">
        <v>10.68</v>
      </c>
      <c r="F35" s="18" t="n">
        <v>9.699999999999999</v>
      </c>
      <c r="G35" s="19">
        <f>HYPERLINK("https://www.tradingview.com/chart/?symbol=NSE:IDEA","Chart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INDUSTOWER</t>
        </is>
      </c>
      <c r="C36" s="18" t="n">
        <v>430.7</v>
      </c>
      <c r="D36" s="18" t="n">
        <v>416.6</v>
      </c>
      <c r="E36" s="18" t="n">
        <v>421.2</v>
      </c>
      <c r="F36" s="18" t="n">
        <v>412.12</v>
      </c>
      <c r="G36" s="19">
        <f>HYPERLINK("https://www.tradingview.com/chart/?symbol=NSE:INDUSTOWER","Chart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OFSS</t>
        </is>
      </c>
      <c r="C37" s="18" t="n">
        <v>9646</v>
      </c>
      <c r="D37" s="18" t="n">
        <v>8942.540000000001</v>
      </c>
      <c r="E37" s="18" t="n">
        <v>8197.700000000001</v>
      </c>
      <c r="F37" s="18" t="n">
        <v>7839.12</v>
      </c>
      <c r="G37" s="19">
        <f>HYPERLINK("https://www.tradingview.com/chart/?symbol=NSE:OFSS","Chart 📈")</f>
        <v/>
      </c>
    </row>
    <row r="38" ht="16" customHeight="1">
      <c r="A38" s="20" t="inlineStr">
        <is>
          <t>NIFTY MIDSMALL IT &amp; TELECOM</t>
        </is>
      </c>
      <c r="B38" s="17" t="inlineStr">
        <is>
          <t>TATACOMM</t>
        </is>
      </c>
      <c r="C38" s="18" t="n">
        <v>1646.6</v>
      </c>
      <c r="D38" s="18" t="n">
        <v>1589.8</v>
      </c>
      <c r="E38" s="18" t="n">
        <v>1563.56</v>
      </c>
      <c r="F38" s="18" t="n">
        <v>1631.06</v>
      </c>
      <c r="G38" s="19">
        <f>HYPERLINK("https://www.tradingview.com/chart/?symbol=NSE:TATACOMM","Chart 📈")</f>
        <v/>
      </c>
    </row>
    <row r="39" ht="16" customHeight="1">
      <c r="A39" s="20" t="inlineStr">
        <is>
          <t>NIFTY MIDSMALL IT &amp; TELECOM</t>
        </is>
      </c>
      <c r="B39" s="17" t="inlineStr">
        <is>
          <t>TATATECH</t>
        </is>
      </c>
      <c r="C39" s="18" t="n">
        <v>668.55</v>
      </c>
      <c r="D39" s="18" t="n">
        <v>611.65</v>
      </c>
      <c r="E39" s="18" t="n">
        <v>595.95</v>
      </c>
      <c r="F39" s="18" t="n">
        <v>637.09</v>
      </c>
      <c r="G39" s="19">
        <f>HYPERLINK("https://www.tradingview.com/chart/?symbol=NSE:TATATECH","Chart 📈")</f>
        <v/>
      </c>
    </row>
    <row r="40" ht="16" customHeight="1">
      <c r="A40" s="12" t="inlineStr">
        <is>
          <t>NIFTY ENERGY</t>
        </is>
      </c>
      <c r="B40" s="13" t="inlineStr">
        <is>
          <t>ADANIENSOL</t>
        </is>
      </c>
      <c r="C40" s="14" t="n">
        <v>1329.5</v>
      </c>
      <c r="D40" s="14" t="n">
        <v>1313.07</v>
      </c>
      <c r="E40" s="14" t="n">
        <v>1212.22</v>
      </c>
      <c r="F40" s="14" t="n">
        <v>1034.44</v>
      </c>
      <c r="G40" s="15">
        <f>HYPERLINK("https://www.tradingview.com/chart/?symbol=NSE:ADANIENSOL","Chart 📈")</f>
        <v/>
      </c>
    </row>
    <row r="41" ht="16" customHeight="1">
      <c r="A41" s="16" t="inlineStr">
        <is>
          <t>NIFTY ENERGY</t>
        </is>
      </c>
      <c r="B41" s="13" t="inlineStr">
        <is>
          <t>ADANIGREEN</t>
        </is>
      </c>
      <c r="C41" s="14" t="n">
        <v>1377.8</v>
      </c>
      <c r="D41" s="14" t="n">
        <v>1294.93</v>
      </c>
      <c r="E41" s="14" t="n">
        <v>1160.36</v>
      </c>
      <c r="F41" s="14" t="n">
        <v>1038.78</v>
      </c>
      <c r="G41" s="15">
        <f>HYPERLINK("https://www.tradingview.com/chart/?symbol=NSE:ADANIGREEN","Chart 📈")</f>
        <v/>
      </c>
    </row>
    <row r="42" ht="16" customHeight="1">
      <c r="A42" s="16" t="inlineStr">
        <is>
          <t>NIFTY ENERGY</t>
        </is>
      </c>
      <c r="B42" s="13" t="inlineStr">
        <is>
          <t>ADANIPOWER</t>
        </is>
      </c>
      <c r="C42" s="14" t="n">
        <v>219.09</v>
      </c>
      <c r="D42" s="14" t="n">
        <v>214.7</v>
      </c>
      <c r="E42" s="14" t="n">
        <v>193.67</v>
      </c>
      <c r="F42" s="14" t="n">
        <v>157.29</v>
      </c>
      <c r="G42" s="15">
        <f>HYPERLINK("https://www.tradingview.com/chart/?symbol=NSE:ADANIPOWER","Chart 📈")</f>
        <v/>
      </c>
    </row>
    <row r="43" ht="16" customHeight="1">
      <c r="A43" s="16" t="inlineStr">
        <is>
          <t>NIFTY ENERGY</t>
        </is>
      </c>
      <c r="B43" s="13" t="inlineStr">
        <is>
          <t>BHEL</t>
        </is>
      </c>
      <c r="C43" s="14" t="n">
        <v>401.1</v>
      </c>
      <c r="D43" s="14" t="n">
        <v>374.19</v>
      </c>
      <c r="E43" s="14" t="n">
        <v>332.13</v>
      </c>
      <c r="F43" s="14" t="n">
        <v>282.03</v>
      </c>
      <c r="G43" s="15">
        <f>HYPERLINK("https://www.tradingview.com/chart/?symbol=NSE:BHEL","Chart 📈")</f>
        <v/>
      </c>
    </row>
    <row r="44" ht="16" customHeight="1">
      <c r="A44" s="16" t="inlineStr">
        <is>
          <t>NIFTY ENERGY</t>
        </is>
      </c>
      <c r="B44" s="13" t="inlineStr">
        <is>
          <t>CESC</t>
        </is>
      </c>
      <c r="C44" s="14" t="n">
        <v>181.06</v>
      </c>
      <c r="D44" s="14" t="n">
        <v>180.32</v>
      </c>
      <c r="E44" s="14" t="n">
        <v>172.58</v>
      </c>
      <c r="F44" s="14" t="n">
        <v>165.59</v>
      </c>
      <c r="G44" s="15">
        <f>HYPERLINK("https://www.tradingview.com/chart/?symbol=NSE:CESC","Chart 📈")</f>
        <v/>
      </c>
    </row>
    <row r="45" ht="16" customHeight="1">
      <c r="A45" s="16" t="inlineStr">
        <is>
          <t>NIFTY ENERGY</t>
        </is>
      </c>
      <c r="B45" s="13" t="inlineStr">
        <is>
          <t>GVT&amp;D</t>
        </is>
      </c>
      <c r="C45" s="14" t="n">
        <v>4385.3</v>
      </c>
      <c r="D45" s="14" t="n">
        <v>4376.92</v>
      </c>
      <c r="E45" s="14" t="n">
        <v>4126.85</v>
      </c>
      <c r="F45" s="14" t="n">
        <v>3362.19</v>
      </c>
      <c r="G45" s="15">
        <f>HYPERLINK("https://www.tradingview.com/chart/?symbol=NSE:GVT&amp;D","Chart 📈")</f>
        <v/>
      </c>
    </row>
    <row r="46" ht="16" customHeight="1">
      <c r="A46" s="16" t="inlineStr">
        <is>
          <t>NIFTY ENERGY</t>
        </is>
      </c>
      <c r="B46" s="13" t="inlineStr">
        <is>
          <t>JPPOWER</t>
        </is>
      </c>
      <c r="C46" s="14" t="n">
        <v>18.84</v>
      </c>
      <c r="D46" s="14" t="n">
        <v>18.64</v>
      </c>
      <c r="E46" s="14" t="n">
        <v>17.72</v>
      </c>
      <c r="F46" s="14" t="n">
        <v>17.12</v>
      </c>
      <c r="G46" s="15">
        <f>HYPERLINK("https://www.tradingview.com/chart/?symbol=NSE:JPPOWER","Chart 📈")</f>
        <v/>
      </c>
    </row>
    <row r="47" ht="16" customHeight="1">
      <c r="A47" s="16" t="inlineStr">
        <is>
          <t>NIFTY ENERGY</t>
        </is>
      </c>
      <c r="B47" s="13" t="inlineStr">
        <is>
          <t>NLCINDIA</t>
        </is>
      </c>
      <c r="C47" s="14" t="n">
        <v>358.35</v>
      </c>
      <c r="D47" s="14" t="n">
        <v>326.19</v>
      </c>
      <c r="E47" s="14" t="n">
        <v>301.17</v>
      </c>
      <c r="F47" s="14" t="n">
        <v>266.21</v>
      </c>
      <c r="G47" s="15">
        <f>HYPERLINK("https://www.tradingview.com/chart/?symbol=NSE:NLCINDIA","Chart 📈")</f>
        <v/>
      </c>
    </row>
    <row r="48" ht="16" customHeight="1">
      <c r="A48" s="16" t="inlineStr">
        <is>
          <t>NIFTY ENERGY</t>
        </is>
      </c>
      <c r="B48" s="13" t="inlineStr">
        <is>
          <t>POWERINDIA</t>
        </is>
      </c>
      <c r="C48" s="14" t="n">
        <v>33360</v>
      </c>
      <c r="D48" s="14" t="n">
        <v>32144.46</v>
      </c>
      <c r="E48" s="14" t="n">
        <v>29311.34</v>
      </c>
      <c r="F48" s="14" t="n">
        <v>23238.6</v>
      </c>
      <c r="G48" s="15">
        <f>HYPERLINK("https://www.tradingview.com/chart/?symbol=NSE:POWERINDIA","Chart 📈")</f>
        <v/>
      </c>
    </row>
    <row r="49" ht="16" customHeight="1">
      <c r="A49" s="16" t="inlineStr">
        <is>
          <t>NIFTY ENERGY</t>
        </is>
      </c>
      <c r="B49" s="13" t="inlineStr">
        <is>
          <t>SCHNEIDER</t>
        </is>
      </c>
      <c r="C49" s="14" t="n">
        <v>1244.7</v>
      </c>
      <c r="D49" s="14" t="n">
        <v>1223.97</v>
      </c>
      <c r="E49" s="14" t="n">
        <v>1095.18</v>
      </c>
      <c r="F49" s="14" t="n">
        <v>891.65</v>
      </c>
      <c r="G49" s="15">
        <f>HYPERLINK("https://www.tradingview.com/chart/?symbol=NSE:SCHNEIDER","Chart 📈")</f>
        <v/>
      </c>
    </row>
    <row r="50" ht="16" customHeight="1">
      <c r="A50" s="16" t="inlineStr">
        <is>
          <t>NIFTY ENERGY</t>
        </is>
      </c>
      <c r="B50" s="13" t="inlineStr">
        <is>
          <t>THERMAX</t>
        </is>
      </c>
      <c r="C50" s="14" t="n">
        <v>4416.6</v>
      </c>
      <c r="D50" s="14" t="n">
        <v>4260.83</v>
      </c>
      <c r="E50" s="14" t="n">
        <v>3880.13</v>
      </c>
      <c r="F50" s="14" t="n">
        <v>3421.32</v>
      </c>
      <c r="G50" s="15">
        <f>HYPERLINK("https://www.tradingview.com/chart/?symbol=NSE:THERMAX","Chart 📈")</f>
        <v/>
      </c>
    </row>
    <row r="51" ht="16" customHeight="1">
      <c r="A51" s="16" t="inlineStr">
        <is>
          <t>NIFTY ENERGY</t>
        </is>
      </c>
      <c r="B51" s="13" t="inlineStr">
        <is>
          <t>TRITURBINE</t>
        </is>
      </c>
      <c r="C51" s="14" t="n">
        <v>638.05</v>
      </c>
      <c r="D51" s="14" t="n">
        <v>572.24</v>
      </c>
      <c r="E51" s="14" t="n">
        <v>537.29</v>
      </c>
      <c r="F51" s="14" t="n">
        <v>529.34</v>
      </c>
      <c r="G51" s="15">
        <f>HYPERLINK("https://www.tradingview.com/chart/?symbol=NSE:TRITURBINE","Chart 📈")</f>
        <v/>
      </c>
    </row>
    <row r="52" ht="16" customHeight="1">
      <c r="A52" s="8" t="inlineStr">
        <is>
          <t>NIFTY MEDIA</t>
        </is>
      </c>
      <c r="B52" s="17" t="inlineStr">
        <is>
          <t>NAZARA</t>
        </is>
      </c>
      <c r="C52" s="18" t="n">
        <v>294.95</v>
      </c>
      <c r="D52" s="18" t="n">
        <v>273.62</v>
      </c>
      <c r="E52" s="18" t="n">
        <v>264.97</v>
      </c>
      <c r="F52" s="18" t="n">
        <v>272.51</v>
      </c>
      <c r="G52" s="19">
        <f>HYPERLINK("https://www.tradingview.com/chart/?symbol=NSE:NAZARA","Chart 📈")</f>
        <v/>
      </c>
    </row>
    <row r="53" ht="16" customHeight="1">
      <c r="A53" s="20" t="inlineStr">
        <is>
          <t>NIFTY MEDIA</t>
        </is>
      </c>
      <c r="B53" s="17" t="inlineStr">
        <is>
          <t>SAREGAMA</t>
        </is>
      </c>
      <c r="C53" s="18" t="n">
        <v>394.3</v>
      </c>
      <c r="D53" s="18" t="n">
        <v>361.29</v>
      </c>
      <c r="E53" s="18" t="n">
        <v>350.3</v>
      </c>
      <c r="F53" s="18" t="n">
        <v>388.28</v>
      </c>
      <c r="G53" s="19">
        <f>HYPERLINK("https://www.tradingview.com/chart/?symbol=NSE:SAREGAMA","Chart 📈")</f>
        <v/>
      </c>
    </row>
    <row r="54" ht="16" customHeight="1">
      <c r="A54" s="20" t="inlineStr">
        <is>
          <t>NIFTY MEDIA</t>
        </is>
      </c>
      <c r="B54" s="17" t="inlineStr">
        <is>
          <t>TIPSMUSIC</t>
        </is>
      </c>
      <c r="C54" s="18" t="n">
        <v>651.65</v>
      </c>
      <c r="D54" s="18" t="n">
        <v>632.95</v>
      </c>
      <c r="E54" s="18" t="n">
        <v>597.74</v>
      </c>
      <c r="F54" s="18" t="n">
        <v>569.76</v>
      </c>
      <c r="G54" s="19">
        <f>HYPERLINK("https://www.tradingview.com/chart/?symbol=NSE:TIPSMUSIC","Chart 📈")</f>
        <v/>
      </c>
    </row>
    <row r="55" ht="16" customHeight="1">
      <c r="A55" s="12" t="inlineStr">
        <is>
          <t>NIFTY OIL &amp; GAS</t>
        </is>
      </c>
      <c r="B55" s="13" t="inlineStr">
        <is>
          <t>ATGL</t>
        </is>
      </c>
      <c r="C55" s="14" t="n">
        <v>623.3</v>
      </c>
      <c r="D55" s="14" t="n">
        <v>616.48</v>
      </c>
      <c r="E55" s="14" t="n">
        <v>592.75</v>
      </c>
      <c r="F55" s="14" t="n">
        <v>591.8200000000001</v>
      </c>
      <c r="G55" s="15">
        <f>HYPERLINK("https://www.tradingview.com/chart/?symbol=NSE:ATGL","Chart 📈")</f>
        <v/>
      </c>
    </row>
    <row r="56" ht="16" customHeight="1">
      <c r="A56" s="16" t="inlineStr">
        <is>
          <t>NIFTY OIL &amp; GAS</t>
        </is>
      </c>
      <c r="B56" s="13" t="inlineStr">
        <is>
          <t>OIL</t>
        </is>
      </c>
      <c r="C56" s="14" t="n">
        <v>501.7</v>
      </c>
      <c r="D56" s="14" t="n">
        <v>486.83</v>
      </c>
      <c r="E56" s="14" t="n">
        <v>477.25</v>
      </c>
      <c r="F56" s="14" t="n">
        <v>447.48</v>
      </c>
      <c r="G56" s="15">
        <f>HYPERLINK("https://www.tradingview.com/chart/?symbol=NSE:OIL","Chart 📈")</f>
        <v/>
      </c>
    </row>
    <row r="57" ht="16" customHeight="1">
      <c r="A57" s="16" t="inlineStr">
        <is>
          <t>NIFTY OIL &amp; GAS</t>
        </is>
      </c>
      <c r="B57" s="13" t="inlineStr">
        <is>
          <t>ONGC</t>
        </is>
      </c>
      <c r="C57" s="14" t="n">
        <v>296.5</v>
      </c>
      <c r="D57" s="14" t="n">
        <v>291.49</v>
      </c>
      <c r="E57" s="14" t="n">
        <v>283.44</v>
      </c>
      <c r="F57" s="14" t="n">
        <v>258.08</v>
      </c>
      <c r="G57" s="15">
        <f>HYPERLINK("https://www.tradingview.com/chart/?symbol=NSE:ONGC","Chart 📈")</f>
        <v/>
      </c>
    </row>
    <row r="58" ht="16" customHeight="1">
      <c r="A58" s="8" t="inlineStr">
        <is>
          <t>NIFTY AUTO</t>
        </is>
      </c>
      <c r="B58" s="17" t="inlineStr">
        <is>
          <t>BAJAJ-AUTO</t>
        </is>
      </c>
      <c r="C58" s="18" t="n">
        <v>10205</v>
      </c>
      <c r="D58" s="18" t="n">
        <v>10128.56</v>
      </c>
      <c r="E58" s="18" t="n">
        <v>9825.18</v>
      </c>
      <c r="F58" s="18" t="n">
        <v>9320.860000000001</v>
      </c>
      <c r="G58" s="19">
        <f>HYPERLINK("https://www.tradingview.com/chart/?symbol=NSE:BAJAJ-AUTO","Chart 📈")</f>
        <v/>
      </c>
    </row>
    <row r="59" ht="16" customHeight="1">
      <c r="A59" s="20" t="inlineStr">
        <is>
          <t>NIFTY AUTO</t>
        </is>
      </c>
      <c r="B59" s="17" t="inlineStr">
        <is>
          <t>BOSCHLTD</t>
        </is>
      </c>
      <c r="C59" s="18" t="n">
        <v>37130</v>
      </c>
      <c r="D59" s="18" t="n">
        <v>36715.09</v>
      </c>
      <c r="E59" s="18" t="n">
        <v>35814.38</v>
      </c>
      <c r="F59" s="18" t="n">
        <v>35570.08</v>
      </c>
      <c r="G59" s="19">
        <f>HYPERLINK("https://www.tradingview.com/chart/?symbol=NSE:BOSCHLTD","Chart 📈")</f>
        <v/>
      </c>
    </row>
    <row r="60" ht="16" customHeight="1">
      <c r="A60" s="20" t="inlineStr">
        <is>
          <t>NIFTY AUTO</t>
        </is>
      </c>
      <c r="B60" s="17" t="inlineStr">
        <is>
          <t>MOTHERSON</t>
        </is>
      </c>
      <c r="C60" s="18" t="n">
        <v>131.49</v>
      </c>
      <c r="D60" s="18" t="n">
        <v>126.14</v>
      </c>
      <c r="E60" s="18" t="n">
        <v>123</v>
      </c>
      <c r="F60" s="18" t="n">
        <v>114.95</v>
      </c>
      <c r="G60" s="19">
        <f>HYPERLINK("https://www.tradingview.com/chart/?symbol=NSE:MOTHERSON","Chart 📈")</f>
        <v/>
      </c>
    </row>
    <row r="61" ht="16" customHeight="1">
      <c r="A61" s="12" t="inlineStr">
        <is>
          <t>NIFTY REALTY</t>
        </is>
      </c>
      <c r="B61" s="13" t="inlineStr">
        <is>
          <t>RAYMOND</t>
        </is>
      </c>
      <c r="C61" s="14" t="n">
        <v>520.05</v>
      </c>
      <c r="D61" s="14" t="n">
        <v>469.57</v>
      </c>
      <c r="E61" s="14" t="n">
        <v>438.57</v>
      </c>
      <c r="F61" s="14" t="n">
        <v>477.89</v>
      </c>
      <c r="G61" s="15">
        <f>HYPERLINK("https://www.tradingview.com/chart/?symbol=NSE:RAYMOND","Chart 📈")</f>
        <v/>
      </c>
    </row>
    <row r="62" ht="16" customHeight="1">
      <c r="A62" s="8" t="inlineStr">
        <is>
          <t>NIFTY CONSUMER DURABLES</t>
        </is>
      </c>
      <c r="B62" s="17" t="inlineStr">
        <is>
          <t>CERA</t>
        </is>
      </c>
      <c r="C62" s="18" t="n">
        <v>5773.5</v>
      </c>
      <c r="D62" s="18" t="n">
        <v>5534.76</v>
      </c>
      <c r="E62" s="18" t="n">
        <v>5303.8</v>
      </c>
      <c r="F62" s="18" t="n">
        <v>5516.02</v>
      </c>
      <c r="G62" s="19">
        <f>HYPERLINK("https://www.tradingview.com/chart/?symbol=NSE:CERA","Chart 📈")</f>
        <v/>
      </c>
    </row>
    <row r="63" ht="16" customHeight="1">
      <c r="A63" s="20" t="inlineStr">
        <is>
          <t>NIFTY CONSUMER DURABLES</t>
        </is>
      </c>
      <c r="B63" s="17" t="inlineStr">
        <is>
          <t>CROMPTON</t>
        </is>
      </c>
      <c r="C63" s="18" t="n">
        <v>293.6</v>
      </c>
      <c r="D63" s="18" t="n">
        <v>280.02</v>
      </c>
      <c r="E63" s="18" t="n">
        <v>266.44</v>
      </c>
      <c r="F63" s="18" t="n">
        <v>276.28</v>
      </c>
      <c r="G63" s="19">
        <f>HYPERLINK("https://www.tradingview.com/chart/?symbol=NSE:CROMPTON","Chart 📈")</f>
        <v/>
      </c>
    </row>
    <row r="64" ht="16" customHeight="1">
      <c r="A64" s="12" t="inlineStr">
        <is>
          <t>NIFTY FINANCIAL SERVICES</t>
        </is>
      </c>
      <c r="B64" s="13" t="inlineStr">
        <is>
          <t>MCX</t>
        </is>
      </c>
      <c r="C64" s="14" t="n">
        <v>3414.7</v>
      </c>
      <c r="D64" s="14" t="n">
        <v>3091.43</v>
      </c>
      <c r="E64" s="14" t="n">
        <v>2840.27</v>
      </c>
      <c r="F64" s="14" t="n">
        <v>2278.08</v>
      </c>
      <c r="G64" s="15">
        <f>HYPERLINK("https://www.tradingview.com/chart/?symbol=NSE:MCX","Chart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2026-05-19T14:08:07Z</dcterms:created>
  <dcterms:modified xsi:type="dcterms:W3CDTF">2026-05-19T14:08:07Z</dcterms:modified>
</cp:coreProperties>
</file>