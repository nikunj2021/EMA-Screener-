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31-Jul-2026  13:04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14</v>
      </c>
      <c r="D4" s="5" t="n">
        <v>14</v>
      </c>
      <c r="E4" s="5" t="n">
        <v>12</v>
      </c>
      <c r="F4" s="6" t="n">
        <v>0.9329999999999999</v>
      </c>
      <c r="G4" s="6" t="n">
        <v>0.9329999999999999</v>
      </c>
      <c r="H4" s="6" t="n">
        <v>0.8</v>
      </c>
      <c r="I4" s="7" t="n">
        <v>0.8887</v>
      </c>
    </row>
    <row r="5" ht="17" customHeight="1">
      <c r="A5" s="8" t="inlineStr">
        <is>
          <t>NIFTY PHARMA</t>
        </is>
      </c>
      <c r="B5" s="9" t="n">
        <v>20</v>
      </c>
      <c r="C5" s="9" t="n">
        <v>13</v>
      </c>
      <c r="D5" s="9" t="n">
        <v>17</v>
      </c>
      <c r="E5" s="9" t="n">
        <v>18</v>
      </c>
      <c r="F5" s="10" t="n">
        <v>0.65</v>
      </c>
      <c r="G5" s="10" t="n">
        <v>0.85</v>
      </c>
      <c r="H5" s="10" t="n">
        <v>0.9</v>
      </c>
      <c r="I5" s="11" t="n">
        <v>0.8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8</v>
      </c>
      <c r="E6" s="5" t="n">
        <v>8</v>
      </c>
      <c r="F6" s="6" t="n">
        <v>0.5</v>
      </c>
      <c r="G6" s="6" t="n">
        <v>0.8</v>
      </c>
      <c r="H6" s="6" t="n">
        <v>0.8</v>
      </c>
      <c r="I6" s="7" t="n">
        <v>0.7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11</v>
      </c>
      <c r="D7" s="9" t="n">
        <v>11</v>
      </c>
      <c r="E7" s="9" t="n">
        <v>6</v>
      </c>
      <c r="F7" s="10" t="n">
        <v>0.733</v>
      </c>
      <c r="G7" s="10" t="n">
        <v>0.733</v>
      </c>
      <c r="H7" s="10" t="n">
        <v>0.4</v>
      </c>
      <c r="I7" s="11" t="n">
        <v>0.622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13</v>
      </c>
      <c r="D8" s="5" t="n">
        <v>11</v>
      </c>
      <c r="E8" s="5" t="n">
        <v>11</v>
      </c>
      <c r="F8" s="6" t="n">
        <v>0.65</v>
      </c>
      <c r="G8" s="6" t="n">
        <v>0.55</v>
      </c>
      <c r="H8" s="6" t="n">
        <v>0.55</v>
      </c>
      <c r="I8" s="7" t="n">
        <v>0.5832999999999999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13</v>
      </c>
      <c r="D9" s="9" t="n">
        <v>12</v>
      </c>
      <c r="E9" s="9" t="n">
        <v>9</v>
      </c>
      <c r="F9" s="10" t="n">
        <v>0.65</v>
      </c>
      <c r="G9" s="10" t="n">
        <v>0.6</v>
      </c>
      <c r="H9" s="10" t="n">
        <v>0.45</v>
      </c>
      <c r="I9" s="11" t="n">
        <v>0.5667</v>
      </c>
    </row>
    <row r="10" ht="17" customHeight="1">
      <c r="A10" s="4" t="inlineStr">
        <is>
          <t>NIFTY METAL</t>
        </is>
      </c>
      <c r="B10" s="5" t="n">
        <v>15</v>
      </c>
      <c r="C10" s="5" t="n">
        <v>11</v>
      </c>
      <c r="D10" s="5" t="n">
        <v>5</v>
      </c>
      <c r="E10" s="5" t="n">
        <v>9</v>
      </c>
      <c r="F10" s="6" t="n">
        <v>0.733</v>
      </c>
      <c r="G10" s="6" t="n">
        <v>0.333</v>
      </c>
      <c r="H10" s="6" t="n">
        <v>0.6</v>
      </c>
      <c r="I10" s="7" t="n">
        <v>0.5553</v>
      </c>
    </row>
    <row r="11" ht="17" customHeight="1">
      <c r="A11" s="8" t="inlineStr">
        <is>
          <t>NIFTY MEDIA</t>
        </is>
      </c>
      <c r="B11" s="9" t="n">
        <v>10</v>
      </c>
      <c r="C11" s="9" t="n">
        <v>5</v>
      </c>
      <c r="D11" s="9" t="n">
        <v>5</v>
      </c>
      <c r="E11" s="9" t="n">
        <v>5</v>
      </c>
      <c r="F11" s="10" t="n">
        <v>0.5</v>
      </c>
      <c r="G11" s="10" t="n">
        <v>0.5</v>
      </c>
      <c r="H11" s="10" t="n">
        <v>0.5</v>
      </c>
      <c r="I11" s="11" t="n">
        <v>0.5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8</v>
      </c>
      <c r="D12" s="5" t="n">
        <v>7</v>
      </c>
      <c r="E12" s="5" t="n">
        <v>6</v>
      </c>
      <c r="F12" s="6" t="n">
        <v>0.5329999999999999</v>
      </c>
      <c r="G12" s="6" t="n">
        <v>0.467</v>
      </c>
      <c r="H12" s="6" t="n">
        <v>0.4</v>
      </c>
      <c r="I12" s="7" t="n">
        <v>0.4667</v>
      </c>
    </row>
    <row r="13" ht="17" customHeight="1">
      <c r="A13" s="8" t="inlineStr">
        <is>
          <t>NIFTY FMCG</t>
        </is>
      </c>
      <c r="B13" s="9" t="n">
        <v>15</v>
      </c>
      <c r="C13" s="9" t="n">
        <v>7</v>
      </c>
      <c r="D13" s="9" t="n">
        <v>9</v>
      </c>
      <c r="E13" s="9" t="n">
        <v>5</v>
      </c>
      <c r="F13" s="10" t="n">
        <v>0.467</v>
      </c>
      <c r="G13" s="10" t="n">
        <v>0.6</v>
      </c>
      <c r="H13" s="10" t="n">
        <v>0.333</v>
      </c>
      <c r="I13" s="11" t="n">
        <v>0.4667</v>
      </c>
    </row>
    <row r="14" ht="17" customHeight="1">
      <c r="A14" s="4" t="inlineStr">
        <is>
          <t>NIFTY IT</t>
        </is>
      </c>
      <c r="B14" s="5" t="n">
        <v>10</v>
      </c>
      <c r="C14" s="5" t="n">
        <v>5</v>
      </c>
      <c r="D14" s="5" t="n">
        <v>5</v>
      </c>
      <c r="E14" s="5" t="n">
        <v>2</v>
      </c>
      <c r="F14" s="6" t="n">
        <v>0.5</v>
      </c>
      <c r="G14" s="6" t="n">
        <v>0.5</v>
      </c>
      <c r="H14" s="6" t="n">
        <v>0.2</v>
      </c>
      <c r="I14" s="7" t="n">
        <v>0.4</v>
      </c>
    </row>
    <row r="15" ht="17" customHeight="1">
      <c r="A15" s="8" t="inlineStr">
        <is>
          <t>NIFTY PSU BANK</t>
        </is>
      </c>
      <c r="B15" s="9" t="n">
        <v>12</v>
      </c>
      <c r="C15" s="9" t="n">
        <v>4</v>
      </c>
      <c r="D15" s="9" t="n">
        <v>4</v>
      </c>
      <c r="E15" s="9" t="n">
        <v>5</v>
      </c>
      <c r="F15" s="10" t="n">
        <v>0.333</v>
      </c>
      <c r="G15" s="10" t="n">
        <v>0.333</v>
      </c>
      <c r="H15" s="10" t="n">
        <v>0.417</v>
      </c>
      <c r="I15" s="11" t="n">
        <v>0.361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7</v>
      </c>
      <c r="D17" s="9" t="n">
        <v>8</v>
      </c>
      <c r="E17" s="9" t="n">
        <v>16</v>
      </c>
      <c r="F17" s="10" t="n">
        <v>0.175</v>
      </c>
      <c r="G17" s="10" t="n">
        <v>0.2</v>
      </c>
      <c r="H17" s="10" t="n">
        <v>0.4</v>
      </c>
      <c r="I17" s="11" t="n">
        <v>0.2583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ASHOKLEY</t>
        </is>
      </c>
      <c r="C3" s="14" t="n">
        <v>166.18</v>
      </c>
      <c r="D3" s="14" t="n">
        <v>156.97</v>
      </c>
      <c r="E3" s="14" t="n">
        <v>157.35</v>
      </c>
      <c r="F3" s="14" t="n">
        <v>157.79</v>
      </c>
      <c r="G3" s="15">
        <f>HYPERLINK("https://www.tradingview.com/chart/?symbol=NSE:ASHOKLEY","Chart 📈")</f>
        <v/>
      </c>
    </row>
    <row r="4" ht="16" customHeight="1">
      <c r="A4" s="16" t="inlineStr">
        <is>
          <t>NIFTY AUTO</t>
        </is>
      </c>
      <c r="B4" s="13" t="inlineStr">
        <is>
          <t>BAJAJ-AUTO</t>
        </is>
      </c>
      <c r="C4" s="14" t="n">
        <v>11520.5</v>
      </c>
      <c r="D4" s="14" t="n">
        <v>10814.37</v>
      </c>
      <c r="E4" s="14" t="n">
        <v>10413.25</v>
      </c>
      <c r="F4" s="14" t="n">
        <v>9637.559999999999</v>
      </c>
      <c r="G4" s="15">
        <f>HYPERLINK("https://www.tradingview.com/chart/?symbol=NSE:BAJAJ-AUTO","Chart 📈")</f>
        <v/>
      </c>
    </row>
    <row r="5" ht="16" customHeight="1">
      <c r="A5" s="16" t="inlineStr">
        <is>
          <t>NIFTY AUTO</t>
        </is>
      </c>
      <c r="B5" s="13" t="inlineStr">
        <is>
          <t>BALKRISIND</t>
        </is>
      </c>
      <c r="C5" s="14" t="n">
        <v>2473.5</v>
      </c>
      <c r="D5" s="14" t="n">
        <v>2150.53</v>
      </c>
      <c r="E5" s="14" t="n">
        <v>2163.99</v>
      </c>
      <c r="F5" s="14" t="n">
        <v>2275.65</v>
      </c>
      <c r="G5" s="15">
        <f>HYPERLINK("https://www.tradingview.com/chart/?symbol=NSE:BALKRISIND","Chart 📈")</f>
        <v/>
      </c>
    </row>
    <row r="6" ht="16" customHeight="1">
      <c r="A6" s="16" t="inlineStr">
        <is>
          <t>NIFTY AUTO</t>
        </is>
      </c>
      <c r="B6" s="13" t="inlineStr">
        <is>
          <t>BHARATFORG</t>
        </is>
      </c>
      <c r="C6" s="14" t="n">
        <v>2199.8</v>
      </c>
      <c r="D6" s="14" t="n">
        <v>2152.2</v>
      </c>
      <c r="E6" s="14" t="n">
        <v>2076.48</v>
      </c>
      <c r="F6" s="14" t="n">
        <v>1767.31</v>
      </c>
      <c r="G6" s="15">
        <f>HYPERLINK("https://www.tradingview.com/chart/?symbol=NSE:BHARATFORG","Chart 📈")</f>
        <v/>
      </c>
    </row>
    <row r="7" ht="16" customHeight="1">
      <c r="A7" s="16" t="inlineStr">
        <is>
          <t>NIFTY AUTO</t>
        </is>
      </c>
      <c r="B7" s="13" t="inlineStr">
        <is>
          <t>EICHERMOT</t>
        </is>
      </c>
      <c r="C7" s="14" t="n">
        <v>7833.5</v>
      </c>
      <c r="D7" s="14" t="n">
        <v>7555.25</v>
      </c>
      <c r="E7" s="14" t="n">
        <v>7394.36</v>
      </c>
      <c r="F7" s="14" t="n">
        <v>7040.06</v>
      </c>
      <c r="G7" s="15">
        <f>HYPERLINK("https://www.tradingview.com/chart/?symbol=NSE:EICHERMOT","Chart 📈")</f>
        <v/>
      </c>
    </row>
    <row r="8" ht="16" customHeight="1">
      <c r="A8" s="16" t="inlineStr">
        <is>
          <t>NIFTY AUTO</t>
        </is>
      </c>
      <c r="B8" s="13" t="inlineStr">
        <is>
          <t>EXIDEIND</t>
        </is>
      </c>
      <c r="C8" s="14" t="n">
        <v>449.8</v>
      </c>
      <c r="D8" s="14" t="n">
        <v>429.53</v>
      </c>
      <c r="E8" s="14" t="n">
        <v>406.55</v>
      </c>
      <c r="F8" s="14" t="n">
        <v>373.7</v>
      </c>
      <c r="G8" s="15">
        <f>HYPERLINK("https://www.tradingview.com/chart/?symbol=NSE:EXIDEIND","Chart 📈")</f>
        <v/>
      </c>
    </row>
    <row r="9" ht="16" customHeight="1">
      <c r="A9" s="16" t="inlineStr">
        <is>
          <t>NIFTY AUTO</t>
        </is>
      </c>
      <c r="B9" s="13" t="inlineStr">
        <is>
          <t>HEROMOTOCO</t>
        </is>
      </c>
      <c r="C9" s="14" t="n">
        <v>5386</v>
      </c>
      <c r="D9" s="14" t="n">
        <v>5031.75</v>
      </c>
      <c r="E9" s="14" t="n">
        <v>4968.85</v>
      </c>
      <c r="F9" s="14" t="n">
        <v>5040.99</v>
      </c>
      <c r="G9" s="15">
        <f>HYPERLINK("https://www.tradingview.com/chart/?symbol=NSE:HEROMOTOCO","Chart 📈")</f>
        <v/>
      </c>
    </row>
    <row r="10" ht="16" customHeight="1">
      <c r="A10" s="16" t="inlineStr">
        <is>
          <t>NIFTY AUTO</t>
        </is>
      </c>
      <c r="B10" s="13" t="inlineStr">
        <is>
          <t>M&amp;M</t>
        </is>
      </c>
      <c r="C10" s="14" t="n">
        <v>3398.5</v>
      </c>
      <c r="D10" s="14" t="n">
        <v>3199.51</v>
      </c>
      <c r="E10" s="14" t="n">
        <v>3147.98</v>
      </c>
      <c r="F10" s="14" t="n">
        <v>3228.78</v>
      </c>
      <c r="G10" s="15">
        <f>HYPERLINK("https://www.tradingview.com/chart/?symbol=NSE:M&amp;M","Chart 📈")</f>
        <v/>
      </c>
    </row>
    <row r="11" ht="16" customHeight="1">
      <c r="A11" s="16" t="inlineStr">
        <is>
          <t>NIFTY AUTO</t>
        </is>
      </c>
      <c r="B11" s="13" t="inlineStr">
        <is>
          <t>MARUTI</t>
        </is>
      </c>
      <c r="C11" s="14" t="n">
        <v>14234</v>
      </c>
      <c r="D11" s="14" t="n">
        <v>13801.91</v>
      </c>
      <c r="E11" s="14" t="n">
        <v>13679.67</v>
      </c>
      <c r="F11" s="14" t="n">
        <v>13957.75</v>
      </c>
      <c r="G11" s="15">
        <f>HYPERLINK("https://www.tradingview.com/chart/?symbol=NSE:MARUTI","Chart 📈")</f>
        <v/>
      </c>
    </row>
    <row r="12" ht="16" customHeight="1">
      <c r="A12" s="16" t="inlineStr">
        <is>
          <t>NIFTY AUTO</t>
        </is>
      </c>
      <c r="B12" s="13" t="inlineStr">
        <is>
          <t>MOTHERSON</t>
        </is>
      </c>
      <c r="C12" s="14" t="n">
        <v>150.75</v>
      </c>
      <c r="D12" s="14" t="n">
        <v>145.77</v>
      </c>
      <c r="E12" s="14" t="n">
        <v>142.35</v>
      </c>
      <c r="F12" s="14" t="n">
        <v>126.71</v>
      </c>
      <c r="G12" s="15">
        <f>HYPERLINK("https://www.tradingview.com/chart/?symbol=NSE:MOTHERSON","Chart 📈")</f>
        <v/>
      </c>
    </row>
    <row r="13" ht="16" customHeight="1">
      <c r="A13" s="16" t="inlineStr">
        <is>
          <t>NIFTY AUTO</t>
        </is>
      </c>
      <c r="B13" s="13" t="inlineStr">
        <is>
          <t>TVSMOTOR</t>
        </is>
      </c>
      <c r="C13" s="14" t="n">
        <v>4313.1</v>
      </c>
      <c r="D13" s="14" t="n">
        <v>3848.73</v>
      </c>
      <c r="E13" s="14" t="n">
        <v>3678.17</v>
      </c>
      <c r="F13" s="14" t="n">
        <v>3523.75</v>
      </c>
      <c r="G13" s="15">
        <f>HYPERLINK("https://www.tradingview.com/chart/?symbol=NSE:TVSMOTOR","Chart 📈")</f>
        <v/>
      </c>
    </row>
    <row r="14" ht="16" customHeight="1">
      <c r="A14" s="8" t="inlineStr">
        <is>
          <t>NIFTY PHARMA</t>
        </is>
      </c>
      <c r="B14" s="17" t="inlineStr">
        <is>
          <t>ABBOTINDIA</t>
        </is>
      </c>
      <c r="C14" s="18" t="n">
        <v>27800</v>
      </c>
      <c r="D14" s="18" t="n">
        <v>27252.43</v>
      </c>
      <c r="E14" s="18" t="n">
        <v>26596.8</v>
      </c>
      <c r="F14" s="18" t="n">
        <v>27277.33</v>
      </c>
      <c r="G14" s="19">
        <f>HYPERLINK("https://www.tradingview.com/chart/?symbol=NSE:ABBOTINDIA","Chart 📈")</f>
        <v/>
      </c>
    </row>
    <row r="15" ht="16" customHeight="1">
      <c r="A15" s="20" t="inlineStr">
        <is>
          <t>NIFTY PHARMA</t>
        </is>
      </c>
      <c r="B15" s="17" t="inlineStr">
        <is>
          <t>AJANTPHARM</t>
        </is>
      </c>
      <c r="C15" s="18" t="n">
        <v>3465.2</v>
      </c>
      <c r="D15" s="18" t="n">
        <v>3389.3</v>
      </c>
      <c r="E15" s="18" t="n">
        <v>3270.19</v>
      </c>
      <c r="F15" s="18" t="n">
        <v>2975.44</v>
      </c>
      <c r="G15" s="19">
        <f>HYPERLINK("https://www.tradingview.com/chart/?symbol=NSE:AJANTPHARM","Chart 📈")</f>
        <v/>
      </c>
    </row>
    <row r="16" ht="16" customHeight="1">
      <c r="A16" s="20" t="inlineStr">
        <is>
          <t>NIFTY PHARMA</t>
        </is>
      </c>
      <c r="B16" s="17" t="inlineStr">
        <is>
          <t>ALKEM</t>
        </is>
      </c>
      <c r="C16" s="18" t="n">
        <v>5751.5</v>
      </c>
      <c r="D16" s="18" t="n">
        <v>5634.91</v>
      </c>
      <c r="E16" s="18" t="n">
        <v>5550.53</v>
      </c>
      <c r="F16" s="18" t="n">
        <v>5454.99</v>
      </c>
      <c r="G16" s="19">
        <f>HYPERLINK("https://www.tradingview.com/chart/?symbol=NSE:ALKEM","Chart 📈")</f>
        <v/>
      </c>
    </row>
    <row r="17" ht="16" customHeight="1">
      <c r="A17" s="20" t="inlineStr">
        <is>
          <t>NIFTY PHARMA</t>
        </is>
      </c>
      <c r="B17" s="17" t="inlineStr">
        <is>
          <t>AUROPHARMA</t>
        </is>
      </c>
      <c r="C17" s="18" t="n">
        <v>1580.2</v>
      </c>
      <c r="D17" s="18" t="n">
        <v>1554.27</v>
      </c>
      <c r="E17" s="18" t="n">
        <v>1517.67</v>
      </c>
      <c r="F17" s="18" t="n">
        <v>1356.52</v>
      </c>
      <c r="G17" s="19">
        <f>HYPERLINK("https://www.tradingview.com/chart/?symbol=NSE:AUROPHARMA","Chart 📈")</f>
        <v/>
      </c>
    </row>
    <row r="18" ht="16" customHeight="1">
      <c r="A18" s="20" t="inlineStr">
        <is>
          <t>NIFTY PHARMA</t>
        </is>
      </c>
      <c r="B18" s="17" t="inlineStr">
        <is>
          <t>CIPLA</t>
        </is>
      </c>
      <c r="C18" s="18" t="n">
        <v>1473.2</v>
      </c>
      <c r="D18" s="18" t="n">
        <v>1437.24</v>
      </c>
      <c r="E18" s="18" t="n">
        <v>1412.94</v>
      </c>
      <c r="F18" s="18" t="n">
        <v>1403.43</v>
      </c>
      <c r="G18" s="19">
        <f>HYPERLINK("https://www.tradingview.com/chart/?symbol=NSE:CIPLA","Chart 📈")</f>
        <v/>
      </c>
    </row>
    <row r="19" ht="16" customHeight="1">
      <c r="A19" s="20" t="inlineStr">
        <is>
          <t>NIFTY PHARMA</t>
        </is>
      </c>
      <c r="B19" s="17" t="inlineStr">
        <is>
          <t>DIVISLAB</t>
        </is>
      </c>
      <c r="C19" s="18" t="n">
        <v>8056</v>
      </c>
      <c r="D19" s="18" t="n">
        <v>7318.15</v>
      </c>
      <c r="E19" s="18" t="n">
        <v>6986.28</v>
      </c>
      <c r="F19" s="18" t="n">
        <v>6575.69</v>
      </c>
      <c r="G19" s="19">
        <f>HYPERLINK("https://www.tradingview.com/chart/?symbol=NSE:DIVISLAB","Chart 📈")</f>
        <v/>
      </c>
    </row>
    <row r="20" ht="16" customHeight="1">
      <c r="A20" s="20" t="inlineStr">
        <is>
          <t>NIFTY PHARMA</t>
        </is>
      </c>
      <c r="B20" s="17" t="inlineStr">
        <is>
          <t>GLAND</t>
        </is>
      </c>
      <c r="C20" s="18" t="n">
        <v>2502.9</v>
      </c>
      <c r="D20" s="18" t="n">
        <v>2449.15</v>
      </c>
      <c r="E20" s="18" t="n">
        <v>2337.94</v>
      </c>
      <c r="F20" s="18" t="n">
        <v>2054.56</v>
      </c>
      <c r="G20" s="19">
        <f>HYPERLINK("https://www.tradingview.com/chart/?symbol=NSE:GLAND","Chart 📈")</f>
        <v/>
      </c>
    </row>
    <row r="21" ht="16" customHeight="1">
      <c r="A21" s="20" t="inlineStr">
        <is>
          <t>NIFTY PHARMA</t>
        </is>
      </c>
      <c r="B21" s="17" t="inlineStr">
        <is>
          <t>GLENMARK</t>
        </is>
      </c>
      <c r="C21" s="18" t="n">
        <v>2233.9</v>
      </c>
      <c r="D21" s="18" t="n">
        <v>2225.35</v>
      </c>
      <c r="E21" s="18" t="n">
        <v>2227.19</v>
      </c>
      <c r="F21" s="18" t="n">
        <v>2157.1</v>
      </c>
      <c r="G21" s="19">
        <f>HYPERLINK("https://www.tradingview.com/chart/?symbol=NSE:GLENMARK","Chart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2408.9</v>
      </c>
      <c r="D22" s="18" t="n">
        <v>2383.66</v>
      </c>
      <c r="E22" s="18" t="n">
        <v>2287.69</v>
      </c>
      <c r="F22" s="18" t="n">
        <v>2046.75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1816.2</v>
      </c>
      <c r="D23" s="18" t="n">
        <v>1628.54</v>
      </c>
      <c r="E23" s="18" t="n">
        <v>1502.68</v>
      </c>
      <c r="F23" s="18" t="n">
        <v>1220.14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SUNPHARMA</t>
        </is>
      </c>
      <c r="C24" s="18" t="n">
        <v>1990.5</v>
      </c>
      <c r="D24" s="18" t="n">
        <v>1946.42</v>
      </c>
      <c r="E24" s="18" t="n">
        <v>1892.68</v>
      </c>
      <c r="F24" s="18" t="n">
        <v>1787.21</v>
      </c>
      <c r="G24" s="19">
        <f>HYPERLINK("https://www.tradingview.com/chart/?symbol=NSE:SUNPHARMA","Chart 📈")</f>
        <v/>
      </c>
    </row>
    <row r="25" ht="16" customHeight="1">
      <c r="A25" s="20" t="inlineStr">
        <is>
          <t>NIFTY PHARMA</t>
        </is>
      </c>
      <c r="B25" s="17" t="inlineStr">
        <is>
          <t>TORNTPHARM</t>
        </is>
      </c>
      <c r="C25" s="18" t="n">
        <v>5122.8</v>
      </c>
      <c r="D25" s="18" t="n">
        <v>4907.88</v>
      </c>
      <c r="E25" s="18" t="n">
        <v>4724.48</v>
      </c>
      <c r="F25" s="18" t="n">
        <v>4275.56</v>
      </c>
      <c r="G25" s="19">
        <f>HYPERLINK("https://www.tradingview.com/chart/?symbol=NSE:TORNTPHARM","Chart 📈")</f>
        <v/>
      </c>
    </row>
    <row r="26" ht="16" customHeight="1">
      <c r="A26" s="20" t="inlineStr">
        <is>
          <t>NIFTY PHARMA</t>
        </is>
      </c>
      <c r="B26" s="17" t="inlineStr">
        <is>
          <t>ZYDUSLIFE</t>
        </is>
      </c>
      <c r="C26" s="18" t="n">
        <v>1126.8</v>
      </c>
      <c r="D26" s="18" t="n">
        <v>1122.16</v>
      </c>
      <c r="E26" s="18" t="n">
        <v>1093.86</v>
      </c>
      <c r="F26" s="18" t="n">
        <v>1005.17</v>
      </c>
      <c r="G26" s="19">
        <f>HYPERLINK("https://www.tradingview.com/chart/?symbol=NSE:ZYDUSLIFE","Chart 📈")</f>
        <v/>
      </c>
    </row>
    <row r="27" ht="16" customHeight="1">
      <c r="A27" s="12" t="inlineStr">
        <is>
          <t>NIFTY REALTY</t>
        </is>
      </c>
      <c r="B27" s="13" t="inlineStr">
        <is>
          <t>DLF</t>
        </is>
      </c>
      <c r="C27" s="14" t="n">
        <v>659.3</v>
      </c>
      <c r="D27" s="14" t="n">
        <v>649.49</v>
      </c>
      <c r="E27" s="14" t="n">
        <v>629.1799999999999</v>
      </c>
      <c r="F27" s="14" t="n">
        <v>638.9</v>
      </c>
      <c r="G27" s="15">
        <f>HYPERLINK("https://www.tradingview.com/chart/?symbol=NSE:DLF","Chart 📈")</f>
        <v/>
      </c>
    </row>
    <row r="28" ht="16" customHeight="1">
      <c r="A28" s="16" t="inlineStr">
        <is>
          <t>NIFTY REALTY</t>
        </is>
      </c>
      <c r="B28" s="13" t="inlineStr">
        <is>
          <t>GODREJPROP</t>
        </is>
      </c>
      <c r="C28" s="14" t="n">
        <v>2105.7</v>
      </c>
      <c r="D28" s="14" t="n">
        <v>2057.49</v>
      </c>
      <c r="E28" s="14" t="n">
        <v>1948.49</v>
      </c>
      <c r="F28" s="14" t="n">
        <v>1885.64</v>
      </c>
      <c r="G28" s="15">
        <f>HYPERLINK("https://www.tradingview.com/chart/?symbol=NSE:GODREJPROP","Chart 📈")</f>
        <v/>
      </c>
    </row>
    <row r="29" ht="16" customHeight="1">
      <c r="A29" s="16" t="inlineStr">
        <is>
          <t>NIFTY REALTY</t>
        </is>
      </c>
      <c r="B29" s="13" t="inlineStr">
        <is>
          <t>LODHA</t>
        </is>
      </c>
      <c r="C29" s="14" t="n">
        <v>1243.95</v>
      </c>
      <c r="D29" s="14" t="n">
        <v>1177.52</v>
      </c>
      <c r="E29" s="14" t="n">
        <v>1073.51</v>
      </c>
      <c r="F29" s="14" t="n">
        <v>1028.76</v>
      </c>
      <c r="G29" s="15">
        <f>HYPERLINK("https://www.tradingview.com/chart/?symbol=NSE:LODHA","Chart 📈")</f>
        <v/>
      </c>
    </row>
    <row r="30" ht="16" customHeight="1">
      <c r="A30" s="16" t="inlineStr">
        <is>
          <t>NIFTY REALTY</t>
        </is>
      </c>
      <c r="B30" s="13" t="inlineStr">
        <is>
          <t>MAHLIFE</t>
        </is>
      </c>
      <c r="C30" s="14" t="n">
        <v>392.65</v>
      </c>
      <c r="D30" s="14" t="n">
        <v>375.51</v>
      </c>
      <c r="E30" s="14" t="n">
        <v>362.06</v>
      </c>
      <c r="F30" s="14" t="n">
        <v>356.82</v>
      </c>
      <c r="G30" s="15">
        <f>HYPERLINK("https://www.tradingview.com/chart/?symbol=NSE:MAHLIFE","Chart 📈")</f>
        <v/>
      </c>
    </row>
    <row r="31" ht="16" customHeight="1">
      <c r="A31" s="8" t="inlineStr">
        <is>
          <t>NIFTY CONSUMER DURABLES</t>
        </is>
      </c>
      <c r="B31" s="17" t="inlineStr">
        <is>
          <t>CENTURYPLY</t>
        </is>
      </c>
      <c r="C31" s="18" t="n">
        <v>799.5</v>
      </c>
      <c r="D31" s="18" t="n">
        <v>784.5</v>
      </c>
      <c r="E31" s="18" t="n">
        <v>773.76</v>
      </c>
      <c r="F31" s="18" t="n">
        <v>762.97</v>
      </c>
      <c r="G31" s="19">
        <f>HYPERLINK("https://www.tradingview.com/chart/?symbol=NSE:CENTURYPLY","Chart 📈")</f>
        <v/>
      </c>
    </row>
    <row r="32" ht="16" customHeight="1">
      <c r="A32" s="20" t="inlineStr">
        <is>
          <t>NIFTY CONSUMER DURABLES</t>
        </is>
      </c>
      <c r="B32" s="17" t="inlineStr">
        <is>
          <t>DIXON</t>
        </is>
      </c>
      <c r="C32" s="18" t="n">
        <v>14049</v>
      </c>
      <c r="D32" s="18" t="n">
        <v>13697.75</v>
      </c>
      <c r="E32" s="18" t="n">
        <v>12886.95</v>
      </c>
      <c r="F32" s="18" t="n">
        <v>12793.01</v>
      </c>
      <c r="G32" s="19">
        <f>HYPERLINK("https://www.tradingview.com/chart/?symbol=NSE:DIXON","Chart 📈")</f>
        <v/>
      </c>
    </row>
    <row r="33" ht="16" customHeight="1">
      <c r="A33" s="20" t="inlineStr">
        <is>
          <t>NIFTY CONSUMER DURABLES</t>
        </is>
      </c>
      <c r="B33" s="17" t="inlineStr">
        <is>
          <t>KALYANKJIL</t>
        </is>
      </c>
      <c r="C33" s="18" t="n">
        <v>612.6</v>
      </c>
      <c r="D33" s="18" t="n">
        <v>545.29</v>
      </c>
      <c r="E33" s="18" t="n">
        <v>473.22</v>
      </c>
      <c r="F33" s="18" t="n">
        <v>450.55</v>
      </c>
      <c r="G33" s="19">
        <f>HYPERLINK("https://www.tradingview.com/chart/?symbol=NSE:KALYANKJIL","Chart 📈")</f>
        <v/>
      </c>
    </row>
    <row r="34" ht="16" customHeight="1">
      <c r="A34" s="20" t="inlineStr">
        <is>
          <t>NIFTY CONSUMER DURABLES</t>
        </is>
      </c>
      <c r="B34" s="17" t="inlineStr">
        <is>
          <t>TITAN</t>
        </is>
      </c>
      <c r="C34" s="18" t="n">
        <v>4875.2</v>
      </c>
      <c r="D34" s="18" t="n">
        <v>4671.92</v>
      </c>
      <c r="E34" s="18" t="n">
        <v>4495.47</v>
      </c>
      <c r="F34" s="18" t="n">
        <v>4154.22</v>
      </c>
      <c r="G34" s="19">
        <f>HYPERLINK("https://www.tradingview.com/chart/?symbol=NSE:TITAN","Chart 📈")</f>
        <v/>
      </c>
    </row>
    <row r="35" ht="16" customHeight="1">
      <c r="A35" s="12" t="inlineStr">
        <is>
          <t>NIFTY MIDSMALL IT &amp; TELECOM</t>
        </is>
      </c>
      <c r="B35" s="13" t="inlineStr">
        <is>
          <t>AFFLE</t>
        </is>
      </c>
      <c r="C35" s="14" t="n">
        <v>1586</v>
      </c>
      <c r="D35" s="14" t="n">
        <v>1531.19</v>
      </c>
      <c r="E35" s="14" t="n">
        <v>1498.76</v>
      </c>
      <c r="F35" s="14" t="n">
        <v>1577.91</v>
      </c>
      <c r="G35" s="15">
        <f>HYPERLINK("https://www.tradingview.com/chart/?symbol=NSE:AFFLE","Chart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COFORGE</t>
        </is>
      </c>
      <c r="C36" s="14" t="n">
        <v>1721</v>
      </c>
      <c r="D36" s="14" t="n">
        <v>1560.79</v>
      </c>
      <c r="E36" s="14" t="n">
        <v>1484.21</v>
      </c>
      <c r="F36" s="14" t="n">
        <v>1487.29</v>
      </c>
      <c r="G36" s="15">
        <f>HYPERLINK("https://www.tradingview.com/chart/?symbol=NSE:COFORGE","Chart 📈")</f>
        <v/>
      </c>
    </row>
    <row r="37" ht="16" customHeight="1">
      <c r="A37" s="16" t="inlineStr">
        <is>
          <t>NIFTY MIDSMALL IT &amp; TELECOM</t>
        </is>
      </c>
      <c r="B37" s="13" t="inlineStr">
        <is>
          <t>OFSS</t>
        </is>
      </c>
      <c r="C37" s="14" t="n">
        <v>11186</v>
      </c>
      <c r="D37" s="14" t="n">
        <v>11137.6</v>
      </c>
      <c r="E37" s="14" t="n">
        <v>10550.35</v>
      </c>
      <c r="F37" s="14" t="n">
        <v>8960.09</v>
      </c>
      <c r="G37" s="15">
        <f>HYPERLINK("https://www.tradingview.com/chart/?symbol=NSE:OFSS","Chart 📈")</f>
        <v/>
      </c>
    </row>
    <row r="38" ht="16" customHeight="1">
      <c r="A38" s="16" t="inlineStr">
        <is>
          <t>NIFTY MIDSMALL IT &amp; TELECOM</t>
        </is>
      </c>
      <c r="B38" s="13" t="inlineStr">
        <is>
          <t>PERSISTENT</t>
        </is>
      </c>
      <c r="C38" s="14" t="n">
        <v>5549</v>
      </c>
      <c r="D38" s="14" t="n">
        <v>5177.19</v>
      </c>
      <c r="E38" s="14" t="n">
        <v>5049.44</v>
      </c>
      <c r="F38" s="14" t="n">
        <v>5213.6</v>
      </c>
      <c r="G38" s="15">
        <f>HYPERLINK("https://www.tradingview.com/chart/?symbol=NSE:PERSISTENT","Chart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SONATSOFTW</t>
        </is>
      </c>
      <c r="C39" s="14" t="n">
        <v>322.45</v>
      </c>
      <c r="D39" s="14" t="n">
        <v>297.59</v>
      </c>
      <c r="E39" s="14" t="n">
        <v>285.66</v>
      </c>
      <c r="F39" s="14" t="n">
        <v>297.06</v>
      </c>
      <c r="G39" s="15">
        <f>HYPERLINK("https://www.tradingview.com/chart/?symbol=NSE:SONATSOFTW","Chart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TANLA</t>
        </is>
      </c>
      <c r="C40" s="14" t="n">
        <v>586.55</v>
      </c>
      <c r="D40" s="14" t="n">
        <v>574.95</v>
      </c>
      <c r="E40" s="14" t="n">
        <v>549.15</v>
      </c>
      <c r="F40" s="14" t="n">
        <v>534.88</v>
      </c>
      <c r="G40" s="15">
        <f>HYPERLINK("https://www.tradingview.com/chart/?symbol=NSE:TANLA","Chart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TATATECH</t>
        </is>
      </c>
      <c r="C41" s="14" t="n">
        <v>747.65</v>
      </c>
      <c r="D41" s="14" t="n">
        <v>732.8099999999999</v>
      </c>
      <c r="E41" s="14" t="n">
        <v>713.72</v>
      </c>
      <c r="F41" s="14" t="n">
        <v>665.46</v>
      </c>
      <c r="G41" s="15">
        <f>HYPERLINK("https://www.tradingview.com/chart/?symbol=NSE:TATATECH","Chart 📈")</f>
        <v/>
      </c>
    </row>
    <row r="42" ht="16" customHeight="1">
      <c r="A42" s="8" t="inlineStr">
        <is>
          <t>NIFTY FINANCIAL SERVICES</t>
        </is>
      </c>
      <c r="B42" s="17" t="inlineStr">
        <is>
          <t>BAJAJFINSV</t>
        </is>
      </c>
      <c r="C42" s="18" t="n">
        <v>2029.1</v>
      </c>
      <c r="D42" s="18" t="n">
        <v>1890.4</v>
      </c>
      <c r="E42" s="18" t="n">
        <v>1842.99</v>
      </c>
      <c r="F42" s="18" t="n">
        <v>1874.33</v>
      </c>
      <c r="G42" s="19">
        <f>HYPERLINK("https://www.tradingview.com/chart/?symbol=NSE:BAJAJFINSV","Chart 📈")</f>
        <v/>
      </c>
    </row>
    <row r="43" ht="16" customHeight="1">
      <c r="A43" s="20" t="inlineStr">
        <is>
          <t>NIFTY FINANCIAL SERVICES</t>
        </is>
      </c>
      <c r="B43" s="17" t="inlineStr">
        <is>
          <t>BAJFINANCE</t>
        </is>
      </c>
      <c r="C43" s="18" t="n">
        <v>1141.2</v>
      </c>
      <c r="D43" s="18" t="n">
        <v>1041.69</v>
      </c>
      <c r="E43" s="18" t="n">
        <v>998.5</v>
      </c>
      <c r="F43" s="18" t="n">
        <v>954.86</v>
      </c>
      <c r="G43" s="19">
        <f>HYPERLINK("https://www.tradingview.com/chart/?symbol=NSE:BAJFINANCE","Chart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CHOLAFIN</t>
        </is>
      </c>
      <c r="C44" s="18" t="n">
        <v>1849.9</v>
      </c>
      <c r="D44" s="18" t="n">
        <v>1771.87</v>
      </c>
      <c r="E44" s="18" t="n">
        <v>1717.84</v>
      </c>
      <c r="F44" s="18" t="n">
        <v>1633.05</v>
      </c>
      <c r="G44" s="19">
        <f>HYPERLINK("https://www.tradingview.com/chart/?symbol=NSE:CHOLAFIN","Chart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ICICIBANK</t>
        </is>
      </c>
      <c r="C45" s="18" t="n">
        <v>1435.4</v>
      </c>
      <c r="D45" s="18" t="n">
        <v>1421.6</v>
      </c>
      <c r="E45" s="18" t="n">
        <v>1380.42</v>
      </c>
      <c r="F45" s="18" t="n">
        <v>1359.96</v>
      </c>
      <c r="G45" s="19">
        <f>HYPERLINK("https://www.tradingview.com/chart/?symbol=NSE:ICICIBANK","Chart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PFC</t>
        </is>
      </c>
      <c r="C46" s="18" t="n">
        <v>424.35</v>
      </c>
      <c r="D46" s="18" t="n">
        <v>414.38</v>
      </c>
      <c r="E46" s="18" t="n">
        <v>417.64</v>
      </c>
      <c r="F46" s="18" t="n">
        <v>406.93</v>
      </c>
      <c r="G46" s="19">
        <f>HYPERLINK("https://www.tradingview.com/chart/?symbol=NSE:PFC","Chart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RECLTD</t>
        </is>
      </c>
      <c r="C47" s="18" t="n">
        <v>372.95</v>
      </c>
      <c r="D47" s="18" t="n">
        <v>359.54</v>
      </c>
      <c r="E47" s="18" t="n">
        <v>353.81</v>
      </c>
      <c r="F47" s="18" t="n">
        <v>350.85</v>
      </c>
      <c r="G47" s="19">
        <f>HYPERLINK("https://www.tradingview.com/chart/?symbol=NSE:RECLTD","Chart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SBILIFE</t>
        </is>
      </c>
      <c r="C48" s="18" t="n">
        <v>1882</v>
      </c>
      <c r="D48" s="18" t="n">
        <v>1846.34</v>
      </c>
      <c r="E48" s="18" t="n">
        <v>1832.83</v>
      </c>
      <c r="F48" s="18" t="n">
        <v>1875.17</v>
      </c>
      <c r="G48" s="19">
        <f>HYPERLINK("https://www.tradingview.com/chart/?symbol=NSE:SBILIFE","Chart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SHRIRAMFIN</t>
        </is>
      </c>
      <c r="C49" s="18" t="n">
        <v>1046.7</v>
      </c>
      <c r="D49" s="18" t="n">
        <v>1032.73</v>
      </c>
      <c r="E49" s="18" t="n">
        <v>1011.11</v>
      </c>
      <c r="F49" s="18" t="n">
        <v>927.33</v>
      </c>
      <c r="G49" s="19">
        <f>HYPERLINK("https://www.tradingview.com/chart/?symbol=NSE:SHRIRAMFIN","Chart 📈")</f>
        <v/>
      </c>
    </row>
    <row r="50" ht="16" customHeight="1">
      <c r="A50" s="12" t="inlineStr">
        <is>
          <t>NIFTY METAL</t>
        </is>
      </c>
      <c r="B50" s="13" t="inlineStr">
        <is>
          <t>JSWSTEEL</t>
        </is>
      </c>
      <c r="C50" s="14" t="n">
        <v>1270</v>
      </c>
      <c r="D50" s="14" t="n">
        <v>1251.82</v>
      </c>
      <c r="E50" s="14" t="n">
        <v>1249.39</v>
      </c>
      <c r="F50" s="14" t="n">
        <v>1203.5</v>
      </c>
      <c r="G50" s="15">
        <f>HYPERLINK("https://www.tradingview.com/chart/?symbol=NSE:JSWSTEEL","Chart 📈")</f>
        <v/>
      </c>
    </row>
    <row r="51" ht="16" customHeight="1">
      <c r="A51" s="16" t="inlineStr">
        <is>
          <t>NIFTY METAL</t>
        </is>
      </c>
      <c r="B51" s="13" t="inlineStr">
        <is>
          <t>WELCORP</t>
        </is>
      </c>
      <c r="C51" s="14" t="n">
        <v>1650.6</v>
      </c>
      <c r="D51" s="14" t="n">
        <v>1604.03</v>
      </c>
      <c r="E51" s="14" t="n">
        <v>1491.18</v>
      </c>
      <c r="F51" s="14" t="n">
        <v>1163.71</v>
      </c>
      <c r="G51" s="15">
        <f>HYPERLINK("https://www.tradingview.com/chart/?symbol=NSE:WELCORP","Chart 📈")</f>
        <v/>
      </c>
    </row>
    <row r="52" ht="16" customHeight="1">
      <c r="A52" s="8" t="inlineStr">
        <is>
          <t>NIFTY MEDIA</t>
        </is>
      </c>
      <c r="B52" s="17" t="inlineStr">
        <is>
          <t>NAZARA</t>
        </is>
      </c>
      <c r="C52" s="18" t="n">
        <v>339</v>
      </c>
      <c r="D52" s="18" t="n">
        <v>307.04</v>
      </c>
      <c r="E52" s="18" t="n">
        <v>297.3</v>
      </c>
      <c r="F52" s="18" t="n">
        <v>283.92</v>
      </c>
      <c r="G52" s="19">
        <f>HYPERLINK("https://www.tradingview.com/chart/?symbol=NSE:NAZARA","Chart 📈")</f>
        <v/>
      </c>
    </row>
    <row r="53" ht="16" customHeight="1">
      <c r="A53" s="20" t="inlineStr">
        <is>
          <t>NIFTY MEDIA</t>
        </is>
      </c>
      <c r="B53" s="17" t="inlineStr">
        <is>
          <t>PVRINOX</t>
        </is>
      </c>
      <c r="C53" s="18" t="n">
        <v>1130.6</v>
      </c>
      <c r="D53" s="18" t="n">
        <v>1052.89</v>
      </c>
      <c r="E53" s="18" t="n">
        <v>1018.57</v>
      </c>
      <c r="F53" s="18" t="n">
        <v>1016.8</v>
      </c>
      <c r="G53" s="19">
        <f>HYPERLINK("https://www.tradingview.com/chart/?symbol=NSE:PVRINOX","Chart 📈")</f>
        <v/>
      </c>
    </row>
    <row r="54" ht="16" customHeight="1">
      <c r="A54" s="20" t="inlineStr">
        <is>
          <t>NIFTY MEDIA</t>
        </is>
      </c>
      <c r="B54" s="17" t="inlineStr">
        <is>
          <t>SAREGAMA</t>
        </is>
      </c>
      <c r="C54" s="18" t="n">
        <v>522.85</v>
      </c>
      <c r="D54" s="18" t="n">
        <v>501.12</v>
      </c>
      <c r="E54" s="18" t="n">
        <v>470.21</v>
      </c>
      <c r="F54" s="18" t="n">
        <v>420.37</v>
      </c>
      <c r="G54" s="19">
        <f>HYPERLINK("https://www.tradingview.com/chart/?symbol=NSE:SAREGAMA","Chart 📈")</f>
        <v/>
      </c>
    </row>
    <row r="55" ht="16" customHeight="1">
      <c r="A55" s="20" t="inlineStr">
        <is>
          <t>NIFTY MEDIA</t>
        </is>
      </c>
      <c r="B55" s="17" t="inlineStr">
        <is>
          <t>ZEEL</t>
        </is>
      </c>
      <c r="C55" s="18" t="n">
        <v>114.55</v>
      </c>
      <c r="D55" s="18" t="n">
        <v>107.1</v>
      </c>
      <c r="E55" s="18" t="n">
        <v>103.46</v>
      </c>
      <c r="F55" s="18" t="n">
        <v>98.37</v>
      </c>
      <c r="G55" s="19">
        <f>HYPERLINK("https://www.tradingview.com/chart/?symbol=NSE:ZEEL","Chart 📈")</f>
        <v/>
      </c>
    </row>
    <row r="56" ht="16" customHeight="1">
      <c r="A56" s="12" t="inlineStr">
        <is>
          <t>NIFTY OIL &amp; GAS</t>
        </is>
      </c>
      <c r="B56" s="13" t="inlineStr">
        <is>
          <t>AEGISLOG</t>
        </is>
      </c>
      <c r="C56" s="14" t="n">
        <v>1280.8</v>
      </c>
      <c r="D56" s="14" t="n">
        <v>1271.19</v>
      </c>
      <c r="E56" s="14" t="n">
        <v>1126.74</v>
      </c>
      <c r="F56" s="14" t="n">
        <v>864.42</v>
      </c>
      <c r="G56" s="15">
        <f>HYPERLINK("https://www.tradingview.com/chart/?symbol=NSE:AEGISLOG","Chart 📈")</f>
        <v/>
      </c>
    </row>
    <row r="57" ht="16" customHeight="1">
      <c r="A57" s="16" t="inlineStr">
        <is>
          <t>NIFTY OIL &amp; GAS</t>
        </is>
      </c>
      <c r="B57" s="13" t="inlineStr">
        <is>
          <t>BPCL</t>
        </is>
      </c>
      <c r="C57" s="14" t="n">
        <v>319.75</v>
      </c>
      <c r="D57" s="14" t="n">
        <v>313.35</v>
      </c>
      <c r="E57" s="14" t="n">
        <v>309.72</v>
      </c>
      <c r="F57" s="14" t="n">
        <v>317.89</v>
      </c>
      <c r="G57" s="15">
        <f>HYPERLINK("https://www.tradingview.com/chart/?symbol=NSE:BPCL","Chart 📈")</f>
        <v/>
      </c>
    </row>
    <row r="58" ht="16" customHeight="1">
      <c r="A58" s="16" t="inlineStr">
        <is>
          <t>NIFTY OIL &amp; GAS</t>
        </is>
      </c>
      <c r="B58" s="13" t="inlineStr">
        <is>
          <t>GAIL</t>
        </is>
      </c>
      <c r="C58" s="14" t="n">
        <v>181.44</v>
      </c>
      <c r="D58" s="14" t="n">
        <v>173.79</v>
      </c>
      <c r="E58" s="14" t="n">
        <v>171.01</v>
      </c>
      <c r="F58" s="14" t="n">
        <v>166.6</v>
      </c>
      <c r="G58" s="15">
        <f>HYPERLINK("https://www.tradingview.com/chart/?symbol=NSE:GAIL","Chart 📈")</f>
        <v/>
      </c>
    </row>
    <row r="59" ht="16" customHeight="1">
      <c r="A59" s="16" t="inlineStr">
        <is>
          <t>NIFTY OIL &amp; GAS</t>
        </is>
      </c>
      <c r="B59" s="13" t="inlineStr">
        <is>
          <t>OIL</t>
        </is>
      </c>
      <c r="C59" s="14" t="n">
        <v>458.6</v>
      </c>
      <c r="D59" s="14" t="n">
        <v>443.57</v>
      </c>
      <c r="E59" s="14" t="n">
        <v>445.55</v>
      </c>
      <c r="F59" s="14" t="n">
        <v>446.91</v>
      </c>
      <c r="G59" s="15">
        <f>HYPERLINK("https://www.tradingview.com/chart/?symbol=NSE:OIL","Chart 📈")</f>
        <v/>
      </c>
    </row>
    <row r="60" ht="16" customHeight="1">
      <c r="A60" s="16" t="inlineStr">
        <is>
          <t>NIFTY OIL &amp; GAS</t>
        </is>
      </c>
      <c r="B60" s="13" t="inlineStr">
        <is>
          <t>PETRONET</t>
        </is>
      </c>
      <c r="C60" s="14" t="n">
        <v>280.75</v>
      </c>
      <c r="D60" s="14" t="n">
        <v>276.99</v>
      </c>
      <c r="E60" s="14" t="n">
        <v>276.32</v>
      </c>
      <c r="F60" s="14" t="n">
        <v>275.57</v>
      </c>
      <c r="G60" s="15">
        <f>HYPERLINK("https://www.tradingview.com/chart/?symbol=NSE:PETRONET","Chart 📈")</f>
        <v/>
      </c>
    </row>
    <row r="61" ht="16" customHeight="1">
      <c r="A61" s="8" t="inlineStr">
        <is>
          <t>NIFTY FMCG</t>
        </is>
      </c>
      <c r="B61" s="17" t="inlineStr">
        <is>
          <t>MARICO</t>
        </is>
      </c>
      <c r="C61" s="18" t="n">
        <v>870.65</v>
      </c>
      <c r="D61" s="18" t="n">
        <v>854.51</v>
      </c>
      <c r="E61" s="18" t="n">
        <v>835.28</v>
      </c>
      <c r="F61" s="18" t="n">
        <v>783.8099999999999</v>
      </c>
      <c r="G61" s="19">
        <f>HYPERLINK("https://www.tradingview.com/chart/?symbol=NSE:MARICO","Chart 📈")</f>
        <v/>
      </c>
    </row>
    <row r="62" ht="16" customHeight="1">
      <c r="A62" s="20" t="inlineStr">
        <is>
          <t>NIFTY FMCG</t>
        </is>
      </c>
      <c r="B62" s="17" t="inlineStr">
        <is>
          <t>NESTLEIND</t>
        </is>
      </c>
      <c r="C62" s="18" t="n">
        <v>1509.6</v>
      </c>
      <c r="D62" s="18" t="n">
        <v>1461.53</v>
      </c>
      <c r="E62" s="18" t="n">
        <v>1430.15</v>
      </c>
      <c r="F62" s="18" t="n">
        <v>1328.75</v>
      </c>
      <c r="G62" s="19">
        <f>HYPERLINK("https://www.tradingview.com/chart/?symbol=NSE:NESTLEIND","Chart 📈")</f>
        <v/>
      </c>
    </row>
    <row r="63" ht="16" customHeight="1">
      <c r="A63" s="20" t="inlineStr">
        <is>
          <t>NIFTY FMCG</t>
        </is>
      </c>
      <c r="B63" s="17" t="inlineStr">
        <is>
          <t>RADICO</t>
        </is>
      </c>
      <c r="C63" s="18" t="n">
        <v>4340.8</v>
      </c>
      <c r="D63" s="18" t="n">
        <v>4129.06</v>
      </c>
      <c r="E63" s="18" t="n">
        <v>3879.41</v>
      </c>
      <c r="F63" s="18" t="n">
        <v>3340.6</v>
      </c>
      <c r="G63" s="19">
        <f>HYPERLINK("https://www.tradingview.com/chart/?symbol=NSE:RADICO","Chart 📈")</f>
        <v/>
      </c>
    </row>
    <row r="64" ht="16" customHeight="1">
      <c r="A64" s="20" t="inlineStr">
        <is>
          <t>NIFTY FMCG</t>
        </is>
      </c>
      <c r="B64" s="17" t="inlineStr">
        <is>
          <t>UNITDSPR</t>
        </is>
      </c>
      <c r="C64" s="18" t="n">
        <v>1515.9</v>
      </c>
      <c r="D64" s="18" t="n">
        <v>1434.9</v>
      </c>
      <c r="E64" s="18" t="n">
        <v>1378.02</v>
      </c>
      <c r="F64" s="18" t="n">
        <v>1340.3</v>
      </c>
      <c r="G64" s="19">
        <f>HYPERLINK("https://www.tradingview.com/chart/?symbol=NSE:UNITDSPR","Chart 📈")</f>
        <v/>
      </c>
    </row>
    <row r="65" ht="16" customHeight="1">
      <c r="A65" s="12" t="inlineStr">
        <is>
          <t>NIFTY IT</t>
        </is>
      </c>
      <c r="B65" s="13" t="inlineStr">
        <is>
          <t>HCLTECH</t>
        </is>
      </c>
      <c r="C65" s="14" t="n">
        <v>1346.9</v>
      </c>
      <c r="D65" s="14" t="n">
        <v>1243.01</v>
      </c>
      <c r="E65" s="14" t="n">
        <v>1204.09</v>
      </c>
      <c r="F65" s="14" t="n">
        <v>1305.18</v>
      </c>
      <c r="G65" s="15">
        <f>HYPERLINK("https://www.tradingview.com/chart/?symbol=NSE:HCLTECH","Chart 📈")</f>
        <v/>
      </c>
    </row>
    <row r="66" ht="16" customHeight="1">
      <c r="A66" s="16" t="inlineStr">
        <is>
          <t>NIFTY IT</t>
        </is>
      </c>
      <c r="B66" s="13" t="inlineStr">
        <is>
          <t>TECHM</t>
        </is>
      </c>
      <c r="C66" s="14" t="n">
        <v>1651.3</v>
      </c>
      <c r="D66" s="14" t="n">
        <v>1553.1</v>
      </c>
      <c r="E66" s="14" t="n">
        <v>1488.45</v>
      </c>
      <c r="F66" s="14" t="n">
        <v>1451.69</v>
      </c>
      <c r="G66" s="15">
        <f>HYPERLINK("https://www.tradingview.com/chart/?symbol=NSE:TECHM","Chart 📈")</f>
        <v/>
      </c>
    </row>
    <row r="67" ht="16" customHeight="1">
      <c r="A67" s="8" t="inlineStr">
        <is>
          <t>NIFTY PSU BANK</t>
        </is>
      </c>
      <c r="B67" s="17" t="inlineStr">
        <is>
          <t>INDIANB</t>
        </is>
      </c>
      <c r="C67" s="18" t="n">
        <v>836.5</v>
      </c>
      <c r="D67" s="18" t="n">
        <v>830.37</v>
      </c>
      <c r="E67" s="18" t="n">
        <v>832.6799999999999</v>
      </c>
      <c r="F67" s="18" t="n">
        <v>815.42</v>
      </c>
      <c r="G67" s="19">
        <f>HYPERLINK("https://www.tradingview.com/chart/?symbol=NSE:INDIANB","Chart 📈")</f>
        <v/>
      </c>
    </row>
    <row r="68" ht="16" customHeight="1">
      <c r="A68" s="20" t="inlineStr">
        <is>
          <t>NIFTY PSU BANK</t>
        </is>
      </c>
      <c r="B68" s="17" t="inlineStr">
        <is>
          <t>PNB</t>
        </is>
      </c>
      <c r="C68" s="18" t="n">
        <v>112.71</v>
      </c>
      <c r="D68" s="18" t="n">
        <v>109.26</v>
      </c>
      <c r="E68" s="18" t="n">
        <v>107.62</v>
      </c>
      <c r="F68" s="18" t="n">
        <v>109.04</v>
      </c>
      <c r="G68" s="19">
        <f>HYPERLINK("https://www.tradingview.com/chart/?symbol=NSE:PNB","Chart 📈")</f>
        <v/>
      </c>
    </row>
    <row r="69" ht="16" customHeight="1">
      <c r="A69" s="20" t="inlineStr">
        <is>
          <t>NIFTY PSU BANK</t>
        </is>
      </c>
      <c r="B69" s="17" t="inlineStr">
        <is>
          <t>SBIN</t>
        </is>
      </c>
      <c r="C69" s="18" t="n">
        <v>1027.4</v>
      </c>
      <c r="D69" s="18" t="n">
        <v>1025.92</v>
      </c>
      <c r="E69" s="18" t="n">
        <v>1023.52</v>
      </c>
      <c r="F69" s="18" t="n">
        <v>992.08</v>
      </c>
      <c r="G69" s="19">
        <f>HYPERLINK("https://www.tradingview.com/chart/?symbol=NSE:SBIN","Chart 📈")</f>
        <v/>
      </c>
    </row>
    <row r="70" ht="16" customHeight="1">
      <c r="A70" s="20" t="inlineStr">
        <is>
          <t>NIFTY PSU BANK</t>
        </is>
      </c>
      <c r="B70" s="17" t="inlineStr">
        <is>
          <t>UNIONBANK</t>
        </is>
      </c>
      <c r="C70" s="18" t="n">
        <v>171.24</v>
      </c>
      <c r="D70" s="18" t="n">
        <v>169.3</v>
      </c>
      <c r="E70" s="18" t="n">
        <v>167.73</v>
      </c>
      <c r="F70" s="18" t="n">
        <v>161.12</v>
      </c>
      <c r="G70" s="19">
        <f>HYPERLINK("https://www.tradingview.com/chart/?symbol=NSE:UNIONBANK","Chart 📈")</f>
        <v/>
      </c>
    </row>
    <row r="71" ht="16" customHeight="1">
      <c r="A71" s="12" t="inlineStr">
        <is>
          <t>NIFTY BANK</t>
        </is>
      </c>
      <c r="B71" s="13" t="inlineStr">
        <is>
          <t>AUBANK</t>
        </is>
      </c>
      <c r="C71" s="14" t="n">
        <v>1047.3</v>
      </c>
      <c r="D71" s="14" t="n">
        <v>1028.97</v>
      </c>
      <c r="E71" s="14" t="n">
        <v>1020.01</v>
      </c>
      <c r="F71" s="14" t="n">
        <v>956.66</v>
      </c>
      <c r="G71" s="15">
        <f>HYPERLINK("https://www.tradingview.com/chart/?symbol=NSE:AUBANK","Chart 📈")</f>
        <v/>
      </c>
    </row>
    <row r="72" ht="16" customHeight="1">
      <c r="A72" s="16" t="inlineStr">
        <is>
          <t>NIFTY BANK</t>
        </is>
      </c>
      <c r="B72" s="13" t="inlineStr">
        <is>
          <t>FEDERALBNK</t>
        </is>
      </c>
      <c r="C72" s="14" t="n">
        <v>358.85</v>
      </c>
      <c r="D72" s="14" t="n">
        <v>345.45</v>
      </c>
      <c r="E72" s="14" t="n">
        <v>328.26</v>
      </c>
      <c r="F72" s="14" t="n">
        <v>285.36</v>
      </c>
      <c r="G72" s="15">
        <f>HYPERLINK("https://www.tradingview.com/chart/?symbol=NSE:FEDERALBNK","Chart 📈")</f>
        <v/>
      </c>
    </row>
    <row r="73" ht="16" customHeight="1">
      <c r="A73" s="16" t="inlineStr">
        <is>
          <t>NIFTY BANK</t>
        </is>
      </c>
      <c r="B73" s="13" t="inlineStr">
        <is>
          <t>IDFCFIRSTB</t>
        </is>
      </c>
      <c r="C73" s="14" t="n">
        <v>84.68000000000001</v>
      </c>
      <c r="D73" s="14" t="n">
        <v>81.8</v>
      </c>
      <c r="E73" s="14" t="n">
        <v>78.45999999999999</v>
      </c>
      <c r="F73" s="14" t="n">
        <v>74.88</v>
      </c>
      <c r="G73" s="15">
        <f>HYPERLINK("https://www.tradingview.com/chart/?symbol=NSE:IDFCFIRSTB","Chart 📈")</f>
        <v/>
      </c>
    </row>
    <row r="74" ht="16" customHeight="1">
      <c r="A74" s="16" t="inlineStr">
        <is>
          <t>NIFTY BANK</t>
        </is>
      </c>
      <c r="B74" s="13" t="inlineStr">
        <is>
          <t>INDUSINDBK</t>
        </is>
      </c>
      <c r="C74" s="14" t="n">
        <v>1012.45</v>
      </c>
      <c r="D74" s="14" t="n">
        <v>1003.35</v>
      </c>
      <c r="E74" s="14" t="n">
        <v>968.7</v>
      </c>
      <c r="F74" s="14" t="n">
        <v>895.88</v>
      </c>
      <c r="G74" s="15">
        <f>HYPERLINK("https://www.tradingview.com/chart/?symbol=NSE:INDUSINDBK","Chart 📈")</f>
        <v/>
      </c>
    </row>
    <row r="75" ht="16" customHeight="1">
      <c r="A75" s="8" t="inlineStr">
        <is>
          <t>NIFTY ENERGY</t>
        </is>
      </c>
      <c r="B75" s="17" t="inlineStr">
        <is>
          <t>ABB</t>
        </is>
      </c>
      <c r="C75" s="18" t="n">
        <v>7284.5</v>
      </c>
      <c r="D75" s="18" t="n">
        <v>7257.89</v>
      </c>
      <c r="E75" s="18" t="n">
        <v>7093.73</v>
      </c>
      <c r="F75" s="18" t="n">
        <v>6366.61</v>
      </c>
      <c r="G75" s="19">
        <f>HYPERLINK("https://www.tradingview.com/chart/?symbol=NSE:ABB","Chart 📈")</f>
        <v/>
      </c>
    </row>
    <row r="76" ht="16" customHeight="1">
      <c r="A76" s="20" t="inlineStr">
        <is>
          <t>NIFTY ENERGY</t>
        </is>
      </c>
      <c r="B76" s="17" t="inlineStr">
        <is>
          <t>JPPOWER</t>
        </is>
      </c>
      <c r="C76" s="18" t="n">
        <v>18.29</v>
      </c>
      <c r="D76" s="18" t="n">
        <v>17.34</v>
      </c>
      <c r="E76" s="18" t="n">
        <v>17.65</v>
      </c>
      <c r="F76" s="18" t="n">
        <v>17.83</v>
      </c>
      <c r="G76" s="19">
        <f>HYPERLINK("https://www.tradingview.com/chart/?symbol=NSE:JPPOWER","Chart 📈")</f>
        <v/>
      </c>
    </row>
    <row r="77" ht="16" customHeight="1">
      <c r="A77" s="20" t="inlineStr">
        <is>
          <t>NIFTY ENERGY</t>
        </is>
      </c>
      <c r="B77" s="17" t="inlineStr">
        <is>
          <t>JSWENERGY</t>
        </is>
      </c>
      <c r="C77" s="18" t="n">
        <v>554.65</v>
      </c>
      <c r="D77" s="18" t="n">
        <v>553.35</v>
      </c>
      <c r="E77" s="18" t="n">
        <v>554.26</v>
      </c>
      <c r="F77" s="18" t="n">
        <v>530.59</v>
      </c>
      <c r="G77" s="19">
        <f>HYPERLINK("https://www.tradingview.com/chart/?symbol=NSE:JSWENERGY","Chart 📈")</f>
        <v/>
      </c>
    </row>
    <row r="78" ht="16" customHeight="1">
      <c r="A78" s="20" t="inlineStr">
        <is>
          <t>NIFTY ENERGY</t>
        </is>
      </c>
      <c r="B78" s="17" t="inlineStr">
        <is>
          <t>SCHNEIDER</t>
        </is>
      </c>
      <c r="C78" s="18" t="n">
        <v>1355.3</v>
      </c>
      <c r="D78" s="18" t="n">
        <v>1345.58</v>
      </c>
      <c r="E78" s="18" t="n">
        <v>1310.02</v>
      </c>
      <c r="F78" s="18" t="n">
        <v>1092.22</v>
      </c>
      <c r="G78" s="19">
        <f>HYPERLINK("https://www.tradingview.com/chart/?symbol=NSE:SCHNEIDER","Chart 📈")</f>
        <v/>
      </c>
    </row>
    <row r="79" ht="16" customHeight="1">
      <c r="A79" s="20" t="inlineStr">
        <is>
          <t>NIFTY ENERGY</t>
        </is>
      </c>
      <c r="B79" s="17" t="inlineStr">
        <is>
          <t>SIEMENS</t>
        </is>
      </c>
      <c r="C79" s="18" t="n">
        <v>3760</v>
      </c>
      <c r="D79" s="18" t="n">
        <v>3634.61</v>
      </c>
      <c r="E79" s="18" t="n">
        <v>3606.09</v>
      </c>
      <c r="F79" s="18" t="n">
        <v>3401.81</v>
      </c>
      <c r="G79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2026-07-31T13:04:00Z</dcterms:created>
  <dcterms:modified xsi:type="dcterms:W3CDTF">2026-07-31T13:04:01Z</dcterms:modified>
</cp:coreProperties>
</file>