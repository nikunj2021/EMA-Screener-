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16-Apr-2026  16:34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13</v>
      </c>
      <c r="F4" s="6" t="n">
        <v>1</v>
      </c>
      <c r="G4" s="6" t="n">
        <v>1</v>
      </c>
      <c r="H4" s="6" t="n">
        <v>0.867</v>
      </c>
      <c r="I4" s="7" t="n">
        <v>0.9556999999999999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8</v>
      </c>
      <c r="E5" s="9" t="n">
        <v>7</v>
      </c>
      <c r="F5" s="10" t="n">
        <v>1</v>
      </c>
      <c r="G5" s="10" t="n">
        <v>0.667</v>
      </c>
      <c r="H5" s="10" t="n">
        <v>0.583</v>
      </c>
      <c r="I5" s="11" t="n">
        <v>0.75</v>
      </c>
    </row>
    <row r="6" ht="17" customHeight="1">
      <c r="A6" s="4" t="inlineStr">
        <is>
          <t>NIFTY CONSUMER DURABLES</t>
        </is>
      </c>
      <c r="B6" s="5" t="n">
        <v>15</v>
      </c>
      <c r="C6" s="5" t="n">
        <v>15</v>
      </c>
      <c r="D6" s="5" t="n">
        <v>12</v>
      </c>
      <c r="E6" s="5" t="n">
        <v>5</v>
      </c>
      <c r="F6" s="6" t="n">
        <v>1</v>
      </c>
      <c r="G6" s="6" t="n">
        <v>0.8</v>
      </c>
      <c r="H6" s="6" t="n">
        <v>0.333</v>
      </c>
      <c r="I6" s="7" t="n">
        <v>0.711</v>
      </c>
    </row>
    <row r="7" ht="17" customHeight="1">
      <c r="A7" s="8" t="inlineStr">
        <is>
          <t>NIFTY AUTO</t>
        </is>
      </c>
      <c r="B7" s="9" t="n">
        <v>15</v>
      </c>
      <c r="C7" s="9" t="n">
        <v>14</v>
      </c>
      <c r="D7" s="9" t="n">
        <v>9</v>
      </c>
      <c r="E7" s="9" t="n">
        <v>7</v>
      </c>
      <c r="F7" s="10" t="n">
        <v>0.9329999999999999</v>
      </c>
      <c r="G7" s="10" t="n">
        <v>0.6</v>
      </c>
      <c r="H7" s="10" t="n">
        <v>0.467</v>
      </c>
      <c r="I7" s="11" t="n">
        <v>0.6667000000000001</v>
      </c>
    </row>
    <row r="8" ht="17" customHeight="1">
      <c r="A8" s="4" t="inlineStr">
        <is>
          <t>NIFTY FINANCIAL SERVICES</t>
        </is>
      </c>
      <c r="B8" s="5" t="n">
        <v>20</v>
      </c>
      <c r="C8" s="5" t="n">
        <v>18</v>
      </c>
      <c r="D8" s="5" t="n">
        <v>12</v>
      </c>
      <c r="E8" s="5" t="n">
        <v>9</v>
      </c>
      <c r="F8" s="6" t="n">
        <v>0.9</v>
      </c>
      <c r="G8" s="6" t="n">
        <v>0.6</v>
      </c>
      <c r="H8" s="6" t="n">
        <v>0.45</v>
      </c>
      <c r="I8" s="7" t="n">
        <v>0.65</v>
      </c>
    </row>
    <row r="9" ht="17" customHeight="1">
      <c r="A9" s="8" t="inlineStr">
        <is>
          <t>NIFTY MEDIA</t>
        </is>
      </c>
      <c r="B9" s="9" t="n">
        <v>10</v>
      </c>
      <c r="C9" s="9" t="n">
        <v>9</v>
      </c>
      <c r="D9" s="9" t="n">
        <v>8</v>
      </c>
      <c r="E9" s="9" t="n">
        <v>2</v>
      </c>
      <c r="F9" s="10" t="n">
        <v>0.9</v>
      </c>
      <c r="G9" s="10" t="n">
        <v>0.8</v>
      </c>
      <c r="H9" s="10" t="n">
        <v>0.2</v>
      </c>
      <c r="I9" s="11" t="n">
        <v>0.6333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19</v>
      </c>
      <c r="D10" s="5" t="n">
        <v>14</v>
      </c>
      <c r="E10" s="5" t="n">
        <v>5</v>
      </c>
      <c r="F10" s="6" t="n">
        <v>0.95</v>
      </c>
      <c r="G10" s="6" t="n">
        <v>0.7</v>
      </c>
      <c r="H10" s="6" t="n">
        <v>0.25</v>
      </c>
      <c r="I10" s="7" t="n">
        <v>0.6333</v>
      </c>
    </row>
    <row r="11" ht="17" customHeight="1">
      <c r="A11" s="8" t="inlineStr">
        <is>
          <t>NIFTY PHARMA</t>
        </is>
      </c>
      <c r="B11" s="9" t="n">
        <v>20</v>
      </c>
      <c r="C11" s="9" t="n">
        <v>11</v>
      </c>
      <c r="D11" s="9" t="n">
        <v>12</v>
      </c>
      <c r="E11" s="9" t="n">
        <v>13</v>
      </c>
      <c r="F11" s="10" t="n">
        <v>0.55</v>
      </c>
      <c r="G11" s="10" t="n">
        <v>0.6</v>
      </c>
      <c r="H11" s="10" t="n">
        <v>0.65</v>
      </c>
      <c r="I11" s="11" t="n">
        <v>0.6</v>
      </c>
    </row>
    <row r="12" ht="17" customHeight="1">
      <c r="A12" s="4" t="inlineStr">
        <is>
          <t>NIFTY ENERGY</t>
        </is>
      </c>
      <c r="B12" s="5" t="n">
        <v>40</v>
      </c>
      <c r="C12" s="5" t="n">
        <v>24</v>
      </c>
      <c r="D12" s="5" t="n">
        <v>24</v>
      </c>
      <c r="E12" s="5" t="n">
        <v>21</v>
      </c>
      <c r="F12" s="6" t="n">
        <v>0.6</v>
      </c>
      <c r="G12" s="6" t="n">
        <v>0.6</v>
      </c>
      <c r="H12" s="6" t="n">
        <v>0.525</v>
      </c>
      <c r="I12" s="7" t="n">
        <v>0.575</v>
      </c>
    </row>
    <row r="13" ht="17" customHeight="1">
      <c r="A13" s="8" t="inlineStr">
        <is>
          <t>NIFTY REALTY</t>
        </is>
      </c>
      <c r="B13" s="9" t="n">
        <v>10</v>
      </c>
      <c r="C13" s="9" t="n">
        <v>9</v>
      </c>
      <c r="D13" s="9" t="n">
        <v>6</v>
      </c>
      <c r="E13" s="9" t="n">
        <v>2</v>
      </c>
      <c r="F13" s="10" t="n">
        <v>0.9</v>
      </c>
      <c r="G13" s="10" t="n">
        <v>0.6</v>
      </c>
      <c r="H13" s="10" t="n">
        <v>0.2</v>
      </c>
      <c r="I13" s="11" t="n">
        <v>0.5667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12</v>
      </c>
      <c r="D14" s="5" t="n">
        <v>7</v>
      </c>
      <c r="E14" s="5" t="n">
        <v>3</v>
      </c>
      <c r="F14" s="6" t="n">
        <v>0.8</v>
      </c>
      <c r="G14" s="6" t="n">
        <v>0.467</v>
      </c>
      <c r="H14" s="6" t="n">
        <v>0.2</v>
      </c>
      <c r="I14" s="7" t="n">
        <v>0.489</v>
      </c>
    </row>
    <row r="15" ht="17" customHeight="1">
      <c r="A15" s="8" t="inlineStr">
        <is>
          <t>NIFTY FMCG</t>
        </is>
      </c>
      <c r="B15" s="9" t="n">
        <v>15</v>
      </c>
      <c r="C15" s="9" t="n">
        <v>9</v>
      </c>
      <c r="D15" s="9" t="n">
        <v>5</v>
      </c>
      <c r="E15" s="9" t="n">
        <v>3</v>
      </c>
      <c r="F15" s="10" t="n">
        <v>0.6</v>
      </c>
      <c r="G15" s="10" t="n">
        <v>0.333</v>
      </c>
      <c r="H15" s="10" t="n">
        <v>0.2</v>
      </c>
      <c r="I15" s="11" t="n">
        <v>0.3777</v>
      </c>
    </row>
    <row r="16" ht="17" customHeight="1">
      <c r="A16" s="4" t="inlineStr">
        <is>
          <t>NIFTY IT</t>
        </is>
      </c>
      <c r="B16" s="5" t="n">
        <v>10</v>
      </c>
      <c r="C16" s="5" t="n">
        <v>6</v>
      </c>
      <c r="D16" s="5" t="n">
        <v>3</v>
      </c>
      <c r="E16" s="5" t="n">
        <v>1</v>
      </c>
      <c r="F16" s="6" t="n">
        <v>0.6</v>
      </c>
      <c r="G16" s="6" t="n">
        <v>0.3</v>
      </c>
      <c r="H16" s="6" t="n">
        <v>0.1</v>
      </c>
      <c r="I16" s="7" t="n">
        <v>0.3333</v>
      </c>
    </row>
    <row r="17" ht="17" customHeight="1">
      <c r="A17" s="8" t="inlineStr">
        <is>
          <t>NIFTY BANK</t>
        </is>
      </c>
      <c r="B17" s="9" t="n">
        <v>12</v>
      </c>
      <c r="C17" s="9" t="n">
        <v>4</v>
      </c>
      <c r="D17" s="9" t="n">
        <v>2</v>
      </c>
      <c r="E17" s="9" t="n">
        <v>3</v>
      </c>
      <c r="F17" s="10" t="n">
        <v>0.333</v>
      </c>
      <c r="G17" s="10" t="n">
        <v>0.167</v>
      </c>
      <c r="H17" s="10" t="n">
        <v>0.25</v>
      </c>
      <c r="I17" s="11" t="n">
        <v>0.25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2045.3</v>
      </c>
      <c r="D3" s="14" t="n">
        <v>2005.69</v>
      </c>
      <c r="E3" s="14" t="n">
        <v>2019.71</v>
      </c>
      <c r="F3" s="14" t="n">
        <v>1879.04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1039.9</v>
      </c>
      <c r="D4" s="14" t="n">
        <v>950.1799999999999</v>
      </c>
      <c r="E4" s="14" t="n">
        <v>930.89</v>
      </c>
      <c r="F4" s="14" t="n">
        <v>836.11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HINDCOPPER</t>
        </is>
      </c>
      <c r="C5" s="14" t="n">
        <v>563.75</v>
      </c>
      <c r="D5" s="14" t="n">
        <v>518.9</v>
      </c>
      <c r="E5" s="14" t="n">
        <v>520.76</v>
      </c>
      <c r="F5" s="14" t="n">
        <v>421.82</v>
      </c>
      <c r="G5" s="15">
        <f>HYPERLINK("https://www.tradingview.com/chart/?symbol=NSE:HINDCOPPER","Chart 📈")</f>
        <v/>
      </c>
    </row>
    <row r="6" ht="16" customHeight="1">
      <c r="A6" s="16" t="inlineStr">
        <is>
          <t>NIFTY METAL</t>
        </is>
      </c>
      <c r="B6" s="13" t="inlineStr">
        <is>
          <t>HINDZINC</t>
        </is>
      </c>
      <c r="C6" s="14" t="n">
        <v>592.5</v>
      </c>
      <c r="D6" s="14" t="n">
        <v>552.78</v>
      </c>
      <c r="E6" s="14" t="n">
        <v>565.66</v>
      </c>
      <c r="F6" s="14" t="n">
        <v>532.45</v>
      </c>
      <c r="G6" s="15">
        <f>HYPERLINK("https://www.tradingview.com/chart/?symbol=NSE:HINDZINC","Chart 📈")</f>
        <v/>
      </c>
    </row>
    <row r="7" ht="16" customHeight="1">
      <c r="A7" s="16" t="inlineStr">
        <is>
          <t>NIFTY METAL</t>
        </is>
      </c>
      <c r="B7" s="13" t="inlineStr">
        <is>
          <t>JINDALSTEL</t>
        </is>
      </c>
      <c r="C7" s="14" t="n">
        <v>1228.3</v>
      </c>
      <c r="D7" s="14" t="n">
        <v>1182.19</v>
      </c>
      <c r="E7" s="14" t="n">
        <v>1162.13</v>
      </c>
      <c r="F7" s="14" t="n">
        <v>1068.98</v>
      </c>
      <c r="G7" s="15">
        <f>HYPERLINK("https://www.tradingview.com/chart/?symbol=NSE:JINDALSTEL","Chart 📈")</f>
        <v/>
      </c>
    </row>
    <row r="8" ht="16" customHeight="1">
      <c r="A8" s="16" t="inlineStr">
        <is>
          <t>NIFTY METAL</t>
        </is>
      </c>
      <c r="B8" s="13" t="inlineStr">
        <is>
          <t>JSL</t>
        </is>
      </c>
      <c r="C8" s="14" t="n">
        <v>789.45</v>
      </c>
      <c r="D8" s="14" t="n">
        <v>747.52</v>
      </c>
      <c r="E8" s="14" t="n">
        <v>753.13</v>
      </c>
      <c r="F8" s="14" t="n">
        <v>738.1799999999999</v>
      </c>
      <c r="G8" s="15">
        <f>HYPERLINK("https://www.tradingview.com/chart/?symbol=NSE:JSL","Chart 📈")</f>
        <v/>
      </c>
    </row>
    <row r="9" ht="16" customHeight="1">
      <c r="A9" s="16" t="inlineStr">
        <is>
          <t>NIFTY METAL</t>
        </is>
      </c>
      <c r="B9" s="13" t="inlineStr">
        <is>
          <t>JSWSTEEL</t>
        </is>
      </c>
      <c r="C9" s="14" t="n">
        <v>1214.9</v>
      </c>
      <c r="D9" s="14" t="n">
        <v>1182.45</v>
      </c>
      <c r="E9" s="14" t="n">
        <v>1185.53</v>
      </c>
      <c r="F9" s="14" t="n">
        <v>1141.4</v>
      </c>
      <c r="G9" s="15">
        <f>HYPERLINK("https://www.tradingview.com/chart/?symbol=NSE:JSWSTEEL","Chart 📈")</f>
        <v/>
      </c>
    </row>
    <row r="10" ht="16" customHeight="1">
      <c r="A10" s="16" t="inlineStr">
        <is>
          <t>NIFTY METAL</t>
        </is>
      </c>
      <c r="B10" s="13" t="inlineStr">
        <is>
          <t>NATIONALUM</t>
        </is>
      </c>
      <c r="C10" s="14" t="n">
        <v>432.7</v>
      </c>
      <c r="D10" s="14" t="n">
        <v>399.84</v>
      </c>
      <c r="E10" s="14" t="n">
        <v>377.64</v>
      </c>
      <c r="F10" s="14" t="n">
        <v>292.95</v>
      </c>
      <c r="G10" s="15">
        <f>HYPERLINK("https://www.tradingview.com/chart/?symbol=NSE:NATIONALUM","Chart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87.16</v>
      </c>
      <c r="D11" s="14" t="n">
        <v>81.97</v>
      </c>
      <c r="E11" s="14" t="n">
        <v>80.33</v>
      </c>
      <c r="F11" s="14" t="n">
        <v>75.31999999999999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SAIL</t>
        </is>
      </c>
      <c r="C12" s="14" t="n">
        <v>171.32</v>
      </c>
      <c r="D12" s="14" t="n">
        <v>159.91</v>
      </c>
      <c r="E12" s="14" t="n">
        <v>155.76</v>
      </c>
      <c r="F12" s="14" t="n">
        <v>141.92</v>
      </c>
      <c r="G12" s="15">
        <f>HYPERLINK("https://www.tradingview.com/chart/?symbol=NSE:SAIL","Chart 📈")</f>
        <v/>
      </c>
    </row>
    <row r="13" ht="16" customHeight="1">
      <c r="A13" s="16" t="inlineStr">
        <is>
          <t>NIFTY METAL</t>
        </is>
      </c>
      <c r="B13" s="13" t="inlineStr">
        <is>
          <t>TATASTEEL</t>
        </is>
      </c>
      <c r="C13" s="14" t="n">
        <v>210.69</v>
      </c>
      <c r="D13" s="14" t="n">
        <v>200.68</v>
      </c>
      <c r="E13" s="14" t="n">
        <v>197.05</v>
      </c>
      <c r="F13" s="14" t="n">
        <v>179.18</v>
      </c>
      <c r="G13" s="15">
        <f>HYPERLINK("https://www.tradingview.com/chart/?symbol=NSE:TATASTEEL","Chart 📈")</f>
        <v/>
      </c>
    </row>
    <row r="14" ht="16" customHeight="1">
      <c r="A14" s="16" t="inlineStr">
        <is>
          <t>NIFTY METAL</t>
        </is>
      </c>
      <c r="B14" s="13" t="inlineStr">
        <is>
          <t>VEDL</t>
        </is>
      </c>
      <c r="C14" s="14" t="n">
        <v>782.85</v>
      </c>
      <c r="D14" s="14" t="n">
        <v>712.01</v>
      </c>
      <c r="E14" s="14" t="n">
        <v>683.5599999999999</v>
      </c>
      <c r="F14" s="14" t="n">
        <v>570.4</v>
      </c>
      <c r="G14" s="15">
        <f>HYPERLINK("https://www.tradingview.com/chart/?symbol=NSE:VEDL","Chart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1077.1</v>
      </c>
      <c r="D15" s="14" t="n">
        <v>906.23</v>
      </c>
      <c r="E15" s="14" t="n">
        <v>852.6900000000001</v>
      </c>
      <c r="F15" s="14" t="n">
        <v>835.62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PSU BANK</t>
        </is>
      </c>
      <c r="B16" s="17" t="inlineStr">
        <is>
          <t>CANBK</t>
        </is>
      </c>
      <c r="C16" s="18" t="n">
        <v>141.03</v>
      </c>
      <c r="D16" s="18" t="n">
        <v>137.02</v>
      </c>
      <c r="E16" s="18" t="n">
        <v>140.62</v>
      </c>
      <c r="F16" s="18" t="n">
        <v>133.04</v>
      </c>
      <c r="G16" s="19">
        <f>HYPERLINK("https://www.tradingview.com/chart/?symbol=NSE:CANBK","Chart 📈")</f>
        <v/>
      </c>
    </row>
    <row r="17" ht="16" customHeight="1">
      <c r="A17" s="20" t="inlineStr">
        <is>
          <t>NIFTY PSU BANK</t>
        </is>
      </c>
      <c r="B17" s="17" t="inlineStr">
        <is>
          <t>INDIANB</t>
        </is>
      </c>
      <c r="C17" s="18" t="n">
        <v>940.05</v>
      </c>
      <c r="D17" s="18" t="n">
        <v>918.5700000000001</v>
      </c>
      <c r="E17" s="18" t="n">
        <v>903.05</v>
      </c>
      <c r="F17" s="18" t="n">
        <v>806.14</v>
      </c>
      <c r="G17" s="19">
        <f>HYPERLINK("https://www.tradingview.com/chart/?symbol=NSE:INDIANB","Chart 📈")</f>
        <v/>
      </c>
    </row>
    <row r="18" ht="16" customHeight="1">
      <c r="A18" s="20" t="inlineStr">
        <is>
          <t>NIFTY PSU BANK</t>
        </is>
      </c>
      <c r="B18" s="17" t="inlineStr">
        <is>
          <t>MAHABANK</t>
        </is>
      </c>
      <c r="C18" s="18" t="n">
        <v>71.25</v>
      </c>
      <c r="D18" s="18" t="n">
        <v>67.75</v>
      </c>
      <c r="E18" s="18" t="n">
        <v>66.43000000000001</v>
      </c>
      <c r="F18" s="18" t="n">
        <v>60.24</v>
      </c>
      <c r="G18" s="19">
        <f>HYPERLINK("https://www.tradingview.com/chart/?symbol=NSE:MAHABANK","Chart 📈")</f>
        <v/>
      </c>
    </row>
    <row r="19" ht="16" customHeight="1">
      <c r="A19" s="20" t="inlineStr">
        <is>
          <t>NIFTY PSU BANK</t>
        </is>
      </c>
      <c r="B19" s="17" t="inlineStr">
        <is>
          <t>UNIONBANK</t>
        </is>
      </c>
      <c r="C19" s="18" t="n">
        <v>188.49</v>
      </c>
      <c r="D19" s="18" t="n">
        <v>181.17</v>
      </c>
      <c r="E19" s="18" t="n">
        <v>178.98</v>
      </c>
      <c r="F19" s="18" t="n">
        <v>159.89</v>
      </c>
      <c r="G19" s="19">
        <f>HYPERLINK("https://www.tradingview.com/chart/?symbol=NSE:UNIONBANK","Chart 📈")</f>
        <v/>
      </c>
    </row>
    <row r="20" ht="16" customHeight="1">
      <c r="A20" s="12" t="inlineStr">
        <is>
          <t>NIFTY CONSUMER DURABLES</t>
        </is>
      </c>
      <c r="B20" s="13" t="inlineStr">
        <is>
          <t>AMBER</t>
        </is>
      </c>
      <c r="C20" s="14" t="n">
        <v>7714.5</v>
      </c>
      <c r="D20" s="14" t="n">
        <v>6984.03</v>
      </c>
      <c r="E20" s="14" t="n">
        <v>6967.07</v>
      </c>
      <c r="F20" s="14" t="n">
        <v>7040.91</v>
      </c>
      <c r="G20" s="15">
        <f>HYPERLINK("https://www.tradingview.com/chart/?symbol=NSE:AMBER","Chart 📈")</f>
        <v/>
      </c>
    </row>
    <row r="21" ht="16" customHeight="1">
      <c r="A21" s="16" t="inlineStr">
        <is>
          <t>NIFTY CONSUMER DURABLES</t>
        </is>
      </c>
      <c r="B21" s="13" t="inlineStr">
        <is>
          <t>BLUESTARCO</t>
        </is>
      </c>
      <c r="C21" s="14" t="n">
        <v>1849.3</v>
      </c>
      <c r="D21" s="14" t="n">
        <v>1719.43</v>
      </c>
      <c r="E21" s="14" t="n">
        <v>1773.33</v>
      </c>
      <c r="F21" s="14" t="n">
        <v>1826.06</v>
      </c>
      <c r="G21" s="15">
        <f>HYPERLINK("https://www.tradingview.com/chart/?symbol=NSE:BLUESTARCO","Chart 📈")</f>
        <v/>
      </c>
    </row>
    <row r="22" ht="16" customHeight="1">
      <c r="A22" s="16" t="inlineStr">
        <is>
          <t>NIFTY CONSUMER DURABLES</t>
        </is>
      </c>
      <c r="B22" s="13" t="inlineStr">
        <is>
          <t>KAJARIACER</t>
        </is>
      </c>
      <c r="C22" s="14" t="n">
        <v>1170.2</v>
      </c>
      <c r="D22" s="14" t="n">
        <v>1031.16</v>
      </c>
      <c r="E22" s="14" t="n">
        <v>994.47</v>
      </c>
      <c r="F22" s="14" t="n">
        <v>1015.81</v>
      </c>
      <c r="G22" s="15">
        <f>HYPERLINK("https://www.tradingview.com/chart/?symbol=NSE:KAJARIACER","Chart 📈")</f>
        <v/>
      </c>
    </row>
    <row r="23" ht="16" customHeight="1">
      <c r="A23" s="16" t="inlineStr">
        <is>
          <t>NIFTY CONSUMER DURABLES</t>
        </is>
      </c>
      <c r="B23" s="13" t="inlineStr">
        <is>
          <t>TITAN</t>
        </is>
      </c>
      <c r="C23" s="14" t="n">
        <v>4461.4</v>
      </c>
      <c r="D23" s="14" t="n">
        <v>4273.29</v>
      </c>
      <c r="E23" s="14" t="n">
        <v>4186.6</v>
      </c>
      <c r="F23" s="14" t="n">
        <v>3894.56</v>
      </c>
      <c r="G23" s="15">
        <f>HYPERLINK("https://www.tradingview.com/chart/?symbol=NSE:TITAN","Chart 📈")</f>
        <v/>
      </c>
    </row>
    <row r="24" ht="16" customHeight="1">
      <c r="A24" s="16" t="inlineStr">
        <is>
          <t>NIFTY CONSUMER DURABLES</t>
        </is>
      </c>
      <c r="B24" s="13" t="inlineStr">
        <is>
          <t>VOLTAS</t>
        </is>
      </c>
      <c r="C24" s="14" t="n">
        <v>1408.8</v>
      </c>
      <c r="D24" s="14" t="n">
        <v>1341.8</v>
      </c>
      <c r="E24" s="14" t="n">
        <v>1379.13</v>
      </c>
      <c r="F24" s="14" t="n">
        <v>1374.37</v>
      </c>
      <c r="G24" s="15">
        <f>HYPERLINK("https://www.tradingview.com/chart/?symbol=NSE:VOLTAS","Chart 📈")</f>
        <v/>
      </c>
    </row>
    <row r="25" ht="16" customHeight="1">
      <c r="A25" s="8" t="inlineStr">
        <is>
          <t>NIFTY AUTO</t>
        </is>
      </c>
      <c r="B25" s="17" t="inlineStr">
        <is>
          <t>BAJAJ-AUTO</t>
        </is>
      </c>
      <c r="C25" s="18" t="n">
        <v>9825</v>
      </c>
      <c r="D25" s="18" t="n">
        <v>9380.15</v>
      </c>
      <c r="E25" s="18" t="n">
        <v>9377.98</v>
      </c>
      <c r="F25" s="18" t="n">
        <v>9040.120000000001</v>
      </c>
      <c r="G25" s="19">
        <f>HYPERLINK("https://www.tradingview.com/chart/?symbol=NSE:BAJAJ-AUTO","Chart 📈")</f>
        <v/>
      </c>
    </row>
    <row r="26" ht="16" customHeight="1">
      <c r="A26" s="20" t="inlineStr">
        <is>
          <t>NIFTY AUTO</t>
        </is>
      </c>
      <c r="B26" s="17" t="inlineStr">
        <is>
          <t>BHARATFORG</t>
        </is>
      </c>
      <c r="C26" s="18" t="n">
        <v>1855.8</v>
      </c>
      <c r="D26" s="18" t="n">
        <v>1756.02</v>
      </c>
      <c r="E26" s="18" t="n">
        <v>1705.26</v>
      </c>
      <c r="F26" s="18" t="n">
        <v>1465.64</v>
      </c>
      <c r="G26" s="19">
        <f>HYPERLINK("https://www.tradingview.com/chart/?symbol=NSE:BHARATFORG","Chart 📈")</f>
        <v/>
      </c>
    </row>
    <row r="27" ht="16" customHeight="1">
      <c r="A27" s="20" t="inlineStr">
        <is>
          <t>NIFTY AUTO</t>
        </is>
      </c>
      <c r="B27" s="17" t="inlineStr">
        <is>
          <t>BOSCHLTD</t>
        </is>
      </c>
      <c r="C27" s="18" t="n">
        <v>37440</v>
      </c>
      <c r="D27" s="18" t="n">
        <v>34067.49</v>
      </c>
      <c r="E27" s="18" t="n">
        <v>34066.45</v>
      </c>
      <c r="F27" s="18" t="n">
        <v>34816.47</v>
      </c>
      <c r="G27" s="19">
        <f>HYPERLINK("https://www.tradingview.com/chart/?symbol=NSE:BOSCHLTD","Chart 📈")</f>
        <v/>
      </c>
    </row>
    <row r="28" ht="16" customHeight="1">
      <c r="A28" s="20" t="inlineStr">
        <is>
          <t>NIFTY AUTO</t>
        </is>
      </c>
      <c r="B28" s="17" t="inlineStr">
        <is>
          <t>MOTHERSON</t>
        </is>
      </c>
      <c r="C28" s="18" t="n">
        <v>122.82</v>
      </c>
      <c r="D28" s="18" t="n">
        <v>116.45</v>
      </c>
      <c r="E28" s="18" t="n">
        <v>117.53</v>
      </c>
      <c r="F28" s="18" t="n">
        <v>110.81</v>
      </c>
      <c r="G28" s="19">
        <f>HYPERLINK("https://www.tradingview.com/chart/?symbol=NSE:MOTHERSON","Chart 📈")</f>
        <v/>
      </c>
    </row>
    <row r="29" ht="16" customHeight="1">
      <c r="A29" s="20" t="inlineStr">
        <is>
          <t>NIFTY AUTO</t>
        </is>
      </c>
      <c r="B29" s="17" t="inlineStr">
        <is>
          <t>TVSMOTOR</t>
        </is>
      </c>
      <c r="C29" s="18" t="n">
        <v>3757.2</v>
      </c>
      <c r="D29" s="18" t="n">
        <v>3620.96</v>
      </c>
      <c r="E29" s="18" t="n">
        <v>3627.67</v>
      </c>
      <c r="F29" s="18" t="n">
        <v>3437.34</v>
      </c>
      <c r="G29" s="19">
        <f>HYPERLINK("https://www.tradingview.com/chart/?symbol=NSE:TVSMOTOR","Chart 📈")</f>
        <v/>
      </c>
    </row>
    <row r="30" ht="16" customHeight="1">
      <c r="A30" s="12" t="inlineStr">
        <is>
          <t>NIFTY FINANCIAL SERVICES</t>
        </is>
      </c>
      <c r="B30" s="13" t="inlineStr">
        <is>
          <t>AXISBANK</t>
        </is>
      </c>
      <c r="C30" s="14" t="n">
        <v>1349.6</v>
      </c>
      <c r="D30" s="14" t="n">
        <v>1285.8</v>
      </c>
      <c r="E30" s="14" t="n">
        <v>1285.27</v>
      </c>
      <c r="F30" s="14" t="n">
        <v>1243.28</v>
      </c>
      <c r="G30" s="15">
        <f>HYPERLINK("https://www.tradingview.com/chart/?symbol=NSE:AXISBANK","Chart 📈")</f>
        <v/>
      </c>
    </row>
    <row r="31" ht="16" customHeight="1">
      <c r="A31" s="16" t="inlineStr">
        <is>
          <t>NIFTY FINANCIAL SERVICES</t>
        </is>
      </c>
      <c r="B31" s="13" t="inlineStr">
        <is>
          <t>HDFCAMC</t>
        </is>
      </c>
      <c r="C31" s="14" t="n">
        <v>2662.2</v>
      </c>
      <c r="D31" s="14" t="n">
        <v>2492.35</v>
      </c>
      <c r="E31" s="14" t="n">
        <v>2526.46</v>
      </c>
      <c r="F31" s="14" t="n">
        <v>2561.79</v>
      </c>
      <c r="G31" s="15">
        <f>HYPERLINK("https://www.tradingview.com/chart/?symbol=NSE:HDFCAMC","Chart 📈")</f>
        <v/>
      </c>
    </row>
    <row r="32" ht="16" customHeight="1">
      <c r="A32" s="16" t="inlineStr">
        <is>
          <t>NIFTY FINANCIAL SERVICES</t>
        </is>
      </c>
      <c r="B32" s="13" t="inlineStr">
        <is>
          <t>ICICIGI</t>
        </is>
      </c>
      <c r="C32" s="14" t="n">
        <v>1886.7</v>
      </c>
      <c r="D32" s="14" t="n">
        <v>1792.98</v>
      </c>
      <c r="E32" s="14" t="n">
        <v>1829.67</v>
      </c>
      <c r="F32" s="14" t="n">
        <v>1881.88</v>
      </c>
      <c r="G32" s="15">
        <f>HYPERLINK("https://www.tradingview.com/chart/?symbol=NSE:ICICIGI","Chart 📈")</f>
        <v/>
      </c>
    </row>
    <row r="33" ht="16" customHeight="1">
      <c r="A33" s="16" t="inlineStr">
        <is>
          <t>NIFTY FINANCIAL SERVICES</t>
        </is>
      </c>
      <c r="B33" s="13" t="inlineStr">
        <is>
          <t>MCX</t>
        </is>
      </c>
      <c r="C33" s="14" t="n">
        <v>2862.2</v>
      </c>
      <c r="D33" s="14" t="n">
        <v>2600.44</v>
      </c>
      <c r="E33" s="14" t="n">
        <v>2490.39</v>
      </c>
      <c r="F33" s="14" t="n">
        <v>2066.92</v>
      </c>
      <c r="G33" s="15">
        <f>HYPERLINK("https://www.tradingview.com/chart/?symbol=NSE:MCX","Chart 📈")</f>
        <v/>
      </c>
    </row>
    <row r="34" ht="16" customHeight="1">
      <c r="A34" s="16" t="inlineStr">
        <is>
          <t>NIFTY FINANCIAL SERVICES</t>
        </is>
      </c>
      <c r="B34" s="13" t="inlineStr">
        <is>
          <t>MUTHOOTFIN</t>
        </is>
      </c>
      <c r="C34" s="14" t="n">
        <v>3578</v>
      </c>
      <c r="D34" s="14" t="n">
        <v>3410.71</v>
      </c>
      <c r="E34" s="14" t="n">
        <v>3453.89</v>
      </c>
      <c r="F34" s="14" t="n">
        <v>3252.43</v>
      </c>
      <c r="G34" s="15">
        <f>HYPERLINK("https://www.tradingview.com/chart/?symbol=NSE:MUTHOOTFIN","Chart 📈")</f>
        <v/>
      </c>
    </row>
    <row r="35" ht="16" customHeight="1">
      <c r="A35" s="16" t="inlineStr">
        <is>
          <t>NIFTY FINANCIAL SERVICES</t>
        </is>
      </c>
      <c r="B35" s="13" t="inlineStr">
        <is>
          <t>PFC</t>
        </is>
      </c>
      <c r="C35" s="14" t="n">
        <v>458.9</v>
      </c>
      <c r="D35" s="14" t="n">
        <v>418.8</v>
      </c>
      <c r="E35" s="14" t="n">
        <v>405.17</v>
      </c>
      <c r="F35" s="14" t="n">
        <v>390.35</v>
      </c>
      <c r="G35" s="15">
        <f>HYPERLINK("https://www.tradingview.com/chart/?symbol=NSE:PFC","Chart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RECLTD</t>
        </is>
      </c>
      <c r="C36" s="14" t="n">
        <v>364.2</v>
      </c>
      <c r="D36" s="14" t="n">
        <v>338.94</v>
      </c>
      <c r="E36" s="14" t="n">
        <v>340.84</v>
      </c>
      <c r="F36" s="14" t="n">
        <v>356.69</v>
      </c>
      <c r="G36" s="15">
        <f>HYPERLINK("https://www.tradingview.com/chart/?symbol=NSE:RECLTD","Chart 📈")</f>
        <v/>
      </c>
    </row>
    <row r="37" ht="16" customHeight="1">
      <c r="A37" s="16" t="inlineStr">
        <is>
          <t>NIFTY FINANCIAL SERVICES</t>
        </is>
      </c>
      <c r="B37" s="13" t="inlineStr">
        <is>
          <t>SBILIFE</t>
        </is>
      </c>
      <c r="C37" s="14" t="n">
        <v>1974.7</v>
      </c>
      <c r="D37" s="14" t="n">
        <v>1903.22</v>
      </c>
      <c r="E37" s="14" t="n">
        <v>1937.26</v>
      </c>
      <c r="F37" s="14" t="n">
        <v>1904.65</v>
      </c>
      <c r="G37" s="15">
        <f>HYPERLINK("https://www.tradingview.com/chart/?symbol=NSE:SBILIFE","Chart 📈")</f>
        <v/>
      </c>
    </row>
    <row r="38" ht="16" customHeight="1">
      <c r="A38" s="16" t="inlineStr">
        <is>
          <t>NIFTY FINANCIAL SERVICES</t>
        </is>
      </c>
      <c r="B38" s="13" t="inlineStr">
        <is>
          <t>SHRIRAMFIN</t>
        </is>
      </c>
      <c r="C38" s="14" t="n">
        <v>1022.75</v>
      </c>
      <c r="D38" s="14" t="n">
        <v>980.73</v>
      </c>
      <c r="E38" s="14" t="n">
        <v>982.89</v>
      </c>
      <c r="F38" s="14" t="n">
        <v>863.75</v>
      </c>
      <c r="G38" s="15">
        <f>HYPERLINK("https://www.tradingview.com/chart/?symbol=NSE:SHRIRAMFIN","Chart 📈")</f>
        <v/>
      </c>
    </row>
    <row r="39" ht="16" customHeight="1">
      <c r="A39" s="8" t="inlineStr">
        <is>
          <t>NIFTY MEDIA</t>
        </is>
      </c>
      <c r="B39" s="17" t="inlineStr">
        <is>
          <t>SUNTV</t>
        </is>
      </c>
      <c r="C39" s="18" t="n">
        <v>632.2</v>
      </c>
      <c r="D39" s="18" t="n">
        <v>599.39</v>
      </c>
      <c r="E39" s="18" t="n">
        <v>587.98</v>
      </c>
      <c r="F39" s="18" t="n">
        <v>581.15</v>
      </c>
      <c r="G39" s="19">
        <f>HYPERLINK("https://www.tradingview.com/chart/?symbol=NSE:SUNTV","Chart 📈")</f>
        <v/>
      </c>
    </row>
    <row r="40" ht="16" customHeight="1">
      <c r="A40" s="20" t="inlineStr">
        <is>
          <t>NIFTY MEDIA</t>
        </is>
      </c>
      <c r="B40" s="17" t="inlineStr">
        <is>
          <t>TIPSMUSIC</t>
        </is>
      </c>
      <c r="C40" s="18" t="n">
        <v>574.5</v>
      </c>
      <c r="D40" s="18" t="n">
        <v>533.04</v>
      </c>
      <c r="E40" s="18" t="n">
        <v>530.96</v>
      </c>
      <c r="F40" s="18" t="n">
        <v>554</v>
      </c>
      <c r="G40" s="19">
        <f>HYPERLINK("https://www.tradingview.com/chart/?symbol=NSE:TIPSMUSIC","Chart 📈")</f>
        <v/>
      </c>
    </row>
    <row r="41" ht="16" customHeight="1">
      <c r="A41" s="12" t="inlineStr">
        <is>
          <t>NIFTY MIDSMALL IT &amp; TELECOM</t>
        </is>
      </c>
      <c r="B41" s="13" t="inlineStr">
        <is>
          <t>HFCL</t>
        </is>
      </c>
      <c r="C41" s="14" t="n">
        <v>91.48</v>
      </c>
      <c r="D41" s="14" t="n">
        <v>77.26000000000001</v>
      </c>
      <c r="E41" s="14" t="n">
        <v>73.09999999999999</v>
      </c>
      <c r="F41" s="14" t="n">
        <v>73.28</v>
      </c>
      <c r="G41" s="15">
        <f>HYPERLINK("https://www.tradingview.com/chart/?symbol=NSE:HFCL","Chart 📈")</f>
        <v/>
      </c>
    </row>
    <row r="42" ht="16" customHeight="1">
      <c r="A42" s="16" t="inlineStr">
        <is>
          <t>NIFTY MIDSMALL IT &amp; TELECOM</t>
        </is>
      </c>
      <c r="B42" s="13" t="inlineStr">
        <is>
          <t>OFSS</t>
        </is>
      </c>
      <c r="C42" s="14" t="n">
        <v>7776</v>
      </c>
      <c r="D42" s="14" t="n">
        <v>7065.62</v>
      </c>
      <c r="E42" s="14" t="n">
        <v>7070.03</v>
      </c>
      <c r="F42" s="14" t="n">
        <v>7666.11</v>
      </c>
      <c r="G42" s="15">
        <f>HYPERLINK("https://www.tradingview.com/chart/?symbol=NSE:OFSS","Chart 📈")</f>
        <v/>
      </c>
    </row>
    <row r="43" ht="16" customHeight="1">
      <c r="A43" s="16" t="inlineStr">
        <is>
          <t>NIFTY MIDSMALL IT &amp; TELECOM</t>
        </is>
      </c>
      <c r="B43" s="13" t="inlineStr">
        <is>
          <t>PERSISTENT</t>
        </is>
      </c>
      <c r="C43" s="14" t="n">
        <v>5500.5</v>
      </c>
      <c r="D43" s="14" t="n">
        <v>5195.06</v>
      </c>
      <c r="E43" s="14" t="n">
        <v>5266.06</v>
      </c>
      <c r="F43" s="14" t="n">
        <v>5495.39</v>
      </c>
      <c r="G43" s="15">
        <f>HYPERLINK("https://www.tradingview.com/chart/?symbol=NSE:PERSISTENT","Chart 📈")</f>
        <v/>
      </c>
    </row>
    <row r="44" ht="16" customHeight="1">
      <c r="A44" s="8" t="inlineStr">
        <is>
          <t>NIFTY PHARMA</t>
        </is>
      </c>
      <c r="B44" s="17" t="inlineStr">
        <is>
          <t>ALKEM</t>
        </is>
      </c>
      <c r="C44" s="18" t="n">
        <v>5570</v>
      </c>
      <c r="D44" s="18" t="n">
        <v>5384.13</v>
      </c>
      <c r="E44" s="18" t="n">
        <v>5439.27</v>
      </c>
      <c r="F44" s="18" t="n">
        <v>5389.73</v>
      </c>
      <c r="G44" s="19">
        <f>HYPERLINK("https://www.tradingview.com/chart/?symbol=NSE:ALKEM","Chart 📈")</f>
        <v/>
      </c>
    </row>
    <row r="45" ht="16" customHeight="1">
      <c r="A45" s="20" t="inlineStr">
        <is>
          <t>NIFTY PHARMA</t>
        </is>
      </c>
      <c r="B45" s="17" t="inlineStr">
        <is>
          <t>AUROPHARMA</t>
        </is>
      </c>
      <c r="C45" s="18" t="n">
        <v>1386.5</v>
      </c>
      <c r="D45" s="18" t="n">
        <v>1320.76</v>
      </c>
      <c r="E45" s="18" t="n">
        <v>1269.65</v>
      </c>
      <c r="F45" s="18" t="n">
        <v>1191.64</v>
      </c>
      <c r="G45" s="19">
        <f>HYPERLINK("https://www.tradingview.com/chart/?symbol=NSE:AUROPHARMA","Chart 📈")</f>
        <v/>
      </c>
    </row>
    <row r="46" ht="16" customHeight="1">
      <c r="A46" s="20" t="inlineStr">
        <is>
          <t>NIFTY PHARMA</t>
        </is>
      </c>
      <c r="B46" s="17" t="inlineStr">
        <is>
          <t>DIVISLAB</t>
        </is>
      </c>
      <c r="C46" s="18" t="n">
        <v>6293.5</v>
      </c>
      <c r="D46" s="18" t="n">
        <v>6065.65</v>
      </c>
      <c r="E46" s="18" t="n">
        <v>6139.15</v>
      </c>
      <c r="F46" s="18" t="n">
        <v>6222.8</v>
      </c>
      <c r="G46" s="19">
        <f>HYPERLINK("https://www.tradingview.com/chart/?symbol=NSE:DIVISLAB","Chart 📈")</f>
        <v/>
      </c>
    </row>
    <row r="47" ht="16" customHeight="1">
      <c r="A47" s="20" t="inlineStr">
        <is>
          <t>NIFTY PHARMA</t>
        </is>
      </c>
      <c r="B47" s="17" t="inlineStr">
        <is>
          <t>GLENMARK</t>
        </is>
      </c>
      <c r="C47" s="18" t="n">
        <v>2249.5</v>
      </c>
      <c r="D47" s="18" t="n">
        <v>2161.38</v>
      </c>
      <c r="E47" s="18" t="n">
        <v>2112.07</v>
      </c>
      <c r="F47" s="18" t="n">
        <v>1947.13</v>
      </c>
      <c r="G47" s="19">
        <f>HYPERLINK("https://www.tradingview.com/chart/?symbol=NSE:GLENMARK","Chart 📈")</f>
        <v/>
      </c>
    </row>
    <row r="48" ht="16" customHeight="1">
      <c r="A48" s="20" t="inlineStr">
        <is>
          <t>NIFTY PHARMA</t>
        </is>
      </c>
      <c r="B48" s="17" t="inlineStr">
        <is>
          <t>GRANULES</t>
        </is>
      </c>
      <c r="C48" s="18" t="n">
        <v>651</v>
      </c>
      <c r="D48" s="18" t="n">
        <v>622.08</v>
      </c>
      <c r="E48" s="18" t="n">
        <v>601.8200000000001</v>
      </c>
      <c r="F48" s="18" t="n">
        <v>558.1799999999999</v>
      </c>
      <c r="G48" s="19">
        <f>HYPERLINK("https://www.tradingview.com/chart/?symbol=NSE:GRANULES","Chart 📈")</f>
        <v/>
      </c>
    </row>
    <row r="49" ht="16" customHeight="1">
      <c r="A49" s="20" t="inlineStr">
        <is>
          <t>NIFTY PHARMA</t>
        </is>
      </c>
      <c r="B49" s="17" t="inlineStr">
        <is>
          <t>LAURUSLABS</t>
        </is>
      </c>
      <c r="C49" s="18" t="n">
        <v>1128.35</v>
      </c>
      <c r="D49" s="18" t="n">
        <v>1056.59</v>
      </c>
      <c r="E49" s="18" t="n">
        <v>1035.39</v>
      </c>
      <c r="F49" s="18" t="n">
        <v>943.7</v>
      </c>
      <c r="G49" s="19">
        <f>HYPERLINK("https://www.tradingview.com/chart/?symbol=NSE:LAURUSLABS","Chart 📈")</f>
        <v/>
      </c>
    </row>
    <row r="50" ht="16" customHeight="1">
      <c r="A50" s="20" t="inlineStr">
        <is>
          <t>NIFTY PHARMA</t>
        </is>
      </c>
      <c r="B50" s="17" t="inlineStr">
        <is>
          <t>LUPIN</t>
        </is>
      </c>
      <c r="C50" s="18" t="n">
        <v>2327</v>
      </c>
      <c r="D50" s="18" t="n">
        <v>2307.53</v>
      </c>
      <c r="E50" s="18" t="n">
        <v>2270.17</v>
      </c>
      <c r="F50" s="18" t="n">
        <v>2121.76</v>
      </c>
      <c r="G50" s="19">
        <f>HYPERLINK("https://www.tradingview.com/chart/?symbol=NSE:LUPIN","Chart 📈")</f>
        <v/>
      </c>
    </row>
    <row r="51" ht="16" customHeight="1">
      <c r="A51" s="20" t="inlineStr">
        <is>
          <t>NIFTY PHARMA</t>
        </is>
      </c>
      <c r="B51" s="17" t="inlineStr">
        <is>
          <t>NATCOPHARM</t>
        </is>
      </c>
      <c r="C51" s="18" t="n">
        <v>1086.8</v>
      </c>
      <c r="D51" s="18" t="n">
        <v>1035.3</v>
      </c>
      <c r="E51" s="18" t="n">
        <v>977.36</v>
      </c>
      <c r="F51" s="18" t="n">
        <v>904.02</v>
      </c>
      <c r="G51" s="19">
        <f>HYPERLINK("https://www.tradingview.com/chart/?symbol=NSE:NATCOPHARM","Chart 📈")</f>
        <v/>
      </c>
    </row>
    <row r="52" ht="16" customHeight="1">
      <c r="A52" s="20" t="inlineStr">
        <is>
          <t>NIFTY PHARMA</t>
        </is>
      </c>
      <c r="B52" s="17" t="inlineStr">
        <is>
          <t>ZYDUSLIFE</t>
        </is>
      </c>
      <c r="C52" s="18" t="n">
        <v>939.1</v>
      </c>
      <c r="D52" s="18" t="n">
        <v>901.6</v>
      </c>
      <c r="E52" s="18" t="n">
        <v>902.0700000000001</v>
      </c>
      <c r="F52" s="18" t="n">
        <v>915.85</v>
      </c>
      <c r="G52" s="19">
        <f>HYPERLINK("https://www.tradingview.com/chart/?symbol=NSE:ZYDUSLIFE","Chart 📈")</f>
        <v/>
      </c>
    </row>
    <row r="53" ht="16" customHeight="1">
      <c r="A53" s="12" t="inlineStr">
        <is>
          <t>NIFTY ENERGY</t>
        </is>
      </c>
      <c r="B53" s="13" t="inlineStr">
        <is>
          <t>ABB</t>
        </is>
      </c>
      <c r="C53" s="14" t="n">
        <v>6883.5</v>
      </c>
      <c r="D53" s="14" t="n">
        <v>6428.35</v>
      </c>
      <c r="E53" s="14" t="n">
        <v>6095.69</v>
      </c>
      <c r="F53" s="14" t="n">
        <v>5600.74</v>
      </c>
      <c r="G53" s="15">
        <f>HYPERLINK("https://www.tradingview.com/chart/?symbol=NSE:ABB","Chart 📈")</f>
        <v/>
      </c>
    </row>
    <row r="54" ht="16" customHeight="1">
      <c r="A54" s="16" t="inlineStr">
        <is>
          <t>NIFTY ENERGY</t>
        </is>
      </c>
      <c r="B54" s="13" t="inlineStr">
        <is>
          <t>ADANIENSOL</t>
        </is>
      </c>
      <c r="C54" s="14" t="n">
        <v>1222.6</v>
      </c>
      <c r="D54" s="14" t="n">
        <v>1058.91</v>
      </c>
      <c r="E54" s="14" t="n">
        <v>1017.76</v>
      </c>
      <c r="F54" s="14" t="n">
        <v>957.29</v>
      </c>
      <c r="G54" s="15">
        <f>HYPERLINK("https://www.tradingview.com/chart/?symbol=NSE:ADANIENSOL","Chart 📈")</f>
        <v/>
      </c>
    </row>
    <row r="55" ht="16" customHeight="1">
      <c r="A55" s="16" t="inlineStr">
        <is>
          <t>NIFTY ENERGY</t>
        </is>
      </c>
      <c r="B55" s="13" t="inlineStr">
        <is>
          <t>ADANIGREEN</t>
        </is>
      </c>
      <c r="C55" s="14" t="n">
        <v>1118.9</v>
      </c>
      <c r="D55" s="14" t="n">
        <v>968.14</v>
      </c>
      <c r="E55" s="14" t="n">
        <v>941.27</v>
      </c>
      <c r="F55" s="14" t="n">
        <v>966.54</v>
      </c>
      <c r="G55" s="15">
        <f>HYPERLINK("https://www.tradingview.com/chart/?symbol=NSE:ADANIGREEN","Chart 📈")</f>
        <v/>
      </c>
    </row>
    <row r="56" ht="16" customHeight="1">
      <c r="A56" s="16" t="inlineStr">
        <is>
          <t>NIFTY ENERGY</t>
        </is>
      </c>
      <c r="B56" s="13" t="inlineStr">
        <is>
          <t>ADANIPOWER</t>
        </is>
      </c>
      <c r="C56" s="14" t="n">
        <v>193.19</v>
      </c>
      <c r="D56" s="14" t="n">
        <v>165.24</v>
      </c>
      <c r="E56" s="14" t="n">
        <v>154.91</v>
      </c>
      <c r="F56" s="14" t="n">
        <v>141.1</v>
      </c>
      <c r="G56" s="15">
        <f>HYPERLINK("https://www.tradingview.com/chart/?symbol=NSE:ADANIPOWER","Chart 📈")</f>
        <v/>
      </c>
    </row>
    <row r="57" ht="16" customHeight="1">
      <c r="A57" s="16" t="inlineStr">
        <is>
          <t>NIFTY ENERGY</t>
        </is>
      </c>
      <c r="B57" s="13" t="inlineStr">
        <is>
          <t>BHEL</t>
        </is>
      </c>
      <c r="C57" s="14" t="n">
        <v>309.26</v>
      </c>
      <c r="D57" s="14" t="n">
        <v>269.93</v>
      </c>
      <c r="E57" s="14" t="n">
        <v>265.13</v>
      </c>
      <c r="F57" s="14" t="n">
        <v>257.25</v>
      </c>
      <c r="G57" s="15">
        <f>HYPERLINK("https://www.tradingview.com/chart/?symbol=NSE:BHEL","Chart 📈")</f>
        <v/>
      </c>
    </row>
    <row r="58" ht="16" customHeight="1">
      <c r="A58" s="16" t="inlineStr">
        <is>
          <t>NIFTY ENERGY</t>
        </is>
      </c>
      <c r="B58" s="13" t="inlineStr">
        <is>
          <t>CESC</t>
        </is>
      </c>
      <c r="C58" s="14" t="n">
        <v>170.48</v>
      </c>
      <c r="D58" s="14" t="n">
        <v>157.1</v>
      </c>
      <c r="E58" s="14" t="n">
        <v>156.33</v>
      </c>
      <c r="F58" s="14" t="n">
        <v>159.56</v>
      </c>
      <c r="G58" s="15">
        <f>HYPERLINK("https://www.tradingview.com/chart/?symbol=NSE:CESC","Chart 📈")</f>
        <v/>
      </c>
    </row>
    <row r="59" ht="16" customHeight="1">
      <c r="A59" s="16" t="inlineStr">
        <is>
          <t>NIFTY ENERGY</t>
        </is>
      </c>
      <c r="B59" s="13" t="inlineStr">
        <is>
          <t>CGPOWER</t>
        </is>
      </c>
      <c r="C59" s="14" t="n">
        <v>755.9</v>
      </c>
      <c r="D59" s="14" t="n">
        <v>708.84</v>
      </c>
      <c r="E59" s="14" t="n">
        <v>692.59</v>
      </c>
      <c r="F59" s="14" t="n">
        <v>677.53</v>
      </c>
      <c r="G59" s="15">
        <f>HYPERLINK("https://www.tradingview.com/chart/?symbol=NSE:CGPOWER","Chart 📈")</f>
        <v/>
      </c>
    </row>
    <row r="60" ht="16" customHeight="1">
      <c r="A60" s="16" t="inlineStr">
        <is>
          <t>NIFTY ENERGY</t>
        </is>
      </c>
      <c r="B60" s="13" t="inlineStr">
        <is>
          <t>GVT&amp;D</t>
        </is>
      </c>
      <c r="C60" s="14" t="n">
        <v>4074.2</v>
      </c>
      <c r="D60" s="14" t="n">
        <v>3842.46</v>
      </c>
      <c r="E60" s="14" t="n">
        <v>3653.68</v>
      </c>
      <c r="F60" s="14" t="n">
        <v>3047.67</v>
      </c>
      <c r="G60" s="15">
        <f>HYPERLINK("https://www.tradingview.com/chart/?symbol=NSE:GVT&amp;D","Chart 📈")</f>
        <v/>
      </c>
    </row>
    <row r="61" ht="16" customHeight="1">
      <c r="A61" s="16" t="inlineStr">
        <is>
          <t>NIFTY ENERGY</t>
        </is>
      </c>
      <c r="B61" s="13" t="inlineStr">
        <is>
          <t>JPPOWER</t>
        </is>
      </c>
      <c r="C61" s="14" t="n">
        <v>19.61</v>
      </c>
      <c r="D61" s="14" t="n">
        <v>16.2</v>
      </c>
      <c r="E61" s="14" t="n">
        <v>15.7</v>
      </c>
      <c r="F61" s="14" t="n">
        <v>16.62</v>
      </c>
      <c r="G61" s="15">
        <f>HYPERLINK("https://www.tradingview.com/chart/?symbol=NSE:JPPOWER","Chart 📈")</f>
        <v/>
      </c>
    </row>
    <row r="62" ht="16" customHeight="1">
      <c r="A62" s="16" t="inlineStr">
        <is>
          <t>NIFTY ENERGY</t>
        </is>
      </c>
      <c r="B62" s="13" t="inlineStr">
        <is>
          <t>JSWENERGY</t>
        </is>
      </c>
      <c r="C62" s="14" t="n">
        <v>535.95</v>
      </c>
      <c r="D62" s="14" t="n">
        <v>500.14</v>
      </c>
      <c r="E62" s="14" t="n">
        <v>493.59</v>
      </c>
      <c r="F62" s="14" t="n">
        <v>498.98</v>
      </c>
      <c r="G62" s="15">
        <f>HYPERLINK("https://www.tradingview.com/chart/?symbol=NSE:JSWENERGY","Chart 📈")</f>
        <v/>
      </c>
    </row>
    <row r="63" ht="16" customHeight="1">
      <c r="A63" s="16" t="inlineStr">
        <is>
          <t>NIFTY ENERGY</t>
        </is>
      </c>
      <c r="B63" s="13" t="inlineStr">
        <is>
          <t>NHPC</t>
        </is>
      </c>
      <c r="C63" s="14" t="n">
        <v>81.38</v>
      </c>
      <c r="D63" s="14" t="n">
        <v>77.01000000000001</v>
      </c>
      <c r="E63" s="14" t="n">
        <v>76.54000000000001</v>
      </c>
      <c r="F63" s="14" t="n">
        <v>78.88</v>
      </c>
      <c r="G63" s="15">
        <f>HYPERLINK("https://www.tradingview.com/chart/?symbol=NSE:NHPC","Chart 📈")</f>
        <v/>
      </c>
    </row>
    <row r="64" ht="16" customHeight="1">
      <c r="A64" s="16" t="inlineStr">
        <is>
          <t>NIFTY ENERGY</t>
        </is>
      </c>
      <c r="B64" s="13" t="inlineStr">
        <is>
          <t>NLCINDIA</t>
        </is>
      </c>
      <c r="C64" s="14" t="n">
        <v>297.75</v>
      </c>
      <c r="D64" s="14" t="n">
        <v>270.7</v>
      </c>
      <c r="E64" s="14" t="n">
        <v>263.71</v>
      </c>
      <c r="F64" s="14" t="n">
        <v>252.02</v>
      </c>
      <c r="G64" s="15">
        <f>HYPERLINK("https://www.tradingview.com/chart/?symbol=NSE:NLCINDIA","Chart 📈")</f>
        <v/>
      </c>
    </row>
    <row r="65" ht="16" customHeight="1">
      <c r="A65" s="16" t="inlineStr">
        <is>
          <t>NIFTY ENERGY</t>
        </is>
      </c>
      <c r="B65" s="13" t="inlineStr">
        <is>
          <t>NTPC</t>
        </is>
      </c>
      <c r="C65" s="14" t="n">
        <v>390.8</v>
      </c>
      <c r="D65" s="14" t="n">
        <v>378.04</v>
      </c>
      <c r="E65" s="14" t="n">
        <v>370.35</v>
      </c>
      <c r="F65" s="14" t="n">
        <v>349.36</v>
      </c>
      <c r="G65" s="15">
        <f>HYPERLINK("https://www.tradingview.com/chart/?symbol=NSE:NTPC","Chart 📈")</f>
        <v/>
      </c>
    </row>
    <row r="66" ht="16" customHeight="1">
      <c r="A66" s="16" t="inlineStr">
        <is>
          <t>NIFTY ENERGY</t>
        </is>
      </c>
      <c r="B66" s="13" t="inlineStr">
        <is>
          <t>POWERGRID</t>
        </is>
      </c>
      <c r="C66" s="14" t="n">
        <v>312.25</v>
      </c>
      <c r="D66" s="14" t="n">
        <v>299.78</v>
      </c>
      <c r="E66" s="14" t="n">
        <v>293.12</v>
      </c>
      <c r="F66" s="14" t="n">
        <v>283.32</v>
      </c>
      <c r="G66" s="15">
        <f>HYPERLINK("https://www.tradingview.com/chart/?symbol=NSE:POWERGRID","Chart 📈")</f>
        <v/>
      </c>
    </row>
    <row r="67" ht="16" customHeight="1">
      <c r="A67" s="16" t="inlineStr">
        <is>
          <t>NIFTY ENERGY</t>
        </is>
      </c>
      <c r="B67" s="13" t="inlineStr">
        <is>
          <t>POWERINDIA</t>
        </is>
      </c>
      <c r="C67" s="14" t="n">
        <v>28255</v>
      </c>
      <c r="D67" s="14" t="n">
        <v>26149.29</v>
      </c>
      <c r="E67" s="14" t="n">
        <v>24299.48</v>
      </c>
      <c r="F67" s="14" t="n">
        <v>20544.54</v>
      </c>
      <c r="G67" s="15">
        <f>HYPERLINK("https://www.tradingview.com/chart/?symbol=NSE:POWERINDIA","Chart 📈")</f>
        <v/>
      </c>
    </row>
    <row r="68" ht="16" customHeight="1">
      <c r="A68" s="16" t="inlineStr">
        <is>
          <t>NIFTY ENERGY</t>
        </is>
      </c>
      <c r="B68" s="13" t="inlineStr">
        <is>
          <t>SCHNEIDER</t>
        </is>
      </c>
      <c r="C68" s="14" t="n">
        <v>998.25</v>
      </c>
      <c r="D68" s="14" t="n">
        <v>936.4400000000001</v>
      </c>
      <c r="E68" s="14" t="n">
        <v>877.66</v>
      </c>
      <c r="F68" s="14" t="n">
        <v>798.8099999999999</v>
      </c>
      <c r="G68" s="15">
        <f>HYPERLINK("https://www.tradingview.com/chart/?symbol=NSE:SCHNEIDER","Chart 📈")</f>
        <v/>
      </c>
    </row>
    <row r="69" ht="16" customHeight="1">
      <c r="A69" s="16" t="inlineStr">
        <is>
          <t>NIFTY ENERGY</t>
        </is>
      </c>
      <c r="B69" s="13" t="inlineStr">
        <is>
          <t>SIEMENS</t>
        </is>
      </c>
      <c r="C69" s="14" t="n">
        <v>3563.8</v>
      </c>
      <c r="D69" s="14" t="n">
        <v>3240.44</v>
      </c>
      <c r="E69" s="14" t="n">
        <v>3190.25</v>
      </c>
      <c r="F69" s="14" t="n">
        <v>3128.6</v>
      </c>
      <c r="G69" s="15">
        <f>HYPERLINK("https://www.tradingview.com/chart/?symbol=NSE:SIEMENS","Chart 📈")</f>
        <v/>
      </c>
    </row>
    <row r="70" ht="16" customHeight="1">
      <c r="A70" s="16" t="inlineStr">
        <is>
          <t>NIFTY ENERGY</t>
        </is>
      </c>
      <c r="B70" s="13" t="inlineStr">
        <is>
          <t>TATAPOWER</t>
        </is>
      </c>
      <c r="C70" s="14" t="n">
        <v>426.6</v>
      </c>
      <c r="D70" s="14" t="n">
        <v>396.68</v>
      </c>
      <c r="E70" s="14" t="n">
        <v>387.56</v>
      </c>
      <c r="F70" s="14" t="n">
        <v>384.47</v>
      </c>
      <c r="G70" s="15">
        <f>HYPERLINK("https://www.tradingview.com/chart/?symbol=NSE:TATAPOWER","Chart 📈")</f>
        <v/>
      </c>
    </row>
    <row r="71" ht="16" customHeight="1">
      <c r="A71" s="16" t="inlineStr">
        <is>
          <t>NIFTY ENERGY</t>
        </is>
      </c>
      <c r="B71" s="13" t="inlineStr">
        <is>
          <t>THERMAX</t>
        </is>
      </c>
      <c r="C71" s="14" t="n">
        <v>4126.4</v>
      </c>
      <c r="D71" s="14" t="n">
        <v>3480.31</v>
      </c>
      <c r="E71" s="14" t="n">
        <v>3266.35</v>
      </c>
      <c r="F71" s="14" t="n">
        <v>3190.43</v>
      </c>
      <c r="G71" s="15">
        <f>HYPERLINK("https://www.tradingview.com/chart/?symbol=NSE:THERMAX","Chart 📈")</f>
        <v/>
      </c>
    </row>
    <row r="72" ht="16" customHeight="1">
      <c r="A72" s="16" t="inlineStr">
        <is>
          <t>NIFTY ENERGY</t>
        </is>
      </c>
      <c r="B72" s="13" t="inlineStr">
        <is>
          <t>TORNTPOWER</t>
        </is>
      </c>
      <c r="C72" s="14" t="n">
        <v>1521.6</v>
      </c>
      <c r="D72" s="14" t="n">
        <v>1438.71</v>
      </c>
      <c r="E72" s="14" t="n">
        <v>1423.79</v>
      </c>
      <c r="F72" s="14" t="n">
        <v>1386.69</v>
      </c>
      <c r="G72" s="15">
        <f>HYPERLINK("https://www.tradingview.com/chart/?symbol=NSE:TORNTPOWER","Chart 📈")</f>
        <v/>
      </c>
    </row>
    <row r="73" ht="16" customHeight="1">
      <c r="A73" s="8" t="inlineStr">
        <is>
          <t>NIFTY REALTY</t>
        </is>
      </c>
      <c r="B73" s="17" t="inlineStr">
        <is>
          <t>OBEROIRLTY</t>
        </is>
      </c>
      <c r="C73" s="18" t="n">
        <v>1710.4</v>
      </c>
      <c r="D73" s="18" t="n">
        <v>1573.19</v>
      </c>
      <c r="E73" s="18" t="n">
        <v>1548.37</v>
      </c>
      <c r="F73" s="18" t="n">
        <v>1608.91</v>
      </c>
      <c r="G73" s="19">
        <f>HYPERLINK("https://www.tradingview.com/chart/?symbol=NSE:OBEROIRLTY","Chart 📈")</f>
        <v/>
      </c>
    </row>
    <row r="74" ht="16" customHeight="1">
      <c r="A74" s="20" t="inlineStr">
        <is>
          <t>NIFTY REALTY</t>
        </is>
      </c>
      <c r="B74" s="17" t="inlineStr">
        <is>
          <t>PHOENIXLTD</t>
        </is>
      </c>
      <c r="C74" s="18" t="n">
        <v>1782.3</v>
      </c>
      <c r="D74" s="18" t="n">
        <v>1653.11</v>
      </c>
      <c r="E74" s="18" t="n">
        <v>1660.66</v>
      </c>
      <c r="F74" s="18" t="n">
        <v>1665.03</v>
      </c>
      <c r="G74" s="19">
        <f>HYPERLINK("https://www.tradingview.com/chart/?symbol=NSE:PHOENIXLTD","Chart 📈")</f>
        <v/>
      </c>
    </row>
    <row r="75" ht="16" customHeight="1">
      <c r="A75" s="12" t="inlineStr">
        <is>
          <t>NIFTY OIL &amp; GAS</t>
        </is>
      </c>
      <c r="B75" s="13" t="inlineStr">
        <is>
          <t>ATGL</t>
        </is>
      </c>
      <c r="C75" s="14" t="n">
        <v>597.6</v>
      </c>
      <c r="D75" s="14" t="n">
        <v>547.62</v>
      </c>
      <c r="E75" s="14" t="n">
        <v>540.89</v>
      </c>
      <c r="F75" s="14" t="n">
        <v>575.72</v>
      </c>
      <c r="G75" s="15">
        <f>HYPERLINK("https://www.tradingview.com/chart/?symbol=NSE:ATGL","Chart 📈")</f>
        <v/>
      </c>
    </row>
    <row r="76" ht="16" customHeight="1">
      <c r="A76" s="16" t="inlineStr">
        <is>
          <t>NIFTY OIL &amp; GAS</t>
        </is>
      </c>
      <c r="B76" s="13" t="inlineStr">
        <is>
          <t>ONGC</t>
        </is>
      </c>
      <c r="C76" s="14" t="n">
        <v>282.75</v>
      </c>
      <c r="D76" s="14" t="n">
        <v>280.59</v>
      </c>
      <c r="E76" s="14" t="n">
        <v>271.23</v>
      </c>
      <c r="F76" s="14" t="n">
        <v>249.11</v>
      </c>
      <c r="G76" s="15">
        <f>HYPERLINK("https://www.tradingview.com/chart/?symbol=NSE:ONGC","Chart 📈")</f>
        <v/>
      </c>
    </row>
    <row r="77" ht="16" customHeight="1">
      <c r="A77" s="8" t="inlineStr">
        <is>
          <t>NIFTY FMCG</t>
        </is>
      </c>
      <c r="B77" s="17" t="inlineStr">
        <is>
          <t>NESTLEIND</t>
        </is>
      </c>
      <c r="C77" s="18" t="n">
        <v>1257.4</v>
      </c>
      <c r="D77" s="18" t="n">
        <v>1225.5</v>
      </c>
      <c r="E77" s="18" t="n">
        <v>1240.04</v>
      </c>
      <c r="F77" s="18" t="n">
        <v>1233.3</v>
      </c>
      <c r="G77" s="19">
        <f>HYPERLINK("https://www.tradingview.com/chart/?symbol=NSE:NESTLEIND","Chart 📈")</f>
        <v/>
      </c>
    </row>
    <row r="78" ht="16" customHeight="1">
      <c r="A78" s="20" t="inlineStr">
        <is>
          <t>NIFTY FMCG</t>
        </is>
      </c>
      <c r="B78" s="17" t="inlineStr">
        <is>
          <t>RADICO</t>
        </is>
      </c>
      <c r="C78" s="18" t="n">
        <v>3036.4</v>
      </c>
      <c r="D78" s="18" t="n">
        <v>2761.87</v>
      </c>
      <c r="E78" s="18" t="n">
        <v>2782.04</v>
      </c>
      <c r="F78" s="18" t="n">
        <v>2842.21</v>
      </c>
      <c r="G78" s="19">
        <f>HYPERLINK("https://www.tradingview.com/chart/?symbol=NSE:RADICO","Chart 📈")</f>
        <v/>
      </c>
    </row>
    <row r="79" ht="16" customHeight="1">
      <c r="A79" s="12" t="inlineStr">
        <is>
          <t>NIFTY IT</t>
        </is>
      </c>
      <c r="B79" s="13" t="inlineStr">
        <is>
          <t>TECHM</t>
        </is>
      </c>
      <c r="C79" s="14" t="n">
        <v>1491</v>
      </c>
      <c r="D79" s="14" t="n">
        <v>1433.37</v>
      </c>
      <c r="E79" s="14" t="n">
        <v>1454</v>
      </c>
      <c r="F79" s="14" t="n">
        <v>1479.66</v>
      </c>
      <c r="G79" s="15">
        <f>HYPERLINK("https://www.tradingview.com/chart/?symbol=NSE:TECHM","Chart 📈")</f>
        <v/>
      </c>
    </row>
    <row r="80" ht="16" customHeight="1">
      <c r="A80" s="8" t="inlineStr">
        <is>
          <t>NIFTY BANK</t>
        </is>
      </c>
      <c r="B80" s="17" t="inlineStr">
        <is>
          <t>AUBANK</t>
        </is>
      </c>
      <c r="C80" s="18" t="n">
        <v>983.95</v>
      </c>
      <c r="D80" s="18" t="n">
        <v>934.8</v>
      </c>
      <c r="E80" s="18" t="n">
        <v>940.33</v>
      </c>
      <c r="F80" s="18" t="n">
        <v>874.9400000000001</v>
      </c>
      <c r="G80" s="19">
        <f>HYPERLINK("https://www.tradingview.com/chart/?symbol=NSE:AUBANK","Chart 📈")</f>
        <v/>
      </c>
    </row>
    <row r="81" ht="16" customHeight="1">
      <c r="A81" s="20" t="inlineStr">
        <is>
          <t>NIFTY BANK</t>
        </is>
      </c>
      <c r="B81" s="17" t="inlineStr">
        <is>
          <t>FEDERALBNK</t>
        </is>
      </c>
      <c r="C81" s="18" t="n">
        <v>284.4</v>
      </c>
      <c r="D81" s="18" t="n">
        <v>277.87</v>
      </c>
      <c r="E81" s="18" t="n">
        <v>275.82</v>
      </c>
      <c r="F81" s="18" t="n">
        <v>248.65</v>
      </c>
      <c r="G81" s="19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2026-04-16T16:34:53Z</dcterms:created>
  <dcterms:modified xsi:type="dcterms:W3CDTF">2026-04-16T16:34:53Z</dcterms:modified>
</cp:coreProperties>
</file>