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26-Apr-2026  16:11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13</v>
      </c>
      <c r="D4" s="5" t="n">
        <v>14</v>
      </c>
      <c r="E4" s="5" t="n">
        <v>15</v>
      </c>
      <c r="F4" s="6" t="n">
        <v>0.867</v>
      </c>
      <c r="G4" s="6" t="n">
        <v>0.9329999999999999</v>
      </c>
      <c r="H4" s="6" t="n">
        <v>1</v>
      </c>
      <c r="I4" s="7" t="n">
        <v>0.9333</v>
      </c>
    </row>
    <row r="5" ht="17" customHeight="1">
      <c r="A5" s="8" t="inlineStr">
        <is>
          <t>NIFTY MEDIA</t>
        </is>
      </c>
      <c r="B5" s="9" t="n">
        <v>10</v>
      </c>
      <c r="C5" s="9" t="n">
        <v>9</v>
      </c>
      <c r="D5" s="9" t="n">
        <v>9</v>
      </c>
      <c r="E5" s="9" t="n">
        <v>3</v>
      </c>
      <c r="F5" s="10" t="n">
        <v>0.9</v>
      </c>
      <c r="G5" s="10" t="n">
        <v>0.9</v>
      </c>
      <c r="H5" s="10" t="n">
        <v>0.3</v>
      </c>
      <c r="I5" s="11" t="n">
        <v>0.7</v>
      </c>
    </row>
    <row r="6" ht="17" customHeight="1">
      <c r="A6" s="4" t="inlineStr">
        <is>
          <t>NIFTY FMCG</t>
        </is>
      </c>
      <c r="B6" s="5" t="n">
        <v>15</v>
      </c>
      <c r="C6" s="5" t="n">
        <v>13</v>
      </c>
      <c r="D6" s="5" t="n">
        <v>9</v>
      </c>
      <c r="E6" s="5" t="n">
        <v>8</v>
      </c>
      <c r="F6" s="6" t="n">
        <v>0.867</v>
      </c>
      <c r="G6" s="6" t="n">
        <v>0.6</v>
      </c>
      <c r="H6" s="6" t="n">
        <v>0.5329999999999999</v>
      </c>
      <c r="I6" s="7" t="n">
        <v>0.6667000000000001</v>
      </c>
    </row>
    <row r="7" ht="17" customHeight="1">
      <c r="A7" s="8" t="inlineStr">
        <is>
          <t>NIFTY CONSUMER DURABLES</t>
        </is>
      </c>
      <c r="B7" s="9" t="n">
        <v>15</v>
      </c>
      <c r="C7" s="9" t="n">
        <v>13</v>
      </c>
      <c r="D7" s="9" t="n">
        <v>11</v>
      </c>
      <c r="E7" s="9" t="n">
        <v>6</v>
      </c>
      <c r="F7" s="10" t="n">
        <v>0.867</v>
      </c>
      <c r="G7" s="10" t="n">
        <v>0.733</v>
      </c>
      <c r="H7" s="10" t="n">
        <v>0.4</v>
      </c>
      <c r="I7" s="11" t="n">
        <v>0.6667000000000001</v>
      </c>
    </row>
    <row r="8" ht="17" customHeight="1">
      <c r="A8" s="4" t="inlineStr">
        <is>
          <t>NIFTY PHARMA</t>
        </is>
      </c>
      <c r="B8" s="5" t="n">
        <v>20</v>
      </c>
      <c r="C8" s="5" t="n">
        <v>12</v>
      </c>
      <c r="D8" s="5" t="n">
        <v>13</v>
      </c>
      <c r="E8" s="5" t="n">
        <v>14</v>
      </c>
      <c r="F8" s="6" t="n">
        <v>0.6</v>
      </c>
      <c r="G8" s="6" t="n">
        <v>0.65</v>
      </c>
      <c r="H8" s="6" t="n">
        <v>0.7</v>
      </c>
      <c r="I8" s="7" t="n">
        <v>0.65</v>
      </c>
    </row>
    <row r="9" ht="17" customHeight="1">
      <c r="A9" s="8" t="inlineStr">
        <is>
          <t>NIFTY OIL &amp; GAS</t>
        </is>
      </c>
      <c r="B9" s="9" t="n">
        <v>15</v>
      </c>
      <c r="C9" s="9" t="n">
        <v>13</v>
      </c>
      <c r="D9" s="9" t="n">
        <v>10</v>
      </c>
      <c r="E9" s="9" t="n">
        <v>5</v>
      </c>
      <c r="F9" s="10" t="n">
        <v>0.867</v>
      </c>
      <c r="G9" s="10" t="n">
        <v>0.667</v>
      </c>
      <c r="H9" s="10" t="n">
        <v>0.333</v>
      </c>
      <c r="I9" s="11" t="n">
        <v>0.6223</v>
      </c>
    </row>
    <row r="10" ht="17" customHeight="1">
      <c r="A10" s="4" t="inlineStr">
        <is>
          <t>NIFTY ENERGY</t>
        </is>
      </c>
      <c r="B10" s="5" t="n">
        <v>40</v>
      </c>
      <c r="C10" s="5" t="n">
        <v>25</v>
      </c>
      <c r="D10" s="5" t="n">
        <v>25</v>
      </c>
      <c r="E10" s="5" t="n">
        <v>23</v>
      </c>
      <c r="F10" s="6" t="n">
        <v>0.625</v>
      </c>
      <c r="G10" s="6" t="n">
        <v>0.625</v>
      </c>
      <c r="H10" s="6" t="n">
        <v>0.575</v>
      </c>
      <c r="I10" s="7" t="n">
        <v>0.6083</v>
      </c>
    </row>
    <row r="11" ht="17" customHeight="1">
      <c r="A11" s="8" t="inlineStr">
        <is>
          <t>NIFTY REALTY</t>
        </is>
      </c>
      <c r="B11" s="9" t="n">
        <v>10</v>
      </c>
      <c r="C11" s="9" t="n">
        <v>9</v>
      </c>
      <c r="D11" s="9" t="n">
        <v>7</v>
      </c>
      <c r="E11" s="9" t="n">
        <v>2</v>
      </c>
      <c r="F11" s="10" t="n">
        <v>0.9</v>
      </c>
      <c r="G11" s="10" t="n">
        <v>0.7</v>
      </c>
      <c r="H11" s="10" t="n">
        <v>0.2</v>
      </c>
      <c r="I11" s="11" t="n">
        <v>0.6</v>
      </c>
    </row>
    <row r="12" ht="17" customHeight="1">
      <c r="A12" s="4" t="inlineStr">
        <is>
          <t>NIFTY PSU BANK</t>
        </is>
      </c>
      <c r="B12" s="5" t="n">
        <v>12</v>
      </c>
      <c r="C12" s="5" t="n">
        <v>8</v>
      </c>
      <c r="D12" s="5" t="n">
        <v>5</v>
      </c>
      <c r="E12" s="5" t="n">
        <v>6</v>
      </c>
      <c r="F12" s="6" t="n">
        <v>0.667</v>
      </c>
      <c r="G12" s="6" t="n">
        <v>0.417</v>
      </c>
      <c r="H12" s="6" t="n">
        <v>0.5</v>
      </c>
      <c r="I12" s="7" t="n">
        <v>0.528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11</v>
      </c>
      <c r="D13" s="9" t="n">
        <v>11</v>
      </c>
      <c r="E13" s="9" t="n">
        <v>7</v>
      </c>
      <c r="F13" s="10" t="n">
        <v>0.55</v>
      </c>
      <c r="G13" s="10" t="n">
        <v>0.55</v>
      </c>
      <c r="H13" s="10" t="n">
        <v>0.35</v>
      </c>
      <c r="I13" s="11" t="n">
        <v>0.4833</v>
      </c>
    </row>
    <row r="14" ht="17" customHeight="1">
      <c r="A14" s="4" t="inlineStr">
        <is>
          <t>NIFTY AUTO</t>
        </is>
      </c>
      <c r="B14" s="5" t="n">
        <v>15</v>
      </c>
      <c r="C14" s="5" t="n">
        <v>7</v>
      </c>
      <c r="D14" s="5" t="n">
        <v>6</v>
      </c>
      <c r="E14" s="5" t="n">
        <v>7</v>
      </c>
      <c r="F14" s="6" t="n">
        <v>0.467</v>
      </c>
      <c r="G14" s="6" t="n">
        <v>0.4</v>
      </c>
      <c r="H14" s="6" t="n">
        <v>0.467</v>
      </c>
      <c r="I14" s="7" t="n">
        <v>0.4447</v>
      </c>
    </row>
    <row r="15" ht="17" customHeight="1">
      <c r="A15" s="8" t="inlineStr">
        <is>
          <t>NIFTY BANK</t>
        </is>
      </c>
      <c r="B15" s="9" t="n">
        <v>12</v>
      </c>
      <c r="C15" s="9" t="n">
        <v>4</v>
      </c>
      <c r="D15" s="9" t="n">
        <v>2</v>
      </c>
      <c r="E15" s="9" t="n">
        <v>3</v>
      </c>
      <c r="F15" s="10" t="n">
        <v>0.333</v>
      </c>
      <c r="G15" s="10" t="n">
        <v>0.167</v>
      </c>
      <c r="H15" s="10" t="n">
        <v>0.25</v>
      </c>
      <c r="I15" s="11" t="n">
        <v>0.25</v>
      </c>
    </row>
    <row r="16" ht="17" customHeight="1">
      <c r="A16" s="4" t="inlineStr">
        <is>
          <t>NIFTY MIDSMALL IT &amp; TELECOM</t>
        </is>
      </c>
      <c r="B16" s="5" t="n">
        <v>20</v>
      </c>
      <c r="C16" s="5" t="n">
        <v>8</v>
      </c>
      <c r="D16" s="5" t="n">
        <v>3</v>
      </c>
      <c r="E16" s="5" t="n">
        <v>3</v>
      </c>
      <c r="F16" s="6" t="n">
        <v>0.4</v>
      </c>
      <c r="G16" s="6" t="n">
        <v>0.15</v>
      </c>
      <c r="H16" s="6" t="n">
        <v>0.15</v>
      </c>
      <c r="I16" s="7" t="n">
        <v>0.2333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0</v>
      </c>
      <c r="F17" s="10" t="n">
        <v>0</v>
      </c>
      <c r="G17" s="10" t="n">
        <v>0</v>
      </c>
      <c r="H17" s="10" t="n">
        <v>0</v>
      </c>
      <c r="I17" s="11" t="n">
        <v>0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ADANIENT</t>
        </is>
      </c>
      <c r="C3" s="14" t="n">
        <v>2287.6</v>
      </c>
      <c r="D3" s="14" t="n">
        <v>2122.92</v>
      </c>
      <c r="E3" s="14" t="n">
        <v>2092.07</v>
      </c>
      <c r="F3" s="14" t="n">
        <v>2238.24</v>
      </c>
      <c r="G3" s="15">
        <f>HYPERLINK("https://www.tradingview.com/chart/?symbol=NSE:ADANIENT","Chart 📈")</f>
        <v/>
      </c>
    </row>
    <row r="4" ht="16" customHeight="1">
      <c r="A4" s="16" t="inlineStr">
        <is>
          <t>NIFTY METAL</t>
        </is>
      </c>
      <c r="B4" s="13" t="inlineStr">
        <is>
          <t>HINDALCO</t>
        </is>
      </c>
      <c r="C4" s="14" t="n">
        <v>1048.35</v>
      </c>
      <c r="D4" s="14" t="n">
        <v>988.7</v>
      </c>
      <c r="E4" s="14" t="n">
        <v>953.05</v>
      </c>
      <c r="F4" s="14" t="n">
        <v>849.14</v>
      </c>
      <c r="G4" s="15">
        <f>HYPERLINK("https://www.tradingview.com/chart/?symbol=NSE:HINDALCO","Chart 📈")</f>
        <v/>
      </c>
    </row>
    <row r="5" ht="16" customHeight="1">
      <c r="A5" s="16" t="inlineStr">
        <is>
          <t>NIFTY METAL</t>
        </is>
      </c>
      <c r="B5" s="13" t="inlineStr">
        <is>
          <t>HINDCOPPER</t>
        </is>
      </c>
      <c r="C5" s="14" t="n">
        <v>541.5</v>
      </c>
      <c r="D5" s="14" t="n">
        <v>534.3099999999999</v>
      </c>
      <c r="E5" s="14" t="n">
        <v>527.8099999999999</v>
      </c>
      <c r="F5" s="14" t="n">
        <v>430.69</v>
      </c>
      <c r="G5" s="15">
        <f>HYPERLINK("https://www.tradingview.com/chart/?symbol=NSE:HINDCOPPER","Chart 📈")</f>
        <v/>
      </c>
    </row>
    <row r="6" ht="16" customHeight="1">
      <c r="A6" s="16" t="inlineStr">
        <is>
          <t>NIFTY METAL</t>
        </is>
      </c>
      <c r="B6" s="13" t="inlineStr">
        <is>
          <t>HINDZINC</t>
        </is>
      </c>
      <c r="C6" s="14" t="n">
        <v>588.5</v>
      </c>
      <c r="D6" s="14" t="n">
        <v>570.8200000000001</v>
      </c>
      <c r="E6" s="14" t="n">
        <v>571.4400000000001</v>
      </c>
      <c r="F6" s="14" t="n">
        <v>537.67</v>
      </c>
      <c r="G6" s="15">
        <f>HYPERLINK("https://www.tradingview.com/chart/?symbol=NSE:HINDZINC","Chart 📈")</f>
        <v/>
      </c>
    </row>
    <row r="7" ht="16" customHeight="1">
      <c r="A7" s="16" t="inlineStr">
        <is>
          <t>NIFTY METAL</t>
        </is>
      </c>
      <c r="B7" s="13" t="inlineStr">
        <is>
          <t>JINDALSTEL</t>
        </is>
      </c>
      <c r="C7" s="14" t="n">
        <v>1256</v>
      </c>
      <c r="D7" s="14" t="n">
        <v>1222.29</v>
      </c>
      <c r="E7" s="14" t="n">
        <v>1185.57</v>
      </c>
      <c r="F7" s="14" t="n">
        <v>1085.11</v>
      </c>
      <c r="G7" s="15">
        <f>HYPERLINK("https://www.tradingview.com/chart/?symbol=NSE:JINDALSTEL","Chart 📈")</f>
        <v/>
      </c>
    </row>
    <row r="8" ht="16" customHeight="1">
      <c r="A8" s="16" t="inlineStr">
        <is>
          <t>NIFTY METAL</t>
        </is>
      </c>
      <c r="B8" s="13" t="inlineStr">
        <is>
          <t>JSL</t>
        </is>
      </c>
      <c r="C8" s="14" t="n">
        <v>766.3</v>
      </c>
      <c r="D8" s="14" t="n">
        <v>762.63</v>
      </c>
      <c r="E8" s="14" t="n">
        <v>759.26</v>
      </c>
      <c r="F8" s="14" t="n">
        <v>741.8</v>
      </c>
      <c r="G8" s="15">
        <f>HYPERLINK("https://www.tradingview.com/chart/?symbol=NSE:JSL","Chart 📈")</f>
        <v/>
      </c>
    </row>
    <row r="9" ht="16" customHeight="1">
      <c r="A9" s="16" t="inlineStr">
        <is>
          <t>NIFTY METAL</t>
        </is>
      </c>
      <c r="B9" s="13" t="inlineStr">
        <is>
          <t>JSWSTEEL</t>
        </is>
      </c>
      <c r="C9" s="14" t="n">
        <v>1255.7</v>
      </c>
      <c r="D9" s="14" t="n">
        <v>1218.23</v>
      </c>
      <c r="E9" s="14" t="n">
        <v>1201.8</v>
      </c>
      <c r="F9" s="14" t="n">
        <v>1151.24</v>
      </c>
      <c r="G9" s="15">
        <f>HYPERLINK("https://www.tradingview.com/chart/?symbol=NSE:JSWSTEEL","Chart 📈")</f>
        <v/>
      </c>
    </row>
    <row r="10" ht="16" customHeight="1">
      <c r="A10" s="16" t="inlineStr">
        <is>
          <t>NIFTY METAL</t>
        </is>
      </c>
      <c r="B10" s="13" t="inlineStr">
        <is>
          <t>NATIONALUM</t>
        </is>
      </c>
      <c r="C10" s="14" t="n">
        <v>437.05</v>
      </c>
      <c r="D10" s="14" t="n">
        <v>415.18</v>
      </c>
      <c r="E10" s="14" t="n">
        <v>389.58</v>
      </c>
      <c r="F10" s="14" t="n">
        <v>301.97</v>
      </c>
      <c r="G10" s="15">
        <f>HYPERLINK("https://www.tradingview.com/chart/?symbol=NSE:NATIONALUM","Chart 📈")</f>
        <v/>
      </c>
    </row>
    <row r="11" ht="16" customHeight="1">
      <c r="A11" s="16" t="inlineStr">
        <is>
          <t>NIFTY METAL</t>
        </is>
      </c>
      <c r="B11" s="13" t="inlineStr">
        <is>
          <t>NMDC</t>
        </is>
      </c>
      <c r="C11" s="14" t="n">
        <v>89.29000000000001</v>
      </c>
      <c r="D11" s="14" t="n">
        <v>85</v>
      </c>
      <c r="E11" s="14" t="n">
        <v>82.12</v>
      </c>
      <c r="F11" s="14" t="n">
        <v>76.28</v>
      </c>
      <c r="G11" s="15">
        <f>HYPERLINK("https://www.tradingview.com/chart/?symbol=NSE:NMDC","Chart 📈")</f>
        <v/>
      </c>
    </row>
    <row r="12" ht="16" customHeight="1">
      <c r="A12" s="16" t="inlineStr">
        <is>
          <t>NIFTY METAL</t>
        </is>
      </c>
      <c r="B12" s="13" t="inlineStr">
        <is>
          <t>RATNAMANI</t>
        </is>
      </c>
      <c r="C12" s="14" t="n">
        <v>2605.8</v>
      </c>
      <c r="D12" s="14" t="n">
        <v>2380.38</v>
      </c>
      <c r="E12" s="14" t="n">
        <v>2330.88</v>
      </c>
      <c r="F12" s="14" t="n">
        <v>2390.81</v>
      </c>
      <c r="G12" s="15">
        <f>HYPERLINK("https://www.tradingview.com/chart/?symbol=NSE:RATNAMANI","Chart 📈")</f>
        <v/>
      </c>
    </row>
    <row r="13" ht="16" customHeight="1">
      <c r="A13" s="16" t="inlineStr">
        <is>
          <t>NIFTY METAL</t>
        </is>
      </c>
      <c r="B13" s="13" t="inlineStr">
        <is>
          <t>SAIL</t>
        </is>
      </c>
      <c r="C13" s="14" t="n">
        <v>178.46</v>
      </c>
      <c r="D13" s="14" t="n">
        <v>167.03</v>
      </c>
      <c r="E13" s="14" t="n">
        <v>159.97</v>
      </c>
      <c r="F13" s="14" t="n">
        <v>144.09</v>
      </c>
      <c r="G13" s="15">
        <f>HYPERLINK("https://www.tradingview.com/chart/?symbol=NSE:SAIL","Chart 📈")</f>
        <v/>
      </c>
    </row>
    <row r="14" ht="16" customHeight="1">
      <c r="A14" s="16" t="inlineStr">
        <is>
          <t>NIFTY METAL</t>
        </is>
      </c>
      <c r="B14" s="13" t="inlineStr">
        <is>
          <t>TATASTEEL</t>
        </is>
      </c>
      <c r="C14" s="14" t="n">
        <v>210.07</v>
      </c>
      <c r="D14" s="14" t="n">
        <v>205.58</v>
      </c>
      <c r="E14" s="14" t="n">
        <v>200.15</v>
      </c>
      <c r="F14" s="14" t="n">
        <v>181.44</v>
      </c>
      <c r="G14" s="15">
        <f>HYPERLINK("https://www.tradingview.com/chart/?symbol=NSE:TATASTEEL","Chart 📈")</f>
        <v/>
      </c>
    </row>
    <row r="15" ht="16" customHeight="1">
      <c r="A15" s="16" t="inlineStr">
        <is>
          <t>NIFTY METAL</t>
        </is>
      </c>
      <c r="B15" s="13" t="inlineStr">
        <is>
          <t>WELCORP</t>
        </is>
      </c>
      <c r="C15" s="14" t="n">
        <v>1207.45</v>
      </c>
      <c r="D15" s="14" t="n">
        <v>1013.2</v>
      </c>
      <c r="E15" s="14" t="n">
        <v>913.53</v>
      </c>
      <c r="F15" s="14" t="n">
        <v>852.2</v>
      </c>
      <c r="G15" s="15">
        <f>HYPERLINK("https://www.tradingview.com/chart/?symbol=NSE:WELCORP","Chart 📈")</f>
        <v/>
      </c>
    </row>
    <row r="16" ht="16" customHeight="1">
      <c r="A16" s="8" t="inlineStr">
        <is>
          <t>NIFTY MEDIA</t>
        </is>
      </c>
      <c r="B16" s="17" t="inlineStr">
        <is>
          <t>NAZARA</t>
        </is>
      </c>
      <c r="C16" s="18" t="n">
        <v>270.09</v>
      </c>
      <c r="D16" s="18" t="n">
        <v>257.84</v>
      </c>
      <c r="E16" s="18" t="n">
        <v>255.64</v>
      </c>
      <c r="F16" s="18" t="n">
        <v>266.68</v>
      </c>
      <c r="G16" s="19">
        <f>HYPERLINK("https://www.tradingview.com/chart/?symbol=NSE:NAZARA","Chart 📈")</f>
        <v/>
      </c>
    </row>
    <row r="17" ht="16" customHeight="1">
      <c r="A17" s="20" t="inlineStr">
        <is>
          <t>NIFTY MEDIA</t>
        </is>
      </c>
      <c r="B17" s="17" t="inlineStr">
        <is>
          <t>TIPSMUSIC</t>
        </is>
      </c>
      <c r="C17" s="18" t="n">
        <v>665.15</v>
      </c>
      <c r="D17" s="18" t="n">
        <v>571.11</v>
      </c>
      <c r="E17" s="18" t="n">
        <v>548.72</v>
      </c>
      <c r="F17" s="18" t="n">
        <v>556.22</v>
      </c>
      <c r="G17" s="19">
        <f>HYPERLINK("https://www.tradingview.com/chart/?symbol=NSE:TIPSMUSIC","Chart 📈")</f>
        <v/>
      </c>
    </row>
    <row r="18" ht="16" customHeight="1">
      <c r="A18" s="12" t="inlineStr">
        <is>
          <t>NIFTY FMCG</t>
        </is>
      </c>
      <c r="B18" s="13" t="inlineStr">
        <is>
          <t>BALRAMCHIN</t>
        </is>
      </c>
      <c r="C18" s="14" t="n">
        <v>516.1</v>
      </c>
      <c r="D18" s="14" t="n">
        <v>499.66</v>
      </c>
      <c r="E18" s="14" t="n">
        <v>483.45</v>
      </c>
      <c r="F18" s="14" t="n">
        <v>490.64</v>
      </c>
      <c r="G18" s="15">
        <f>HYPERLINK("https://www.tradingview.com/chart/?symbol=NSE:BALRAMCHIN","Chart 📈")</f>
        <v/>
      </c>
    </row>
    <row r="19" ht="16" customHeight="1">
      <c r="A19" s="16" t="inlineStr">
        <is>
          <t>NIFTY FMCG</t>
        </is>
      </c>
      <c r="B19" s="13" t="inlineStr">
        <is>
          <t>HINDUNILVR</t>
        </is>
      </c>
      <c r="C19" s="14" t="n">
        <v>2327.3</v>
      </c>
      <c r="D19" s="14" t="n">
        <v>2217.47</v>
      </c>
      <c r="E19" s="14" t="n">
        <v>2228.12</v>
      </c>
      <c r="F19" s="14" t="n">
        <v>2326.73</v>
      </c>
      <c r="G19" s="15">
        <f>HYPERLINK("https://www.tradingview.com/chart/?symbol=NSE:HINDUNILVR","Chart 📈")</f>
        <v/>
      </c>
    </row>
    <row r="20" ht="16" customHeight="1">
      <c r="A20" s="16" t="inlineStr">
        <is>
          <t>NIFTY FMCG</t>
        </is>
      </c>
      <c r="B20" s="13" t="inlineStr">
        <is>
          <t>MARICO</t>
        </is>
      </c>
      <c r="C20" s="14" t="n">
        <v>783.3</v>
      </c>
      <c r="D20" s="14" t="n">
        <v>761</v>
      </c>
      <c r="E20" s="14" t="n">
        <v>758.86</v>
      </c>
      <c r="F20" s="14" t="n">
        <v>741.05</v>
      </c>
      <c r="G20" s="15">
        <f>HYPERLINK("https://www.tradingview.com/chart/?symbol=NSE:MARICO","Chart 📈")</f>
        <v/>
      </c>
    </row>
    <row r="21" ht="16" customHeight="1">
      <c r="A21" s="16" t="inlineStr">
        <is>
          <t>NIFTY FMCG</t>
        </is>
      </c>
      <c r="B21" s="13" t="inlineStr">
        <is>
          <t>NESTLEIND</t>
        </is>
      </c>
      <c r="C21" s="14" t="n">
        <v>1421.3</v>
      </c>
      <c r="D21" s="14" t="n">
        <v>1291.61</v>
      </c>
      <c r="E21" s="14" t="n">
        <v>1267.09</v>
      </c>
      <c r="F21" s="14" t="n">
        <v>1242.92</v>
      </c>
      <c r="G21" s="15">
        <f>HYPERLINK("https://www.tradingview.com/chart/?symbol=NSE:NESTLEIND","Chart 📈")</f>
        <v/>
      </c>
    </row>
    <row r="22" ht="16" customHeight="1">
      <c r="A22" s="16" t="inlineStr">
        <is>
          <t>NIFTY FMCG</t>
        </is>
      </c>
      <c r="B22" s="13" t="inlineStr">
        <is>
          <t>RADICO</t>
        </is>
      </c>
      <c r="C22" s="14" t="n">
        <v>3187.2</v>
      </c>
      <c r="D22" s="14" t="n">
        <v>2973.39</v>
      </c>
      <c r="E22" s="14" t="n">
        <v>2878.23</v>
      </c>
      <c r="F22" s="14" t="n">
        <v>2867.56</v>
      </c>
      <c r="G22" s="15">
        <f>HYPERLINK("https://www.tradingview.com/chart/?symbol=NSE:RADICO","Chart 📈")</f>
        <v/>
      </c>
    </row>
    <row r="23" ht="16" customHeight="1">
      <c r="A23" s="16" t="inlineStr">
        <is>
          <t>NIFTY FMCG</t>
        </is>
      </c>
      <c r="B23" s="13" t="inlineStr">
        <is>
          <t>TATACONSUM</t>
        </is>
      </c>
      <c r="C23" s="14" t="n">
        <v>1174</v>
      </c>
      <c r="D23" s="14" t="n">
        <v>1112.65</v>
      </c>
      <c r="E23" s="14" t="n">
        <v>1110.92</v>
      </c>
      <c r="F23" s="14" t="n">
        <v>1129.4</v>
      </c>
      <c r="G23" s="15">
        <f>HYPERLINK("https://www.tradingview.com/chart/?symbol=NSE:TATACONSUM","Chart 📈")</f>
        <v/>
      </c>
    </row>
    <row r="24" ht="16" customHeight="1">
      <c r="A24" s="16" t="inlineStr">
        <is>
          <t>NIFTY FMCG</t>
        </is>
      </c>
      <c r="B24" s="13" t="inlineStr">
        <is>
          <t>UNITDSPR</t>
        </is>
      </c>
      <c r="C24" s="14" t="n">
        <v>1391.9</v>
      </c>
      <c r="D24" s="14" t="n">
        <v>1313.13</v>
      </c>
      <c r="E24" s="14" t="n">
        <v>1323.8</v>
      </c>
      <c r="F24" s="14" t="n">
        <v>1374.28</v>
      </c>
      <c r="G24" s="15">
        <f>HYPERLINK("https://www.tradingview.com/chart/?symbol=NSE:UNITDSPR","Chart 📈")</f>
        <v/>
      </c>
    </row>
    <row r="25" ht="16" customHeight="1">
      <c r="A25" s="16" t="inlineStr">
        <is>
          <t>NIFTY FMCG</t>
        </is>
      </c>
      <c r="B25" s="13" t="inlineStr">
        <is>
          <t>VBL</t>
        </is>
      </c>
      <c r="C25" s="14" t="n">
        <v>490.45</v>
      </c>
      <c r="D25" s="14" t="n">
        <v>449.64</v>
      </c>
      <c r="E25" s="14" t="n">
        <v>442.79</v>
      </c>
      <c r="F25" s="14" t="n">
        <v>464.31</v>
      </c>
      <c r="G25" s="15">
        <f>HYPERLINK("https://www.tradingview.com/chart/?symbol=NSE:VBL","Chart 📈")</f>
        <v/>
      </c>
    </row>
    <row r="26" ht="16" customHeight="1">
      <c r="A26" s="8" t="inlineStr">
        <is>
          <t>NIFTY CONSUMER DURABLES</t>
        </is>
      </c>
      <c r="B26" s="17" t="inlineStr">
        <is>
          <t>AMBER</t>
        </is>
      </c>
      <c r="C26" s="18" t="n">
        <v>7753.5</v>
      </c>
      <c r="D26" s="18" t="n">
        <v>7372.62</v>
      </c>
      <c r="E26" s="18" t="n">
        <v>7156.07</v>
      </c>
      <c r="F26" s="18" t="n">
        <v>7059.12</v>
      </c>
      <c r="G26" s="19">
        <f>HYPERLINK("https://www.tradingview.com/chart/?symbol=NSE:AMBER","Chart 📈")</f>
        <v/>
      </c>
    </row>
    <row r="27" ht="16" customHeight="1">
      <c r="A27" s="20" t="inlineStr">
        <is>
          <t>NIFTY CONSUMER DURABLES</t>
        </is>
      </c>
      <c r="B27" s="17" t="inlineStr">
        <is>
          <t>BLUESTARCO</t>
        </is>
      </c>
      <c r="C27" s="18" t="n">
        <v>1818.4</v>
      </c>
      <c r="D27" s="18" t="n">
        <v>1781.45</v>
      </c>
      <c r="E27" s="18" t="n">
        <v>1791.59</v>
      </c>
      <c r="F27" s="18" t="n">
        <v>1811.39</v>
      </c>
      <c r="G27" s="19">
        <f>HYPERLINK("https://www.tradingview.com/chart/?symbol=NSE:BLUESTARCO","Chart 📈")</f>
        <v/>
      </c>
    </row>
    <row r="28" ht="16" customHeight="1">
      <c r="A28" s="20" t="inlineStr">
        <is>
          <t>NIFTY CONSUMER DURABLES</t>
        </is>
      </c>
      <c r="B28" s="17" t="inlineStr">
        <is>
          <t>CENTURYPLY</t>
        </is>
      </c>
      <c r="C28" s="18" t="n">
        <v>781.95</v>
      </c>
      <c r="D28" s="18" t="n">
        <v>742.7</v>
      </c>
      <c r="E28" s="18" t="n">
        <v>736.83</v>
      </c>
      <c r="F28" s="18" t="n">
        <v>753.62</v>
      </c>
      <c r="G28" s="19">
        <f>HYPERLINK("https://www.tradingview.com/chart/?symbol=NSE:CENTURYPLY","Chart 📈")</f>
        <v/>
      </c>
    </row>
    <row r="29" ht="16" customHeight="1">
      <c r="A29" s="20" t="inlineStr">
        <is>
          <t>NIFTY CONSUMER DURABLES</t>
        </is>
      </c>
      <c r="B29" s="17" t="inlineStr">
        <is>
          <t>KAJARIACER</t>
        </is>
      </c>
      <c r="C29" s="18" t="n">
        <v>1211.15</v>
      </c>
      <c r="D29" s="18" t="n">
        <v>1105.48</v>
      </c>
      <c r="E29" s="18" t="n">
        <v>1037.23</v>
      </c>
      <c r="F29" s="18" t="n">
        <v>1028.29</v>
      </c>
      <c r="G29" s="19">
        <f>HYPERLINK("https://www.tradingview.com/chart/?symbol=NSE:KAJARIACER","Chart 📈")</f>
        <v/>
      </c>
    </row>
    <row r="30" ht="16" customHeight="1">
      <c r="A30" s="20" t="inlineStr">
        <is>
          <t>NIFTY CONSUMER DURABLES</t>
        </is>
      </c>
      <c r="B30" s="17" t="inlineStr">
        <is>
          <t>TITAN</t>
        </is>
      </c>
      <c r="C30" s="18" t="n">
        <v>4410</v>
      </c>
      <c r="D30" s="18" t="n">
        <v>4360.67</v>
      </c>
      <c r="E30" s="18" t="n">
        <v>4247.23</v>
      </c>
      <c r="F30" s="18" t="n">
        <v>3937.14</v>
      </c>
      <c r="G30" s="19">
        <f>HYPERLINK("https://www.tradingview.com/chart/?symbol=NSE:TITAN","Chart 📈")</f>
        <v/>
      </c>
    </row>
    <row r="31" ht="16" customHeight="1">
      <c r="A31" s="20" t="inlineStr">
        <is>
          <t>NIFTY CONSUMER DURABLES</t>
        </is>
      </c>
      <c r="B31" s="17" t="inlineStr">
        <is>
          <t>VOLTAS</t>
        </is>
      </c>
      <c r="C31" s="18" t="n">
        <v>1464</v>
      </c>
      <c r="D31" s="18" t="n">
        <v>1393.23</v>
      </c>
      <c r="E31" s="18" t="n">
        <v>1395.31</v>
      </c>
      <c r="F31" s="18" t="n">
        <v>1378.84</v>
      </c>
      <c r="G31" s="19">
        <f>HYPERLINK("https://www.tradingview.com/chart/?symbol=NSE:VOLTAS","Chart 📈")</f>
        <v/>
      </c>
    </row>
    <row r="32" ht="16" customHeight="1">
      <c r="A32" s="12" t="inlineStr">
        <is>
          <t>NIFTY PHARMA</t>
        </is>
      </c>
      <c r="B32" s="13" t="inlineStr">
        <is>
          <t>AUROPHARMA</t>
        </is>
      </c>
      <c r="C32" s="14" t="n">
        <v>1413.8</v>
      </c>
      <c r="D32" s="14" t="n">
        <v>1359.1</v>
      </c>
      <c r="E32" s="14" t="n">
        <v>1298.3</v>
      </c>
      <c r="F32" s="14" t="n">
        <v>1214.1</v>
      </c>
      <c r="G32" s="15">
        <f>HYPERLINK("https://www.tradingview.com/chart/?symbol=NSE:AUROPHARMA","Chart 📈")</f>
        <v/>
      </c>
    </row>
    <row r="33" ht="16" customHeight="1">
      <c r="A33" s="16" t="inlineStr">
        <is>
          <t>NIFTY PHARMA</t>
        </is>
      </c>
      <c r="B33" s="13" t="inlineStr">
        <is>
          <t>DIVISLAB</t>
        </is>
      </c>
      <c r="C33" s="14" t="n">
        <v>6361.5</v>
      </c>
      <c r="D33" s="14" t="n">
        <v>6176.58</v>
      </c>
      <c r="E33" s="14" t="n">
        <v>6174.91</v>
      </c>
      <c r="F33" s="14" t="n">
        <v>6265.34</v>
      </c>
      <c r="G33" s="15">
        <f>HYPERLINK("https://www.tradingview.com/chart/?symbol=NSE:DIVISLAB","Chart 📈")</f>
        <v/>
      </c>
    </row>
    <row r="34" ht="16" customHeight="1">
      <c r="A34" s="16" t="inlineStr">
        <is>
          <t>NIFTY PHARMA</t>
        </is>
      </c>
      <c r="B34" s="13" t="inlineStr">
        <is>
          <t>DRREDDY</t>
        </is>
      </c>
      <c r="C34" s="14" t="n">
        <v>1317.1</v>
      </c>
      <c r="D34" s="14" t="n">
        <v>1251.86</v>
      </c>
      <c r="E34" s="14" t="n">
        <v>1255.81</v>
      </c>
      <c r="F34" s="14" t="n">
        <v>1250.58</v>
      </c>
      <c r="G34" s="15">
        <f>HYPERLINK("https://www.tradingview.com/chart/?symbol=NSE:DRREDDY","Chart 📈")</f>
        <v/>
      </c>
    </row>
    <row r="35" ht="16" customHeight="1">
      <c r="A35" s="16" t="inlineStr">
        <is>
          <t>NIFTY PHARMA</t>
        </is>
      </c>
      <c r="B35" s="13" t="inlineStr">
        <is>
          <t>GLENMARK</t>
        </is>
      </c>
      <c r="C35" s="14" t="n">
        <v>2299.5</v>
      </c>
      <c r="D35" s="14" t="n">
        <v>2210.19</v>
      </c>
      <c r="E35" s="14" t="n">
        <v>2145.04</v>
      </c>
      <c r="F35" s="14" t="n">
        <v>1970.87</v>
      </c>
      <c r="G35" s="15">
        <f>HYPERLINK("https://www.tradingview.com/chart/?symbol=NSE:GLENMARK","Chart 📈")</f>
        <v/>
      </c>
    </row>
    <row r="36" ht="16" customHeight="1">
      <c r="A36" s="16" t="inlineStr">
        <is>
          <t>NIFTY PHARMA</t>
        </is>
      </c>
      <c r="B36" s="13" t="inlineStr">
        <is>
          <t>GRANULES</t>
        </is>
      </c>
      <c r="C36" s="14" t="n">
        <v>689.45</v>
      </c>
      <c r="D36" s="14" t="n">
        <v>645.9</v>
      </c>
      <c r="E36" s="14" t="n">
        <v>617.15</v>
      </c>
      <c r="F36" s="14" t="n">
        <v>565.8200000000001</v>
      </c>
      <c r="G36" s="15">
        <f>HYPERLINK("https://www.tradingview.com/chart/?symbol=NSE:GRANULES","Chart 📈")</f>
        <v/>
      </c>
    </row>
    <row r="37" ht="16" customHeight="1">
      <c r="A37" s="16" t="inlineStr">
        <is>
          <t>NIFTY PHARMA</t>
        </is>
      </c>
      <c r="B37" s="13" t="inlineStr">
        <is>
          <t>IPCALAB</t>
        </is>
      </c>
      <c r="C37" s="14" t="n">
        <v>1555.9</v>
      </c>
      <c r="D37" s="14" t="n">
        <v>1496.3</v>
      </c>
      <c r="E37" s="14" t="n">
        <v>1493.05</v>
      </c>
      <c r="F37" s="14" t="n">
        <v>1448.29</v>
      </c>
      <c r="G37" s="15">
        <f>HYPERLINK("https://www.tradingview.com/chart/?symbol=NSE:IPCALAB","Chart 📈")</f>
        <v/>
      </c>
    </row>
    <row r="38" ht="16" customHeight="1">
      <c r="A38" s="16" t="inlineStr">
        <is>
          <t>NIFTY PHARMA</t>
        </is>
      </c>
      <c r="B38" s="13" t="inlineStr">
        <is>
          <t>JBCHEPHARM</t>
        </is>
      </c>
      <c r="C38" s="14" t="n">
        <v>2005.8</v>
      </c>
      <c r="D38" s="14" t="n">
        <v>2005.19</v>
      </c>
      <c r="E38" s="14" t="n">
        <v>1994.67</v>
      </c>
      <c r="F38" s="14" t="n">
        <v>1848.32</v>
      </c>
      <c r="G38" s="15">
        <f>HYPERLINK("https://www.tradingview.com/chart/?symbol=NSE:JBCHEPHARM","Chart 📈")</f>
        <v/>
      </c>
    </row>
    <row r="39" ht="16" customHeight="1">
      <c r="A39" s="16" t="inlineStr">
        <is>
          <t>NIFTY PHARMA</t>
        </is>
      </c>
      <c r="B39" s="13" t="inlineStr">
        <is>
          <t>LAURUSLABS</t>
        </is>
      </c>
      <c r="C39" s="14" t="n">
        <v>1113.45</v>
      </c>
      <c r="D39" s="14" t="n">
        <v>1084.62</v>
      </c>
      <c r="E39" s="14" t="n">
        <v>1053.29</v>
      </c>
      <c r="F39" s="14" t="n">
        <v>955.4299999999999</v>
      </c>
      <c r="G39" s="15">
        <f>HYPERLINK("https://www.tradingview.com/chart/?symbol=NSE:LAURUSLABS","Chart 📈")</f>
        <v/>
      </c>
    </row>
    <row r="40" ht="16" customHeight="1">
      <c r="A40" s="16" t="inlineStr">
        <is>
          <t>NIFTY PHARMA</t>
        </is>
      </c>
      <c r="B40" s="13" t="inlineStr">
        <is>
          <t>MANKIND</t>
        </is>
      </c>
      <c r="C40" s="14" t="n">
        <v>2267.4</v>
      </c>
      <c r="D40" s="14" t="n">
        <v>2136.85</v>
      </c>
      <c r="E40" s="14" t="n">
        <v>2122.99</v>
      </c>
      <c r="F40" s="14" t="n">
        <v>2258.82</v>
      </c>
      <c r="G40" s="15">
        <f>HYPERLINK("https://www.tradingview.com/chart/?symbol=NSE:MANKIND","Chart 📈")</f>
        <v/>
      </c>
    </row>
    <row r="41" ht="16" customHeight="1">
      <c r="A41" s="16" t="inlineStr">
        <is>
          <t>NIFTY PHARMA</t>
        </is>
      </c>
      <c r="B41" s="13" t="inlineStr">
        <is>
          <t>NATCOPHARM</t>
        </is>
      </c>
      <c r="C41" s="14" t="n">
        <v>1093.2</v>
      </c>
      <c r="D41" s="14" t="n">
        <v>1057.15</v>
      </c>
      <c r="E41" s="14" t="n">
        <v>1000.23</v>
      </c>
      <c r="F41" s="14" t="n">
        <v>920.8200000000001</v>
      </c>
      <c r="G41" s="15">
        <f>HYPERLINK("https://www.tradingview.com/chart/?symbol=NSE:NATCOPHARM","Chart 📈")</f>
        <v/>
      </c>
    </row>
    <row r="42" ht="16" customHeight="1">
      <c r="A42" s="16" t="inlineStr">
        <is>
          <t>NIFTY PHARMA</t>
        </is>
      </c>
      <c r="B42" s="13" t="inlineStr">
        <is>
          <t>ZYDUSLIFE</t>
        </is>
      </c>
      <c r="C42" s="14" t="n">
        <v>927.4</v>
      </c>
      <c r="D42" s="14" t="n">
        <v>916.7</v>
      </c>
      <c r="E42" s="14" t="n">
        <v>909.16</v>
      </c>
      <c r="F42" s="14" t="n">
        <v>921.67</v>
      </c>
      <c r="G42" s="15">
        <f>HYPERLINK("https://www.tradingview.com/chart/?symbol=NSE:ZYDUSLIFE","Chart 📈")</f>
        <v/>
      </c>
    </row>
    <row r="43" ht="16" customHeight="1">
      <c r="A43" s="8" t="inlineStr">
        <is>
          <t>NIFTY OIL &amp; GAS</t>
        </is>
      </c>
      <c r="B43" s="17" t="inlineStr">
        <is>
          <t>AEGISLOG</t>
        </is>
      </c>
      <c r="C43" s="18" t="n">
        <v>714.5</v>
      </c>
      <c r="D43" s="18" t="n">
        <v>666.41</v>
      </c>
      <c r="E43" s="18" t="n">
        <v>663.41</v>
      </c>
      <c r="F43" s="18" t="n">
        <v>712.48</v>
      </c>
      <c r="G43" s="19">
        <f>HYPERLINK("https://www.tradingview.com/chart/?symbol=NSE:AEGISLOG","Chart 📈")</f>
        <v/>
      </c>
    </row>
    <row r="44" ht="16" customHeight="1">
      <c r="A44" s="20" t="inlineStr">
        <is>
          <t>NIFTY OIL &amp; GAS</t>
        </is>
      </c>
      <c r="B44" s="17" t="inlineStr">
        <is>
          <t>ATGL</t>
        </is>
      </c>
      <c r="C44" s="18" t="n">
        <v>626.85</v>
      </c>
      <c r="D44" s="18" t="n">
        <v>582.2</v>
      </c>
      <c r="E44" s="18" t="n">
        <v>558.67</v>
      </c>
      <c r="F44" s="18" t="n">
        <v>579.91</v>
      </c>
      <c r="G44" s="19">
        <f>HYPERLINK("https://www.tradingview.com/chart/?symbol=NSE:ATGL","Chart 📈")</f>
        <v/>
      </c>
    </row>
    <row r="45" ht="16" customHeight="1">
      <c r="A45" s="20" t="inlineStr">
        <is>
          <t>NIFTY OIL &amp; GAS</t>
        </is>
      </c>
      <c r="B45" s="17" t="inlineStr">
        <is>
          <t>GAIL</t>
        </is>
      </c>
      <c r="C45" s="18" t="n">
        <v>165.61</v>
      </c>
      <c r="D45" s="18" t="n">
        <v>155.68</v>
      </c>
      <c r="E45" s="18" t="n">
        <v>155.3</v>
      </c>
      <c r="F45" s="18" t="n">
        <v>165.25</v>
      </c>
      <c r="G45" s="19">
        <f>HYPERLINK("https://www.tradingview.com/chart/?symbol=NSE:GAIL","Chart 📈")</f>
        <v/>
      </c>
    </row>
    <row r="46" ht="16" customHeight="1">
      <c r="A46" s="20" t="inlineStr">
        <is>
          <t>NIFTY OIL &amp; GAS</t>
        </is>
      </c>
      <c r="B46" s="17" t="inlineStr">
        <is>
          <t>OIL</t>
        </is>
      </c>
      <c r="C46" s="18" t="n">
        <v>473.7</v>
      </c>
      <c r="D46" s="18" t="n">
        <v>471.23</v>
      </c>
      <c r="E46" s="18" t="n">
        <v>467.53</v>
      </c>
      <c r="F46" s="18" t="n">
        <v>438.5</v>
      </c>
      <c r="G46" s="19">
        <f>HYPERLINK("https://www.tradingview.com/chart/?symbol=NSE:OIL","Chart 📈")</f>
        <v/>
      </c>
    </row>
    <row r="47" ht="16" customHeight="1">
      <c r="A47" s="20" t="inlineStr">
        <is>
          <t>NIFTY OIL &amp; GAS</t>
        </is>
      </c>
      <c r="B47" s="17" t="inlineStr">
        <is>
          <t>ONGC</t>
        </is>
      </c>
      <c r="C47" s="18" t="n">
        <v>284.8</v>
      </c>
      <c r="D47" s="18" t="n">
        <v>282.27</v>
      </c>
      <c r="E47" s="18" t="n">
        <v>274</v>
      </c>
      <c r="F47" s="18" t="n">
        <v>251.78</v>
      </c>
      <c r="G47" s="19">
        <f>HYPERLINK("https://www.tradingview.com/chart/?symbol=NSE:ONGC","Chart 📈")</f>
        <v/>
      </c>
    </row>
    <row r="48" ht="16" customHeight="1">
      <c r="A48" s="12" t="inlineStr">
        <is>
          <t>NIFTY ENERGY</t>
        </is>
      </c>
      <c r="B48" s="13" t="inlineStr">
        <is>
          <t>ABB</t>
        </is>
      </c>
      <c r="C48" s="14" t="n">
        <v>7328.5</v>
      </c>
      <c r="D48" s="14" t="n">
        <v>6842.84</v>
      </c>
      <c r="E48" s="14" t="n">
        <v>6359.59</v>
      </c>
      <c r="F48" s="14" t="n">
        <v>5725.68</v>
      </c>
      <c r="G48" s="15">
        <f>HYPERLINK("https://www.tradingview.com/chart/?symbol=NSE:ABB","Chart 📈")</f>
        <v/>
      </c>
    </row>
    <row r="49" ht="16" customHeight="1">
      <c r="A49" s="16" t="inlineStr">
        <is>
          <t>NIFTY ENERGY</t>
        </is>
      </c>
      <c r="B49" s="13" t="inlineStr">
        <is>
          <t>ADANIENSOL</t>
        </is>
      </c>
      <c r="C49" s="14" t="n">
        <v>1411.95</v>
      </c>
      <c r="D49" s="14" t="n">
        <v>1181.64</v>
      </c>
      <c r="E49" s="14" t="n">
        <v>1083.3</v>
      </c>
      <c r="F49" s="14" t="n">
        <v>983.98</v>
      </c>
      <c r="G49" s="15">
        <f>HYPERLINK("https://www.tradingview.com/chart/?symbol=NSE:ADANIENSOL","Chart 📈")</f>
        <v/>
      </c>
    </row>
    <row r="50" ht="16" customHeight="1">
      <c r="A50" s="16" t="inlineStr">
        <is>
          <t>NIFTY ENERGY</t>
        </is>
      </c>
      <c r="B50" s="13" t="inlineStr">
        <is>
          <t>ADANIGREEN</t>
        </is>
      </c>
      <c r="C50" s="14" t="n">
        <v>1235.8</v>
      </c>
      <c r="D50" s="14" t="n">
        <v>1066.62</v>
      </c>
      <c r="E50" s="14" t="n">
        <v>992.73</v>
      </c>
      <c r="F50" s="14" t="n">
        <v>980.92</v>
      </c>
      <c r="G50" s="15">
        <f>HYPERLINK("https://www.tradingview.com/chart/?symbol=NSE:ADANIGREEN","Chart 📈")</f>
        <v/>
      </c>
    </row>
    <row r="51" ht="16" customHeight="1">
      <c r="A51" s="16" t="inlineStr">
        <is>
          <t>NIFTY ENERGY</t>
        </is>
      </c>
      <c r="B51" s="13" t="inlineStr">
        <is>
          <t>ADANIPOWER</t>
        </is>
      </c>
      <c r="C51" s="14" t="n">
        <v>212.9</v>
      </c>
      <c r="D51" s="14" t="n">
        <v>184.78</v>
      </c>
      <c r="E51" s="14" t="n">
        <v>166.22</v>
      </c>
      <c r="F51" s="14" t="n">
        <v>145.46</v>
      </c>
      <c r="G51" s="15">
        <f>HYPERLINK("https://www.tradingview.com/chart/?symbol=NSE:ADANIPOWER","Chart 📈")</f>
        <v/>
      </c>
    </row>
    <row r="52" ht="16" customHeight="1">
      <c r="A52" s="16" t="inlineStr">
        <is>
          <t>NIFTY ENERGY</t>
        </is>
      </c>
      <c r="B52" s="13" t="inlineStr">
        <is>
          <t>BHEL</t>
        </is>
      </c>
      <c r="C52" s="14" t="n">
        <v>337.39</v>
      </c>
      <c r="D52" s="14" t="n">
        <v>297.84</v>
      </c>
      <c r="E52" s="14" t="n">
        <v>279.2</v>
      </c>
      <c r="F52" s="14" t="n">
        <v>261.9</v>
      </c>
      <c r="G52" s="15">
        <f>HYPERLINK("https://www.tradingview.com/chart/?symbol=NSE:BHEL","Chart 📈")</f>
        <v/>
      </c>
    </row>
    <row r="53" ht="16" customHeight="1">
      <c r="A53" s="16" t="inlineStr">
        <is>
          <t>NIFTY ENERGY</t>
        </is>
      </c>
      <c r="B53" s="13" t="inlineStr">
        <is>
          <t>CESC</t>
        </is>
      </c>
      <c r="C53" s="14" t="n">
        <v>180.58</v>
      </c>
      <c r="D53" s="14" t="n">
        <v>166.92</v>
      </c>
      <c r="E53" s="14" t="n">
        <v>161.09</v>
      </c>
      <c r="F53" s="14" t="n">
        <v>160.73</v>
      </c>
      <c r="G53" s="15">
        <f>HYPERLINK("https://www.tradingview.com/chart/?symbol=NSE:CESC","Chart 📈")</f>
        <v/>
      </c>
    </row>
    <row r="54" ht="16" customHeight="1">
      <c r="A54" s="16" t="inlineStr">
        <is>
          <t>NIFTY ENERGY</t>
        </is>
      </c>
      <c r="B54" s="13" t="inlineStr">
        <is>
          <t>CGPOWER</t>
        </is>
      </c>
      <c r="C54" s="14" t="n">
        <v>823.15</v>
      </c>
      <c r="D54" s="14" t="n">
        <v>756</v>
      </c>
      <c r="E54" s="14" t="n">
        <v>717.95</v>
      </c>
      <c r="F54" s="14" t="n">
        <v>689.04</v>
      </c>
      <c r="G54" s="15">
        <f>HYPERLINK("https://www.tradingview.com/chart/?symbol=NSE:CGPOWER","Chart 📈")</f>
        <v/>
      </c>
    </row>
    <row r="55" ht="16" customHeight="1">
      <c r="A55" s="16" t="inlineStr">
        <is>
          <t>NIFTY ENERGY</t>
        </is>
      </c>
      <c r="B55" s="13" t="inlineStr">
        <is>
          <t>COALINDIA</t>
        </is>
      </c>
      <c r="C55" s="14" t="n">
        <v>456</v>
      </c>
      <c r="D55" s="14" t="n">
        <v>445.86</v>
      </c>
      <c r="E55" s="14" t="n">
        <v>439.57</v>
      </c>
      <c r="F55" s="14" t="n">
        <v>406.98</v>
      </c>
      <c r="G55" s="15">
        <f>HYPERLINK("https://www.tradingview.com/chart/?symbol=NSE:COALINDIA","Chart 📈")</f>
        <v/>
      </c>
    </row>
    <row r="56" ht="16" customHeight="1">
      <c r="A56" s="16" t="inlineStr">
        <is>
          <t>NIFTY ENERGY</t>
        </is>
      </c>
      <c r="B56" s="13" t="inlineStr">
        <is>
          <t>GVT&amp;D</t>
        </is>
      </c>
      <c r="C56" s="14" t="n">
        <v>4598.3</v>
      </c>
      <c r="D56" s="14" t="n">
        <v>4072.59</v>
      </c>
      <c r="E56" s="14" t="n">
        <v>3799.38</v>
      </c>
      <c r="F56" s="14" t="n">
        <v>3126.15</v>
      </c>
      <c r="G56" s="15">
        <f>HYPERLINK("https://www.tradingview.com/chart/?symbol=NSE:GVT&amp;D","Chart 📈")</f>
        <v/>
      </c>
    </row>
    <row r="57" ht="16" customHeight="1">
      <c r="A57" s="16" t="inlineStr">
        <is>
          <t>NIFTY ENERGY</t>
        </is>
      </c>
      <c r="B57" s="13" t="inlineStr">
        <is>
          <t>JPPOWER</t>
        </is>
      </c>
      <c r="C57" s="14" t="n">
        <v>19.29</v>
      </c>
      <c r="D57" s="14" t="n">
        <v>17.67</v>
      </c>
      <c r="E57" s="14" t="n">
        <v>16.49</v>
      </c>
      <c r="F57" s="14" t="n">
        <v>16.8</v>
      </c>
      <c r="G57" s="15">
        <f>HYPERLINK("https://www.tradingview.com/chart/?symbol=NSE:JPPOWER","Chart 📈")</f>
        <v/>
      </c>
    </row>
    <row r="58" ht="16" customHeight="1">
      <c r="A58" s="16" t="inlineStr">
        <is>
          <t>NIFTY ENERGY</t>
        </is>
      </c>
      <c r="B58" s="13" t="inlineStr">
        <is>
          <t>JSWENERGY</t>
        </is>
      </c>
      <c r="C58" s="14" t="n">
        <v>544.95</v>
      </c>
      <c r="D58" s="14" t="n">
        <v>522.6</v>
      </c>
      <c r="E58" s="14" t="n">
        <v>505.51</v>
      </c>
      <c r="F58" s="14" t="n">
        <v>501.41</v>
      </c>
      <c r="G58" s="15">
        <f>HYPERLINK("https://www.tradingview.com/chart/?symbol=NSE:JSWENERGY","Chart 📈")</f>
        <v/>
      </c>
    </row>
    <row r="59" ht="16" customHeight="1">
      <c r="A59" s="16" t="inlineStr">
        <is>
          <t>NIFTY ENERGY</t>
        </is>
      </c>
      <c r="B59" s="13" t="inlineStr">
        <is>
          <t>NHPC</t>
        </is>
      </c>
      <c r="C59" s="14" t="n">
        <v>80.66</v>
      </c>
      <c r="D59" s="14" t="n">
        <v>79.34</v>
      </c>
      <c r="E59" s="14" t="n">
        <v>77.77</v>
      </c>
      <c r="F59" s="14" t="n">
        <v>79.38</v>
      </c>
      <c r="G59" s="15">
        <f>HYPERLINK("https://www.tradingview.com/chart/?symbol=NSE:NHPC","Chart 📈")</f>
        <v/>
      </c>
    </row>
    <row r="60" ht="16" customHeight="1">
      <c r="A60" s="16" t="inlineStr">
        <is>
          <t>NIFTY ENERGY</t>
        </is>
      </c>
      <c r="B60" s="13" t="inlineStr">
        <is>
          <t>NLCINDIA</t>
        </is>
      </c>
      <c r="C60" s="14" t="n">
        <v>299.1</v>
      </c>
      <c r="D60" s="14" t="n">
        <v>283.98</v>
      </c>
      <c r="E60" s="14" t="n">
        <v>271.51</v>
      </c>
      <c r="F60" s="14" t="n">
        <v>255.14</v>
      </c>
      <c r="G60" s="15">
        <f>HYPERLINK("https://www.tradingview.com/chart/?symbol=NSE:NLCINDIA","Chart 📈")</f>
        <v/>
      </c>
    </row>
    <row r="61" ht="16" customHeight="1">
      <c r="A61" s="16" t="inlineStr">
        <is>
          <t>NIFTY ENERGY</t>
        </is>
      </c>
      <c r="B61" s="13" t="inlineStr">
        <is>
          <t>NTPC</t>
        </is>
      </c>
      <c r="C61" s="14" t="n">
        <v>401.85</v>
      </c>
      <c r="D61" s="14" t="n">
        <v>387.98</v>
      </c>
      <c r="E61" s="14" t="n">
        <v>376.62</v>
      </c>
      <c r="F61" s="14" t="n">
        <v>352.59</v>
      </c>
      <c r="G61" s="15">
        <f>HYPERLINK("https://www.tradingview.com/chart/?symbol=NSE:NTPC","Chart 📈")</f>
        <v/>
      </c>
    </row>
    <row r="62" ht="16" customHeight="1">
      <c r="A62" s="16" t="inlineStr">
        <is>
          <t>NIFTY ENERGY</t>
        </is>
      </c>
      <c r="B62" s="13" t="inlineStr">
        <is>
          <t>POWERGRID</t>
        </is>
      </c>
      <c r="C62" s="14" t="n">
        <v>316.4</v>
      </c>
      <c r="D62" s="14" t="n">
        <v>308.3</v>
      </c>
      <c r="E62" s="14" t="n">
        <v>298.58</v>
      </c>
      <c r="F62" s="14" t="n">
        <v>286.05</v>
      </c>
      <c r="G62" s="15">
        <f>HYPERLINK("https://www.tradingview.com/chart/?symbol=NSE:POWERGRID","Chart 📈")</f>
        <v/>
      </c>
    </row>
    <row r="63" ht="16" customHeight="1">
      <c r="A63" s="16" t="inlineStr">
        <is>
          <t>NIFTY ENERGY</t>
        </is>
      </c>
      <c r="B63" s="13" t="inlineStr">
        <is>
          <t>POWERINDIA</t>
        </is>
      </c>
      <c r="C63" s="14" t="n">
        <v>32200</v>
      </c>
      <c r="D63" s="14" t="n">
        <v>28179.11</v>
      </c>
      <c r="E63" s="14" t="n">
        <v>25629.01</v>
      </c>
      <c r="F63" s="14" t="n">
        <v>21221.6</v>
      </c>
      <c r="G63" s="15">
        <f>HYPERLINK("https://www.tradingview.com/chart/?symbol=NSE:POWERINDIA","Chart 📈")</f>
        <v/>
      </c>
    </row>
    <row r="64" ht="16" customHeight="1">
      <c r="A64" s="16" t="inlineStr">
        <is>
          <t>NIFTY ENERGY</t>
        </is>
      </c>
      <c r="B64" s="13" t="inlineStr">
        <is>
          <t>SCHNEIDER</t>
        </is>
      </c>
      <c r="C64" s="14" t="n">
        <v>1180.1</v>
      </c>
      <c r="D64" s="14" t="n">
        <v>1013.78</v>
      </c>
      <c r="E64" s="14" t="n">
        <v>925.8</v>
      </c>
      <c r="F64" s="14" t="n">
        <v>817.64</v>
      </c>
      <c r="G64" s="15">
        <f>HYPERLINK("https://www.tradingview.com/chart/?symbol=NSE:SCHNEIDER","Chart 📈")</f>
        <v/>
      </c>
    </row>
    <row r="65" ht="16" customHeight="1">
      <c r="A65" s="16" t="inlineStr">
        <is>
          <t>NIFTY ENERGY</t>
        </is>
      </c>
      <c r="B65" s="13" t="inlineStr">
        <is>
          <t>SIEMENS</t>
        </is>
      </c>
      <c r="C65" s="14" t="n">
        <v>3808.9</v>
      </c>
      <c r="D65" s="14" t="n">
        <v>3486.26</v>
      </c>
      <c r="E65" s="14" t="n">
        <v>3316.03</v>
      </c>
      <c r="F65" s="14" t="n">
        <v>3173.96</v>
      </c>
      <c r="G65" s="15">
        <f>HYPERLINK("https://www.tradingview.com/chart/?symbol=NSE:SIEMENS","Chart 📈")</f>
        <v/>
      </c>
    </row>
    <row r="66" ht="16" customHeight="1">
      <c r="A66" s="16" t="inlineStr">
        <is>
          <t>NIFTY ENERGY</t>
        </is>
      </c>
      <c r="B66" s="13" t="inlineStr">
        <is>
          <t>SUZLON</t>
        </is>
      </c>
      <c r="C66" s="14" t="n">
        <v>53.91</v>
      </c>
      <c r="D66" s="14" t="n">
        <v>48.29</v>
      </c>
      <c r="E66" s="14" t="n">
        <v>46.4</v>
      </c>
      <c r="F66" s="14" t="n">
        <v>51.48</v>
      </c>
      <c r="G66" s="15">
        <f>HYPERLINK("https://www.tradingview.com/chart/?symbol=NSE:SUZLON","Chart 📈")</f>
        <v/>
      </c>
    </row>
    <row r="67" ht="16" customHeight="1">
      <c r="A67" s="16" t="inlineStr">
        <is>
          <t>NIFTY ENERGY</t>
        </is>
      </c>
      <c r="B67" s="13" t="inlineStr">
        <is>
          <t>TATAPOWER</t>
        </is>
      </c>
      <c r="C67" s="14" t="n">
        <v>435</v>
      </c>
      <c r="D67" s="14" t="n">
        <v>413.21</v>
      </c>
      <c r="E67" s="14" t="n">
        <v>397.3</v>
      </c>
      <c r="F67" s="14" t="n">
        <v>388.48</v>
      </c>
      <c r="G67" s="15">
        <f>HYPERLINK("https://www.tradingview.com/chart/?symbol=NSE:TATAPOWER","Chart 📈")</f>
        <v/>
      </c>
    </row>
    <row r="68" ht="16" customHeight="1">
      <c r="A68" s="16" t="inlineStr">
        <is>
          <t>NIFTY ENERGY</t>
        </is>
      </c>
      <c r="B68" s="13" t="inlineStr">
        <is>
          <t>THERMAX</t>
        </is>
      </c>
      <c r="C68" s="14" t="n">
        <v>4006.5</v>
      </c>
      <c r="D68" s="14" t="n">
        <v>3753.64</v>
      </c>
      <c r="E68" s="14" t="n">
        <v>3442.43</v>
      </c>
      <c r="F68" s="14" t="n">
        <v>3265.36</v>
      </c>
      <c r="G68" s="15">
        <f>HYPERLINK("https://www.tradingview.com/chart/?symbol=NSE:THERMAX","Chart 📈")</f>
        <v/>
      </c>
    </row>
    <row r="69" ht="16" customHeight="1">
      <c r="A69" s="16" t="inlineStr">
        <is>
          <t>NIFTY ENERGY</t>
        </is>
      </c>
      <c r="B69" s="13" t="inlineStr">
        <is>
          <t>TORNTPOWER</t>
        </is>
      </c>
      <c r="C69" s="14" t="n">
        <v>1699.5</v>
      </c>
      <c r="D69" s="14" t="n">
        <v>1537.18</v>
      </c>
      <c r="E69" s="14" t="n">
        <v>1472.37</v>
      </c>
      <c r="F69" s="14" t="n">
        <v>1401.61</v>
      </c>
      <c r="G69" s="15">
        <f>HYPERLINK("https://www.tradingview.com/chart/?symbol=NSE:TORNTPOWER","Chart 📈")</f>
        <v/>
      </c>
    </row>
    <row r="70" ht="16" customHeight="1">
      <c r="A70" s="16" t="inlineStr">
        <is>
          <t>NIFTY ENERGY</t>
        </is>
      </c>
      <c r="B70" s="13" t="inlineStr">
        <is>
          <t>TRITURBINE</t>
        </is>
      </c>
      <c r="C70" s="14" t="n">
        <v>569.85</v>
      </c>
      <c r="D70" s="14" t="n">
        <v>509.34</v>
      </c>
      <c r="E70" s="14" t="n">
        <v>493.23</v>
      </c>
      <c r="F70" s="14" t="n">
        <v>512.3</v>
      </c>
      <c r="G70" s="15">
        <f>HYPERLINK("https://www.tradingview.com/chart/?symbol=NSE:TRITURBINE","Chart 📈")</f>
        <v/>
      </c>
    </row>
    <row r="71" ht="16" customHeight="1">
      <c r="A71" s="8" t="inlineStr">
        <is>
          <t>NIFTY REALTY</t>
        </is>
      </c>
      <c r="B71" s="17" t="inlineStr">
        <is>
          <t>OBEROIRLTY</t>
        </is>
      </c>
      <c r="C71" s="18" t="n">
        <v>1687</v>
      </c>
      <c r="D71" s="18" t="n">
        <v>1634.46</v>
      </c>
      <c r="E71" s="18" t="n">
        <v>1582.73</v>
      </c>
      <c r="F71" s="18" t="n">
        <v>1617.76</v>
      </c>
      <c r="G71" s="19">
        <f>HYPERLINK("https://www.tradingview.com/chart/?symbol=NSE:OBEROIRLTY","Chart 📈")</f>
        <v/>
      </c>
    </row>
    <row r="72" ht="16" customHeight="1">
      <c r="A72" s="20" t="inlineStr">
        <is>
          <t>NIFTY REALTY</t>
        </is>
      </c>
      <c r="B72" s="17" t="inlineStr">
        <is>
          <t>PHOENIXLTD</t>
        </is>
      </c>
      <c r="C72" s="18" t="n">
        <v>1775.9</v>
      </c>
      <c r="D72" s="18" t="n">
        <v>1714.59</v>
      </c>
      <c r="E72" s="18" t="n">
        <v>1688.16</v>
      </c>
      <c r="F72" s="18" t="n">
        <v>1678.04</v>
      </c>
      <c r="G72" s="19">
        <f>HYPERLINK("https://www.tradingview.com/chart/?symbol=NSE:PHOENIXLTD","Chart 📈")</f>
        <v/>
      </c>
    </row>
    <row r="73" ht="16" customHeight="1">
      <c r="A73" s="12" t="inlineStr">
        <is>
          <t>NIFTY PSU BANK</t>
        </is>
      </c>
      <c r="B73" s="13" t="inlineStr">
        <is>
          <t>MAHABANK</t>
        </is>
      </c>
      <c r="C73" s="14" t="n">
        <v>77.90000000000001</v>
      </c>
      <c r="D73" s="14" t="n">
        <v>72.14</v>
      </c>
      <c r="E73" s="14" t="n">
        <v>68.76000000000001</v>
      </c>
      <c r="F73" s="14" t="n">
        <v>61.46</v>
      </c>
      <c r="G73" s="15">
        <f>HYPERLINK("https://www.tradingview.com/chart/?symbol=NSE:MAHABANK","Chart 📈")</f>
        <v/>
      </c>
    </row>
    <row r="74" ht="16" customHeight="1">
      <c r="A74" s="16" t="inlineStr">
        <is>
          <t>NIFTY PSU BANK</t>
        </is>
      </c>
      <c r="B74" s="13" t="inlineStr">
        <is>
          <t>SBIN</t>
        </is>
      </c>
      <c r="C74" s="14" t="n">
        <v>1101.1</v>
      </c>
      <c r="D74" s="14" t="n">
        <v>1078.01</v>
      </c>
      <c r="E74" s="14" t="n">
        <v>1077.5</v>
      </c>
      <c r="F74" s="14" t="n">
        <v>987.09</v>
      </c>
      <c r="G74" s="15">
        <f>HYPERLINK("https://www.tradingview.com/chart/?symbol=NSE:SBIN","Chart 📈")</f>
        <v/>
      </c>
    </row>
    <row r="75" ht="16" customHeight="1">
      <c r="A75" s="8" t="inlineStr">
        <is>
          <t>NIFTY FINANCIAL SERVICES</t>
        </is>
      </c>
      <c r="B75" s="17" t="inlineStr">
        <is>
          <t>AXISBANK</t>
        </is>
      </c>
      <c r="C75" s="18" t="n">
        <v>1365.9</v>
      </c>
      <c r="D75" s="18" t="n">
        <v>1323.08</v>
      </c>
      <c r="E75" s="18" t="n">
        <v>1302.93</v>
      </c>
      <c r="F75" s="18" t="n">
        <v>1254.17</v>
      </c>
      <c r="G75" s="19">
        <f>HYPERLINK("https://www.tradingview.com/chart/?symbol=NSE:AXISBANK","Chart 📈")</f>
        <v/>
      </c>
    </row>
    <row r="76" ht="16" customHeight="1">
      <c r="A76" s="20" t="inlineStr">
        <is>
          <t>NIFTY FINANCIAL SERVICES</t>
        </is>
      </c>
      <c r="B76" s="17" t="inlineStr">
        <is>
          <t>HDFCAMC</t>
        </is>
      </c>
      <c r="C76" s="18" t="n">
        <v>2735</v>
      </c>
      <c r="D76" s="18" t="n">
        <v>2611.63</v>
      </c>
      <c r="E76" s="18" t="n">
        <v>2576.1</v>
      </c>
      <c r="F76" s="18" t="n">
        <v>2589.84</v>
      </c>
      <c r="G76" s="19">
        <f>HYPERLINK("https://www.tradingview.com/chart/?symbol=NSE:HDFCAMC","Chart 📈")</f>
        <v/>
      </c>
    </row>
    <row r="77" ht="16" customHeight="1">
      <c r="A77" s="20" t="inlineStr">
        <is>
          <t>NIFTY FINANCIAL SERVICES</t>
        </is>
      </c>
      <c r="B77" s="17" t="inlineStr">
        <is>
          <t>MCX</t>
        </is>
      </c>
      <c r="C77" s="18" t="n">
        <v>2760.9</v>
      </c>
      <c r="D77" s="18" t="n">
        <v>2693.57</v>
      </c>
      <c r="E77" s="18" t="n">
        <v>2558.66</v>
      </c>
      <c r="F77" s="18" t="n">
        <v>2119.99</v>
      </c>
      <c r="G77" s="19">
        <f>HYPERLINK("https://www.tradingview.com/chart/?symbol=NSE:MCX","Chart 📈")</f>
        <v/>
      </c>
    </row>
    <row r="78" ht="16" customHeight="1">
      <c r="A78" s="20" t="inlineStr">
        <is>
          <t>NIFTY FINANCIAL SERVICES</t>
        </is>
      </c>
      <c r="B78" s="17" t="inlineStr">
        <is>
          <t>MUTHOOTFIN</t>
        </is>
      </c>
      <c r="C78" s="18" t="n">
        <v>3493.5</v>
      </c>
      <c r="D78" s="18" t="n">
        <v>3460.66</v>
      </c>
      <c r="E78" s="18" t="n">
        <v>3453.32</v>
      </c>
      <c r="F78" s="18" t="n">
        <v>3249.89</v>
      </c>
      <c r="G78" s="19">
        <f>HYPERLINK("https://www.tradingview.com/chart/?symbol=NSE:MUTHOOTFIN","Chart 📈")</f>
        <v/>
      </c>
    </row>
    <row r="79" ht="16" customHeight="1">
      <c r="A79" s="20" t="inlineStr">
        <is>
          <t>NIFTY FINANCIAL SERVICES</t>
        </is>
      </c>
      <c r="B79" s="17" t="inlineStr">
        <is>
          <t>PFC</t>
        </is>
      </c>
      <c r="C79" s="18" t="n">
        <v>469.35</v>
      </c>
      <c r="D79" s="18" t="n">
        <v>441.82</v>
      </c>
      <c r="E79" s="18" t="n">
        <v>418.95</v>
      </c>
      <c r="F79" s="18" t="n">
        <v>395.77</v>
      </c>
      <c r="G79" s="19">
        <f>HYPERLINK("https://www.tradingview.com/chart/?symbol=NSE:PFC","Chart 📈")</f>
        <v/>
      </c>
    </row>
    <row r="80" ht="16" customHeight="1">
      <c r="A80" s="20" t="inlineStr">
        <is>
          <t>NIFTY FINANCIAL SERVICES</t>
        </is>
      </c>
      <c r="B80" s="17" t="inlineStr">
        <is>
          <t>RECLTD</t>
        </is>
      </c>
      <c r="C80" s="18" t="n">
        <v>374</v>
      </c>
      <c r="D80" s="18" t="n">
        <v>356.88</v>
      </c>
      <c r="E80" s="18" t="n">
        <v>348.94</v>
      </c>
      <c r="F80" s="18" t="n">
        <v>359.13</v>
      </c>
      <c r="G80" s="19">
        <f>HYPERLINK("https://www.tradingview.com/chart/?symbol=NSE:RECLTD","Chart 📈")</f>
        <v/>
      </c>
    </row>
    <row r="81" ht="16" customHeight="1">
      <c r="A81" s="20" t="inlineStr">
        <is>
          <t>NIFTY FINANCIAL SERVICES</t>
        </is>
      </c>
      <c r="B81" s="17" t="inlineStr">
        <is>
          <t>SHRIRAMFIN</t>
        </is>
      </c>
      <c r="C81" s="18" t="n">
        <v>1011.3</v>
      </c>
      <c r="D81" s="18" t="n">
        <v>1002.99</v>
      </c>
      <c r="E81" s="18" t="n">
        <v>993.22</v>
      </c>
      <c r="F81" s="18" t="n">
        <v>875.16</v>
      </c>
      <c r="G81" s="19">
        <f>HYPERLINK("https://www.tradingview.com/chart/?symbol=NSE:SHRIRAMFIN","Chart 📈")</f>
        <v/>
      </c>
    </row>
    <row r="82" ht="16" customHeight="1">
      <c r="A82" s="12" t="inlineStr">
        <is>
          <t>NIFTY AUTO</t>
        </is>
      </c>
      <c r="B82" s="13" t="inlineStr">
        <is>
          <t>BAJAJ-AUTO</t>
        </is>
      </c>
      <c r="C82" s="14" t="n">
        <v>9576</v>
      </c>
      <c r="D82" s="14" t="n">
        <v>9509.6</v>
      </c>
      <c r="E82" s="14" t="n">
        <v>9441.700000000001</v>
      </c>
      <c r="F82" s="14" t="n">
        <v>9096.219999999999</v>
      </c>
      <c r="G82" s="15">
        <f>HYPERLINK("https://www.tradingview.com/chart/?symbol=NSE:BAJAJ-AUTO","Chart 📈")</f>
        <v/>
      </c>
    </row>
    <row r="83" ht="16" customHeight="1">
      <c r="A83" s="16" t="inlineStr">
        <is>
          <t>NIFTY AUTO</t>
        </is>
      </c>
      <c r="B83" s="13" t="inlineStr">
        <is>
          <t>BHARATFORG</t>
        </is>
      </c>
      <c r="C83" s="14" t="n">
        <v>1856</v>
      </c>
      <c r="D83" s="14" t="n">
        <v>1810.11</v>
      </c>
      <c r="E83" s="14" t="n">
        <v>1741.69</v>
      </c>
      <c r="F83" s="14" t="n">
        <v>1493.67</v>
      </c>
      <c r="G83" s="15">
        <f>HYPERLINK("https://www.tradingview.com/chart/?symbol=NSE:BHARATFORG","Chart 📈")</f>
        <v/>
      </c>
    </row>
    <row r="84" ht="16" customHeight="1">
      <c r="A84" s="16" t="inlineStr">
        <is>
          <t>NIFTY AUTO</t>
        </is>
      </c>
      <c r="B84" s="13" t="inlineStr">
        <is>
          <t>BOSCHLTD</t>
        </is>
      </c>
      <c r="C84" s="14" t="n">
        <v>36690</v>
      </c>
      <c r="D84" s="14" t="n">
        <v>35620.79</v>
      </c>
      <c r="E84" s="14" t="n">
        <v>34807.57</v>
      </c>
      <c r="F84" s="14" t="n">
        <v>35060.75</v>
      </c>
      <c r="G84" s="15">
        <f>HYPERLINK("https://www.tradingview.com/chart/?symbol=NSE:BOSCHLTD","Chart 📈")</f>
        <v/>
      </c>
    </row>
    <row r="85" ht="16" customHeight="1">
      <c r="A85" s="16" t="inlineStr">
        <is>
          <t>NIFTY AUTO</t>
        </is>
      </c>
      <c r="B85" s="13" t="inlineStr">
        <is>
          <t>MOTHERSON</t>
        </is>
      </c>
      <c r="C85" s="14" t="n">
        <v>125.7</v>
      </c>
      <c r="D85" s="14" t="n">
        <v>120.96</v>
      </c>
      <c r="E85" s="14" t="n">
        <v>119.41</v>
      </c>
      <c r="F85" s="14" t="n">
        <v>112.13</v>
      </c>
      <c r="G85" s="15">
        <f>HYPERLINK("https://www.tradingview.com/chart/?symbol=NSE:MOTHERSON","Chart 📈")</f>
        <v/>
      </c>
    </row>
    <row r="86" ht="16" customHeight="1">
      <c r="A86" s="8" t="inlineStr">
        <is>
          <t>NIFTY BANK</t>
        </is>
      </c>
      <c r="B86" s="17" t="inlineStr">
        <is>
          <t>AUBANK</t>
        </is>
      </c>
      <c r="C86" s="18" t="n">
        <v>1065.65</v>
      </c>
      <c r="D86" s="18" t="n">
        <v>980.6799999999999</v>
      </c>
      <c r="E86" s="18" t="n">
        <v>960.26</v>
      </c>
      <c r="F86" s="18" t="n">
        <v>892.15</v>
      </c>
      <c r="G86" s="19">
        <f>HYPERLINK("https://www.tradingview.com/chart/?symbol=NSE:AUBANK","Chart 📈")</f>
        <v/>
      </c>
    </row>
    <row r="87" ht="16" customHeight="1">
      <c r="A87" s="20" t="inlineStr">
        <is>
          <t>NIFTY BANK</t>
        </is>
      </c>
      <c r="B87" s="17" t="inlineStr">
        <is>
          <t>FEDERALBNK</t>
        </is>
      </c>
      <c r="C87" s="18" t="n">
        <v>293</v>
      </c>
      <c r="D87" s="18" t="n">
        <v>285.5</v>
      </c>
      <c r="E87" s="18" t="n">
        <v>279.86</v>
      </c>
      <c r="F87" s="18" t="n">
        <v>251.89</v>
      </c>
      <c r="G87" s="19">
        <f>HYPERLINK("https://www.tradingview.com/chart/?symbol=NSE:FEDERALBNK","Chart 📈")</f>
        <v/>
      </c>
    </row>
    <row r="88" ht="16" customHeight="1">
      <c r="A88" s="12" t="inlineStr">
        <is>
          <t>NIFTY MIDSMALL IT &amp; TELECOM</t>
        </is>
      </c>
      <c r="B88" s="13" t="inlineStr">
        <is>
          <t>HFCL</t>
        </is>
      </c>
      <c r="C88" s="14" t="n">
        <v>100.22</v>
      </c>
      <c r="D88" s="14" t="n">
        <v>86.54000000000001</v>
      </c>
      <c r="E88" s="14" t="n">
        <v>78.34</v>
      </c>
      <c r="F88" s="14" t="n">
        <v>74.93000000000001</v>
      </c>
      <c r="G88" s="15">
        <f>HYPERLINK("https://www.tradingview.com/chart/?symbol=NSE:HFCL","Chart 📈")</f>
        <v/>
      </c>
    </row>
    <row r="89" ht="16" customHeight="1">
      <c r="A89" s="16" t="inlineStr">
        <is>
          <t>NIFTY MIDSMALL IT &amp; TELECOM</t>
        </is>
      </c>
      <c r="B89" s="13" t="inlineStr">
        <is>
          <t>OFSS</t>
        </is>
      </c>
      <c r="C89" s="14" t="n">
        <v>8949</v>
      </c>
      <c r="D89" s="14" t="n">
        <v>7655.87</v>
      </c>
      <c r="E89" s="14" t="n">
        <v>7340.26</v>
      </c>
      <c r="F89" s="14" t="n">
        <v>7772.88</v>
      </c>
      <c r="G89" s="15">
        <f>HYPERLINK("https://www.tradingview.com/chart/?symbol=NSE:OFSS","Chart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2026-04-26T16:11:16Z</dcterms:created>
  <dcterms:modified xsi:type="dcterms:W3CDTF">2026-04-26T16:11:16Z</dcterms:modified>
</cp:coreProperties>
</file>