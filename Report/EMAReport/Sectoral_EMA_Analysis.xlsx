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28-Aug-2026  21:30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12</v>
      </c>
      <c r="D4" s="5" t="n">
        <v>12</v>
      </c>
      <c r="E4" s="5" t="n">
        <v>12</v>
      </c>
      <c r="F4" s="6" t="n">
        <v>0.8</v>
      </c>
      <c r="G4" s="6" t="n">
        <v>0.8</v>
      </c>
      <c r="H4" s="6" t="n">
        <v>0.8</v>
      </c>
      <c r="I4" s="7" t="n">
        <v>0.8</v>
      </c>
    </row>
    <row r="5" ht="17" customHeight="1">
      <c r="A5" s="8" t="inlineStr">
        <is>
          <t>NIFTY REALTY</t>
        </is>
      </c>
      <c r="B5" s="9" t="n">
        <v>10</v>
      </c>
      <c r="C5" s="9" t="n">
        <v>6</v>
      </c>
      <c r="D5" s="9" t="n">
        <v>7</v>
      </c>
      <c r="E5" s="9" t="n">
        <v>9</v>
      </c>
      <c r="F5" s="10" t="n">
        <v>0.6</v>
      </c>
      <c r="G5" s="10" t="n">
        <v>0.7</v>
      </c>
      <c r="H5" s="10" t="n">
        <v>0.9</v>
      </c>
      <c r="I5" s="11" t="n">
        <v>0.7333</v>
      </c>
    </row>
    <row r="6" ht="17" customHeight="1">
      <c r="A6" s="4" t="inlineStr">
        <is>
          <t>NIFTY AUTO</t>
        </is>
      </c>
      <c r="B6" s="5" t="n">
        <v>15</v>
      </c>
      <c r="C6" s="5" t="n">
        <v>8</v>
      </c>
      <c r="D6" s="5" t="n">
        <v>12</v>
      </c>
      <c r="E6" s="5" t="n">
        <v>12</v>
      </c>
      <c r="F6" s="6" t="n">
        <v>0.5329999999999999</v>
      </c>
      <c r="G6" s="6" t="n">
        <v>0.8</v>
      </c>
      <c r="H6" s="6" t="n">
        <v>0.8</v>
      </c>
      <c r="I6" s="7" t="n">
        <v>0.711</v>
      </c>
    </row>
    <row r="7" ht="17" customHeight="1">
      <c r="A7" s="8" t="inlineStr">
        <is>
          <t>NIFTY PHARMA</t>
        </is>
      </c>
      <c r="B7" s="9" t="n">
        <v>20</v>
      </c>
      <c r="C7" s="9" t="n">
        <v>9</v>
      </c>
      <c r="D7" s="9" t="n">
        <v>12</v>
      </c>
      <c r="E7" s="9" t="n">
        <v>15</v>
      </c>
      <c r="F7" s="10" t="n">
        <v>0.45</v>
      </c>
      <c r="G7" s="10" t="n">
        <v>0.6</v>
      </c>
      <c r="H7" s="10" t="n">
        <v>0.75</v>
      </c>
      <c r="I7" s="11" t="n">
        <v>0.6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10</v>
      </c>
      <c r="D8" s="5" t="n">
        <v>11</v>
      </c>
      <c r="E8" s="5" t="n">
        <v>8</v>
      </c>
      <c r="F8" s="6" t="n">
        <v>0.5</v>
      </c>
      <c r="G8" s="6" t="n">
        <v>0.55</v>
      </c>
      <c r="H8" s="6" t="n">
        <v>0.4</v>
      </c>
      <c r="I8" s="7" t="n">
        <v>0.4833</v>
      </c>
    </row>
    <row r="9" ht="17" customHeight="1">
      <c r="A9" s="8" t="inlineStr">
        <is>
          <t>NIFTY PSU BANK</t>
        </is>
      </c>
      <c r="B9" s="9" t="n">
        <v>12</v>
      </c>
      <c r="C9" s="9" t="n">
        <v>5</v>
      </c>
      <c r="D9" s="9" t="n">
        <v>6</v>
      </c>
      <c r="E9" s="9" t="n">
        <v>6</v>
      </c>
      <c r="F9" s="10" t="n">
        <v>0.417</v>
      </c>
      <c r="G9" s="10" t="n">
        <v>0.5</v>
      </c>
      <c r="H9" s="10" t="n">
        <v>0.5</v>
      </c>
      <c r="I9" s="11" t="n">
        <v>0.4722999999999999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7</v>
      </c>
      <c r="D10" s="5" t="n">
        <v>10</v>
      </c>
      <c r="E10" s="5" t="n">
        <v>10</v>
      </c>
      <c r="F10" s="6" t="n">
        <v>0.35</v>
      </c>
      <c r="G10" s="6" t="n">
        <v>0.5</v>
      </c>
      <c r="H10" s="6" t="n">
        <v>0.5</v>
      </c>
      <c r="I10" s="7" t="n">
        <v>0.45</v>
      </c>
    </row>
    <row r="11" ht="17" customHeight="1">
      <c r="A11" s="8" t="inlineStr">
        <is>
          <t>NIFTY MEDIA</t>
        </is>
      </c>
      <c r="B11" s="9" t="n">
        <v>10</v>
      </c>
      <c r="C11" s="9" t="n">
        <v>4</v>
      </c>
      <c r="D11" s="9" t="n">
        <v>4</v>
      </c>
      <c r="E11" s="9" t="n">
        <v>5</v>
      </c>
      <c r="F11" s="10" t="n">
        <v>0.4</v>
      </c>
      <c r="G11" s="10" t="n">
        <v>0.4</v>
      </c>
      <c r="H11" s="10" t="n">
        <v>0.5</v>
      </c>
      <c r="I11" s="11" t="n">
        <v>0.4333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6</v>
      </c>
      <c r="D12" s="5" t="n">
        <v>7</v>
      </c>
      <c r="E12" s="5" t="n">
        <v>6</v>
      </c>
      <c r="F12" s="6" t="n">
        <v>0.4</v>
      </c>
      <c r="G12" s="6" t="n">
        <v>0.467</v>
      </c>
      <c r="H12" s="6" t="n">
        <v>0.4</v>
      </c>
      <c r="I12" s="7" t="n">
        <v>0.4223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3</v>
      </c>
      <c r="D13" s="9" t="n">
        <v>5</v>
      </c>
      <c r="E13" s="9" t="n">
        <v>7</v>
      </c>
      <c r="F13" s="10" t="n">
        <v>0.2</v>
      </c>
      <c r="G13" s="10" t="n">
        <v>0.333</v>
      </c>
      <c r="H13" s="10" t="n">
        <v>0.467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4</v>
      </c>
      <c r="E14" s="5" t="n">
        <v>4</v>
      </c>
      <c r="F14" s="6" t="n">
        <v>0.083</v>
      </c>
      <c r="G14" s="6" t="n">
        <v>0.333</v>
      </c>
      <c r="H14" s="6" t="n">
        <v>0.333</v>
      </c>
      <c r="I14" s="7" t="n">
        <v>0.2497</v>
      </c>
    </row>
    <row r="15" ht="17" customHeight="1">
      <c r="A15" s="8" t="inlineStr">
        <is>
          <t>NIFTY ENERGY</t>
        </is>
      </c>
      <c r="B15" s="9" t="n">
        <v>40</v>
      </c>
      <c r="C15" s="9" t="n">
        <v>7</v>
      </c>
      <c r="D15" s="9" t="n">
        <v>8</v>
      </c>
      <c r="E15" s="9" t="n">
        <v>13</v>
      </c>
      <c r="F15" s="10" t="n">
        <v>0.175</v>
      </c>
      <c r="G15" s="10" t="n">
        <v>0.2</v>
      </c>
      <c r="H15" s="10" t="n">
        <v>0.325</v>
      </c>
      <c r="I15" s="11" t="n">
        <v>0.2333</v>
      </c>
    </row>
    <row r="16" ht="17" customHeight="1">
      <c r="A16" s="4" t="inlineStr">
        <is>
          <t>NIFTY FMCG</t>
        </is>
      </c>
      <c r="B16" s="5" t="n">
        <v>15</v>
      </c>
      <c r="C16" s="5" t="n">
        <v>2</v>
      </c>
      <c r="D16" s="5" t="n">
        <v>3</v>
      </c>
      <c r="E16" s="5" t="n">
        <v>5</v>
      </c>
      <c r="F16" s="6" t="n">
        <v>0.133</v>
      </c>
      <c r="G16" s="6" t="n">
        <v>0.2</v>
      </c>
      <c r="H16" s="6" t="n">
        <v>0.333</v>
      </c>
      <c r="I16" s="7" t="n">
        <v>0.222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2</v>
      </c>
      <c r="E17" s="9" t="n">
        <v>1</v>
      </c>
      <c r="F17" s="10" t="n">
        <v>0</v>
      </c>
      <c r="G17" s="10" t="n">
        <v>0.2</v>
      </c>
      <c r="H17" s="10" t="n">
        <v>0.1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3169</v>
      </c>
      <c r="D3" s="14" t="n">
        <v>3047.91</v>
      </c>
      <c r="E3" s="14" t="n">
        <v>3004.25</v>
      </c>
      <c r="F3" s="14" t="n">
        <v>2651.63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2188</v>
      </c>
      <c r="D4" s="14" t="n">
        <v>2060.77</v>
      </c>
      <c r="E4" s="14" t="n">
        <v>1967.18</v>
      </c>
      <c r="F4" s="14" t="n">
        <v>1896.52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610.1</v>
      </c>
      <c r="D5" s="14" t="n">
        <v>580.8</v>
      </c>
      <c r="E5" s="14" t="n">
        <v>568.89</v>
      </c>
      <c r="F5" s="14" t="n">
        <v>552.85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JINDALSTEL</t>
        </is>
      </c>
      <c r="C6" s="14" t="n">
        <v>1170</v>
      </c>
      <c r="D6" s="14" t="n">
        <v>1120.08</v>
      </c>
      <c r="E6" s="14" t="n">
        <v>1109.18</v>
      </c>
      <c r="F6" s="14" t="n">
        <v>1109.1</v>
      </c>
      <c r="G6" s="15">
        <f>HYPERLINK("https://www.tradingview.com/chart/?symbol=NSE:JINDALSTEL","Chart 📈")</f>
        <v/>
      </c>
    </row>
    <row r="7" ht="16" customHeight="1">
      <c r="A7" s="16" t="inlineStr">
        <is>
          <t>NIFTY METAL</t>
        </is>
      </c>
      <c r="B7" s="13" t="inlineStr">
        <is>
          <t>JSWSTEEL</t>
        </is>
      </c>
      <c r="C7" s="14" t="n">
        <v>1337.5</v>
      </c>
      <c r="D7" s="14" t="n">
        <v>1296.93</v>
      </c>
      <c r="E7" s="14" t="n">
        <v>1276.79</v>
      </c>
      <c r="F7" s="14" t="n">
        <v>1218.96</v>
      </c>
      <c r="G7" s="15">
        <f>HYPERLINK("https://www.tradingview.com/chart/?symbol=NSE:JSWSTEEL","Chart 📈")</f>
        <v/>
      </c>
    </row>
    <row r="8" ht="16" customHeight="1">
      <c r="A8" s="16" t="inlineStr">
        <is>
          <t>NIFTY METAL</t>
        </is>
      </c>
      <c r="B8" s="13" t="inlineStr">
        <is>
          <t>NATIONALUM</t>
        </is>
      </c>
      <c r="C8" s="14" t="n">
        <v>389.3</v>
      </c>
      <c r="D8" s="14" t="n">
        <v>384.43</v>
      </c>
      <c r="E8" s="14" t="n">
        <v>375.81</v>
      </c>
      <c r="F8" s="14" t="n">
        <v>346.15</v>
      </c>
      <c r="G8" s="15">
        <f>HYPERLINK("https://www.tradingview.com/chart/?symbol=NSE:NATIONALUM","Chart 📈")</f>
        <v/>
      </c>
    </row>
    <row r="9" ht="16" customHeight="1">
      <c r="A9" s="16" t="inlineStr">
        <is>
          <t>NIFTY METAL</t>
        </is>
      </c>
      <c r="B9" s="13" t="inlineStr">
        <is>
          <t>NMDC</t>
        </is>
      </c>
      <c r="C9" s="14" t="n">
        <v>85.72</v>
      </c>
      <c r="D9" s="14" t="n">
        <v>85.28</v>
      </c>
      <c r="E9" s="14" t="n">
        <v>85.45999999999999</v>
      </c>
      <c r="F9" s="14" t="n">
        <v>82.44</v>
      </c>
      <c r="G9" s="15">
        <f>HYPERLINK("https://www.tradingview.com/chart/?symbol=NSE:NMDC","Chart 📈")</f>
        <v/>
      </c>
    </row>
    <row r="10" ht="16" customHeight="1">
      <c r="A10" s="16" t="inlineStr">
        <is>
          <t>NIFTY METAL</t>
        </is>
      </c>
      <c r="B10" s="13" t="inlineStr">
        <is>
          <t>RATNAMANI</t>
        </is>
      </c>
      <c r="C10" s="14" t="n">
        <v>2654.8</v>
      </c>
      <c r="D10" s="14" t="n">
        <v>2457.6</v>
      </c>
      <c r="E10" s="14" t="n">
        <v>2464.75</v>
      </c>
      <c r="F10" s="14" t="n">
        <v>2438.34</v>
      </c>
      <c r="G10" s="15">
        <f>HYPERLINK("https://www.tradingview.com/chart/?symbol=NSE:RATNAMANI","Chart 📈")</f>
        <v/>
      </c>
    </row>
    <row r="11" ht="16" customHeight="1">
      <c r="A11" s="16" t="inlineStr">
        <is>
          <t>NIFTY METAL</t>
        </is>
      </c>
      <c r="B11" s="13" t="inlineStr">
        <is>
          <t>SAIL</t>
        </is>
      </c>
      <c r="C11" s="14" t="n">
        <v>193</v>
      </c>
      <c r="D11" s="14" t="n">
        <v>177.13</v>
      </c>
      <c r="E11" s="14" t="n">
        <v>174.59</v>
      </c>
      <c r="F11" s="14" t="n">
        <v>163.69</v>
      </c>
      <c r="G11" s="15">
        <f>HYPERLINK("https://www.tradingview.com/chart/?symbol=NSE:SAIL","Chart 📈")</f>
        <v/>
      </c>
    </row>
    <row r="12" ht="16" customHeight="1">
      <c r="A12" s="16" t="inlineStr">
        <is>
          <t>NIFTY METAL</t>
        </is>
      </c>
      <c r="B12" s="13" t="inlineStr">
        <is>
          <t>WELCORP</t>
        </is>
      </c>
      <c r="C12" s="14" t="n">
        <v>2405.8</v>
      </c>
      <c r="D12" s="14" t="n">
        <v>2029.15</v>
      </c>
      <c r="E12" s="14" t="n">
        <v>1780.37</v>
      </c>
      <c r="F12" s="14" t="n">
        <v>1304.34</v>
      </c>
      <c r="G12" s="15">
        <f>HYPERLINK("https://www.tradingview.com/chart/?symbol=NSE:WELCORP","Chart 📈")</f>
        <v/>
      </c>
    </row>
    <row r="13" ht="16" customHeight="1">
      <c r="A13" s="8" t="inlineStr">
        <is>
          <t>NIFTY REALTY</t>
        </is>
      </c>
      <c r="B13" s="17" t="inlineStr">
        <is>
          <t>BRIGADE</t>
        </is>
      </c>
      <c r="C13" s="18" t="n">
        <v>656.75</v>
      </c>
      <c r="D13" s="18" t="n">
        <v>610.67</v>
      </c>
      <c r="E13" s="18" t="n">
        <v>577.63</v>
      </c>
      <c r="F13" s="18" t="n">
        <v>581.74</v>
      </c>
      <c r="G13" s="19">
        <f>HYPERLINK("https://www.tradingview.com/chart/?symbol=NSE:BRIGADE","Chart 📈")</f>
        <v/>
      </c>
    </row>
    <row r="14" ht="16" customHeight="1">
      <c r="A14" s="20" t="inlineStr">
        <is>
          <t>NIFTY REALTY</t>
        </is>
      </c>
      <c r="B14" s="17" t="inlineStr">
        <is>
          <t>DLF</t>
        </is>
      </c>
      <c r="C14" s="18" t="n">
        <v>676.15</v>
      </c>
      <c r="D14" s="18" t="n">
        <v>667.16</v>
      </c>
      <c r="E14" s="18" t="n">
        <v>649.3099999999999</v>
      </c>
      <c r="F14" s="18" t="n">
        <v>640.88</v>
      </c>
      <c r="G14" s="19">
        <f>HYPERLINK("https://www.tradingview.com/chart/?symbol=NSE:DLF","Chart 📈")</f>
        <v/>
      </c>
    </row>
    <row r="15" ht="16" customHeight="1">
      <c r="A15" s="20" t="inlineStr">
        <is>
          <t>NIFTY REALTY</t>
        </is>
      </c>
      <c r="B15" s="17" t="inlineStr">
        <is>
          <t>GODREJPROP</t>
        </is>
      </c>
      <c r="C15" s="18" t="n">
        <v>2069.4</v>
      </c>
      <c r="D15" s="18" t="n">
        <v>2043.05</v>
      </c>
      <c r="E15" s="18" t="n">
        <v>1998.66</v>
      </c>
      <c r="F15" s="18" t="n">
        <v>1904.58</v>
      </c>
      <c r="G15" s="19">
        <f>HYPERLINK("https://www.tradingview.com/chart/?symbol=NSE:GODREJPROP","Chart 📈")</f>
        <v/>
      </c>
    </row>
    <row r="16" ht="16" customHeight="1">
      <c r="A16" s="20" t="inlineStr">
        <is>
          <t>NIFTY REALTY</t>
        </is>
      </c>
      <c r="B16" s="17" t="inlineStr">
        <is>
          <t>LODHA</t>
        </is>
      </c>
      <c r="C16" s="18" t="n">
        <v>1246.3</v>
      </c>
      <c r="D16" s="18" t="n">
        <v>1231.14</v>
      </c>
      <c r="E16" s="18" t="n">
        <v>1158.81</v>
      </c>
      <c r="F16" s="18" t="n">
        <v>1059.77</v>
      </c>
      <c r="G16" s="19">
        <f>HYPERLINK("https://www.tradingview.com/chart/?symbol=NSE:LODHA","Chart 📈")</f>
        <v/>
      </c>
    </row>
    <row r="17" ht="16" customHeight="1">
      <c r="A17" s="20" t="inlineStr">
        <is>
          <t>NIFTY REALTY</t>
        </is>
      </c>
      <c r="B17" s="17" t="inlineStr">
        <is>
          <t>OBEROIRLTY</t>
        </is>
      </c>
      <c r="C17" s="18" t="n">
        <v>1872.9</v>
      </c>
      <c r="D17" s="18" t="n">
        <v>1855.82</v>
      </c>
      <c r="E17" s="18" t="n">
        <v>1818.68</v>
      </c>
      <c r="F17" s="18" t="n">
        <v>1703.06</v>
      </c>
      <c r="G17" s="19">
        <f>HYPERLINK("https://www.tradingview.com/chart/?symbol=NSE:OBEROIRLTY","Chart 📈")</f>
        <v/>
      </c>
    </row>
    <row r="18" ht="16" customHeight="1">
      <c r="A18" s="20" t="inlineStr">
        <is>
          <t>NIFTY REALTY</t>
        </is>
      </c>
      <c r="B18" s="17" t="inlineStr">
        <is>
          <t>PRESTIGE</t>
        </is>
      </c>
      <c r="C18" s="18" t="n">
        <v>1623</v>
      </c>
      <c r="D18" s="18" t="n">
        <v>1611.44</v>
      </c>
      <c r="E18" s="18" t="n">
        <v>1587.6</v>
      </c>
      <c r="F18" s="18" t="n">
        <v>1524.7</v>
      </c>
      <c r="G18" s="19">
        <f>HYPERLINK("https://www.tradingview.com/chart/?symbol=NSE:PRESTIGE","Chart 📈")</f>
        <v/>
      </c>
    </row>
    <row r="19" ht="16" customHeight="1">
      <c r="A19" s="12" t="inlineStr">
        <is>
          <t>NIFTY AUTO</t>
        </is>
      </c>
      <c r="B19" s="13" t="inlineStr">
        <is>
          <t>APOLLOTYRE</t>
        </is>
      </c>
      <c r="C19" s="14" t="n">
        <v>443.25</v>
      </c>
      <c r="D19" s="14" t="n">
        <v>438.47</v>
      </c>
      <c r="E19" s="14" t="n">
        <v>432.31</v>
      </c>
      <c r="F19" s="14" t="n">
        <v>439.58</v>
      </c>
      <c r="G19" s="15">
        <f>HYPERLINK("https://www.tradingview.com/chart/?symbol=NSE:APOLLOTYRE","Chart 📈")</f>
        <v/>
      </c>
    </row>
    <row r="20" ht="16" customHeight="1">
      <c r="A20" s="16" t="inlineStr">
        <is>
          <t>NIFTY AUTO</t>
        </is>
      </c>
      <c r="B20" s="13" t="inlineStr">
        <is>
          <t>ASHOKLEY</t>
        </is>
      </c>
      <c r="C20" s="14" t="n">
        <v>177.4</v>
      </c>
      <c r="D20" s="14" t="n">
        <v>172.63</v>
      </c>
      <c r="E20" s="14" t="n">
        <v>166.9</v>
      </c>
      <c r="F20" s="14" t="n">
        <v>161.45</v>
      </c>
      <c r="G20" s="15">
        <f>HYPERLINK("https://www.tradingview.com/chart/?symbol=NSE:ASHOKLEY","Chart 📈")</f>
        <v/>
      </c>
    </row>
    <row r="21" ht="16" customHeight="1">
      <c r="A21" s="16" t="inlineStr">
        <is>
          <t>NIFTY AUTO</t>
        </is>
      </c>
      <c r="B21" s="13" t="inlineStr">
        <is>
          <t>BAJAJ-AUTO</t>
        </is>
      </c>
      <c r="C21" s="14" t="n">
        <v>11720</v>
      </c>
      <c r="D21" s="14" t="n">
        <v>11591.56</v>
      </c>
      <c r="E21" s="14" t="n">
        <v>11108.51</v>
      </c>
      <c r="F21" s="14" t="n">
        <v>10046.5</v>
      </c>
      <c r="G21" s="15">
        <f>HYPERLINK("https://www.tradingview.com/chart/?symbol=NSE:BAJAJ-AUTO","Chart 📈")</f>
        <v/>
      </c>
    </row>
    <row r="22" ht="16" customHeight="1">
      <c r="A22" s="16" t="inlineStr">
        <is>
          <t>NIFTY AUTO</t>
        </is>
      </c>
      <c r="B22" s="13" t="inlineStr">
        <is>
          <t>BOSCHLTD</t>
        </is>
      </c>
      <c r="C22" s="14" t="n">
        <v>48780</v>
      </c>
      <c r="D22" s="14" t="n">
        <v>46328.22</v>
      </c>
      <c r="E22" s="14" t="n">
        <v>43376.8</v>
      </c>
      <c r="F22" s="14" t="n">
        <v>39130.27</v>
      </c>
      <c r="G22" s="15">
        <f>HYPERLINK("https://www.tradingview.com/chart/?symbol=NSE:BOSCHLTD","Chart 📈")</f>
        <v/>
      </c>
    </row>
    <row r="23" ht="16" customHeight="1">
      <c r="A23" s="16" t="inlineStr">
        <is>
          <t>NIFTY AUTO</t>
        </is>
      </c>
      <c r="B23" s="13" t="inlineStr">
        <is>
          <t>EICHERMOT</t>
        </is>
      </c>
      <c r="C23" s="14" t="n">
        <v>8100</v>
      </c>
      <c r="D23" s="14" t="n">
        <v>7965.46</v>
      </c>
      <c r="E23" s="14" t="n">
        <v>7733.28</v>
      </c>
      <c r="F23" s="14" t="n">
        <v>7264.93</v>
      </c>
      <c r="G23" s="15">
        <f>HYPERLINK("https://www.tradingview.com/chart/?symbol=NSE:EICHERMOT","Chart 📈")</f>
        <v/>
      </c>
    </row>
    <row r="24" ht="16" customHeight="1">
      <c r="A24" s="16" t="inlineStr">
        <is>
          <t>NIFTY AUTO</t>
        </is>
      </c>
      <c r="B24" s="13" t="inlineStr">
        <is>
          <t>MOTHERSON</t>
        </is>
      </c>
      <c r="C24" s="14" t="n">
        <v>166</v>
      </c>
      <c r="D24" s="14" t="n">
        <v>163.64</v>
      </c>
      <c r="E24" s="14" t="n">
        <v>154.96</v>
      </c>
      <c r="F24" s="14" t="n">
        <v>133.04</v>
      </c>
      <c r="G24" s="15">
        <f>HYPERLINK("https://www.tradingview.com/chart/?symbol=NSE:MOTHERSON","Chart 📈")</f>
        <v/>
      </c>
    </row>
    <row r="25" ht="16" customHeight="1">
      <c r="A25" s="16" t="inlineStr">
        <is>
          <t>NIFTY AUTO</t>
        </is>
      </c>
      <c r="B25" s="13" t="inlineStr">
        <is>
          <t>TVSMOTOR</t>
        </is>
      </c>
      <c r="C25" s="14" t="n">
        <v>4409.8</v>
      </c>
      <c r="D25" s="14" t="n">
        <v>4313.14</v>
      </c>
      <c r="E25" s="14" t="n">
        <v>4058.55</v>
      </c>
      <c r="F25" s="14" t="n">
        <v>3707.07</v>
      </c>
      <c r="G25" s="15">
        <f>HYPERLINK("https://www.tradingview.com/chart/?symbol=NSE:TVSMOTOR","Chart 📈")</f>
        <v/>
      </c>
    </row>
    <row r="26" ht="16" customHeight="1">
      <c r="A26" s="8" t="inlineStr">
        <is>
          <t>NIFTY PHARMA</t>
        </is>
      </c>
      <c r="B26" s="17" t="inlineStr">
        <is>
          <t>AUROPHARMA</t>
        </is>
      </c>
      <c r="C26" s="18" t="n">
        <v>1637</v>
      </c>
      <c r="D26" s="18" t="n">
        <v>1615.55</v>
      </c>
      <c r="E26" s="18" t="n">
        <v>1575.25</v>
      </c>
      <c r="F26" s="18" t="n">
        <v>1394.93</v>
      </c>
      <c r="G26" s="19">
        <f>HYPERLINK("https://www.tradingview.com/chart/?symbol=NSE:AUROPHARMA","Chart 📈")</f>
        <v/>
      </c>
    </row>
    <row r="27" ht="16" customHeight="1">
      <c r="A27" s="20" t="inlineStr">
        <is>
          <t>NIFTY PHARMA</t>
        </is>
      </c>
      <c r="B27" s="17" t="inlineStr">
        <is>
          <t>DIVISLAB</t>
        </is>
      </c>
      <c r="C27" s="18" t="n">
        <v>9060</v>
      </c>
      <c r="D27" s="18" t="n">
        <v>8445.52</v>
      </c>
      <c r="E27" s="18" t="n">
        <v>7839.75</v>
      </c>
      <c r="F27" s="18" t="n">
        <v>6887.56</v>
      </c>
      <c r="G27" s="19">
        <f>HYPERLINK("https://www.tradingview.com/chart/?symbol=NSE:DIVISLAB","Chart 📈")</f>
        <v/>
      </c>
    </row>
    <row r="28" ht="16" customHeight="1">
      <c r="A28" s="20" t="inlineStr">
        <is>
          <t>NIFTY PHARMA</t>
        </is>
      </c>
      <c r="B28" s="17" t="inlineStr">
        <is>
          <t>GLAND</t>
        </is>
      </c>
      <c r="C28" s="18" t="n">
        <v>2873.5</v>
      </c>
      <c r="D28" s="18" t="n">
        <v>2767.01</v>
      </c>
      <c r="E28" s="18" t="n">
        <v>2577.32</v>
      </c>
      <c r="F28" s="18" t="n">
        <v>2157.12</v>
      </c>
      <c r="G28" s="19">
        <f>HYPERLINK("https://www.tradingview.com/chart/?symbol=NSE:GLAND","Chart 📈")</f>
        <v/>
      </c>
    </row>
    <row r="29" ht="16" customHeight="1">
      <c r="A29" s="20" t="inlineStr">
        <is>
          <t>NIFTY PHARMA</t>
        </is>
      </c>
      <c r="B29" s="17" t="inlineStr">
        <is>
          <t>GLENMARK</t>
        </is>
      </c>
      <c r="C29" s="18" t="n">
        <v>2460</v>
      </c>
      <c r="D29" s="18" t="n">
        <v>2326.75</v>
      </c>
      <c r="E29" s="18" t="n">
        <v>2279.46</v>
      </c>
      <c r="F29" s="18" t="n">
        <v>2170.21</v>
      </c>
      <c r="G29" s="19">
        <f>HYPERLINK("https://www.tradingview.com/chart/?symbol=NSE:GLENMARK","Chart 📈")</f>
        <v/>
      </c>
    </row>
    <row r="30" ht="16" customHeight="1">
      <c r="A30" s="20" t="inlineStr">
        <is>
          <t>NIFTY PHARMA</t>
        </is>
      </c>
      <c r="B30" s="17" t="inlineStr">
        <is>
          <t>IPCALAB</t>
        </is>
      </c>
      <c r="C30" s="18" t="n">
        <v>1959.8</v>
      </c>
      <c r="D30" s="18" t="n">
        <v>1852.28</v>
      </c>
      <c r="E30" s="18" t="n">
        <v>1775.53</v>
      </c>
      <c r="F30" s="18" t="n">
        <v>1600.74</v>
      </c>
      <c r="G30" s="19">
        <f>HYPERLINK("https://www.tradingview.com/chart/?symbol=NSE:IPCALAB","Chart 📈")</f>
        <v/>
      </c>
    </row>
    <row r="31" ht="16" customHeight="1">
      <c r="A31" s="20" t="inlineStr">
        <is>
          <t>NIFTY PHARMA</t>
        </is>
      </c>
      <c r="B31" s="17" t="inlineStr">
        <is>
          <t>JBCHEPHARM</t>
        </is>
      </c>
      <c r="C31" s="18" t="n">
        <v>2408.9</v>
      </c>
      <c r="D31" s="18" t="n">
        <v>2383.66</v>
      </c>
      <c r="E31" s="18" t="n">
        <v>2287.69</v>
      </c>
      <c r="F31" s="18" t="n">
        <v>2041.13</v>
      </c>
      <c r="G31" s="19">
        <f>HYPERLINK("https://www.tradingview.com/chart/?symbol=NSE:JBCHEPHARM","Chart 📈")</f>
        <v/>
      </c>
    </row>
    <row r="32" ht="16" customHeight="1">
      <c r="A32" s="20" t="inlineStr">
        <is>
          <t>NIFTY PHARMA</t>
        </is>
      </c>
      <c r="B32" s="17" t="inlineStr">
        <is>
          <t>LAURUSLABS</t>
        </is>
      </c>
      <c r="C32" s="18" t="n">
        <v>1929.4</v>
      </c>
      <c r="D32" s="18" t="n">
        <v>1811.55</v>
      </c>
      <c r="E32" s="18" t="n">
        <v>1681.88</v>
      </c>
      <c r="F32" s="18" t="n">
        <v>1326.2</v>
      </c>
      <c r="G32" s="19">
        <f>HYPERLINK("https://www.tradingview.com/chart/?symbol=NSE:LAURUSLABS","Chart 📈")</f>
        <v/>
      </c>
    </row>
    <row r="33" ht="16" customHeight="1">
      <c r="A33" s="20" t="inlineStr">
        <is>
          <t>NIFTY PHARMA</t>
        </is>
      </c>
      <c r="B33" s="17" t="inlineStr">
        <is>
          <t>TORNTPHARM</t>
        </is>
      </c>
      <c r="C33" s="18" t="n">
        <v>4999</v>
      </c>
      <c r="D33" s="18" t="n">
        <v>4932.59</v>
      </c>
      <c r="E33" s="18" t="n">
        <v>4838.8</v>
      </c>
      <c r="F33" s="18" t="n">
        <v>4378.94</v>
      </c>
      <c r="G33" s="19">
        <f>HYPERLINK("https://www.tradingview.com/chart/?symbol=NSE:TORNTPHARM","Chart 📈")</f>
        <v/>
      </c>
    </row>
    <row r="34" ht="16" customHeight="1">
      <c r="A34" s="20" t="inlineStr">
        <is>
          <t>NIFTY PHARMA</t>
        </is>
      </c>
      <c r="B34" s="17" t="inlineStr">
        <is>
          <t>ZYDUSLIFE</t>
        </is>
      </c>
      <c r="C34" s="18" t="n">
        <v>1189.2</v>
      </c>
      <c r="D34" s="18" t="n">
        <v>1134.23</v>
      </c>
      <c r="E34" s="18" t="n">
        <v>1115.9</v>
      </c>
      <c r="F34" s="18" t="n">
        <v>1028.28</v>
      </c>
      <c r="G34" s="19">
        <f>HYPERLINK("https://www.tradingview.com/chart/?symbol=NSE:ZYDUSLIFE","Chart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BAJAJFINSV</t>
        </is>
      </c>
      <c r="C35" s="14" t="n">
        <v>2011</v>
      </c>
      <c r="D35" s="14" t="n">
        <v>2000.68</v>
      </c>
      <c r="E35" s="14" t="n">
        <v>1940.45</v>
      </c>
      <c r="F35" s="14" t="n">
        <v>1898.87</v>
      </c>
      <c r="G35" s="15">
        <f>HYPERLINK("https://www.tradingview.com/chart/?symbol=NSE:BAJAJFINSV","Chart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CHOLAFIN</t>
        </is>
      </c>
      <c r="C36" s="14" t="n">
        <v>1875.4</v>
      </c>
      <c r="D36" s="14" t="n">
        <v>1864.65</v>
      </c>
      <c r="E36" s="14" t="n">
        <v>1806.83</v>
      </c>
      <c r="F36" s="14" t="n">
        <v>1676.2</v>
      </c>
      <c r="G36" s="15">
        <f>HYPERLINK("https://www.tradingview.com/chart/?symbol=NSE:CHOLAFIN","Chart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ICICIBANK</t>
        </is>
      </c>
      <c r="C37" s="14" t="n">
        <v>1443</v>
      </c>
      <c r="D37" s="14" t="n">
        <v>1422.39</v>
      </c>
      <c r="E37" s="14" t="n">
        <v>1399.38</v>
      </c>
      <c r="F37" s="14" t="n">
        <v>1356.99</v>
      </c>
      <c r="G37" s="15">
        <f>HYPERLINK("https://www.tradingview.com/chart/?symbol=NSE:ICICIBANK","Chart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KOTAKBANK</t>
        </is>
      </c>
      <c r="C38" s="14" t="n">
        <v>424.2</v>
      </c>
      <c r="D38" s="14" t="n">
        <v>398.84</v>
      </c>
      <c r="E38" s="14" t="n">
        <v>393.32</v>
      </c>
      <c r="F38" s="14" t="n">
        <v>394.58</v>
      </c>
      <c r="G38" s="15">
        <f>HYPERLINK("https://www.tradingview.com/chart/?symbol=NSE:KOTAKBANK","Chart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LICHSGFIN</t>
        </is>
      </c>
      <c r="C39" s="14" t="n">
        <v>535.5</v>
      </c>
      <c r="D39" s="14" t="n">
        <v>507.13</v>
      </c>
      <c r="E39" s="14" t="n">
        <v>516.39</v>
      </c>
      <c r="F39" s="14" t="n">
        <v>526.17</v>
      </c>
      <c r="G39" s="15">
        <f>HYPERLINK("https://www.tradingview.com/chart/?symbol=NSE:LICHSGFIN","Chart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MCX</t>
        </is>
      </c>
      <c r="C40" s="14" t="n">
        <v>3265</v>
      </c>
      <c r="D40" s="14" t="n">
        <v>3021.73</v>
      </c>
      <c r="E40" s="14" t="n">
        <v>2909.54</v>
      </c>
      <c r="F40" s="14" t="n">
        <v>2591.59</v>
      </c>
      <c r="G40" s="15">
        <f>HYPERLINK("https://www.tradingview.com/chart/?symbol=NSE:MCX","Chart 📈")</f>
        <v/>
      </c>
    </row>
    <row r="41" ht="16" customHeight="1">
      <c r="A41" s="8" t="inlineStr">
        <is>
          <t>NIFTY PSU BANK</t>
        </is>
      </c>
      <c r="B41" s="17" t="inlineStr">
        <is>
          <t>BANKINDIA</t>
        </is>
      </c>
      <c r="C41" s="18" t="n">
        <v>144.6</v>
      </c>
      <c r="D41" s="18" t="n">
        <v>143.07</v>
      </c>
      <c r="E41" s="18" t="n">
        <v>142.59</v>
      </c>
      <c r="F41" s="18" t="n">
        <v>139.53</v>
      </c>
      <c r="G41" s="19">
        <f>HYPERLINK("https://www.tradingview.com/chart/?symbol=NSE:BANKINDIA","Chart 📈")</f>
        <v/>
      </c>
    </row>
    <row r="42" ht="16" customHeight="1">
      <c r="A42" s="20" t="inlineStr">
        <is>
          <t>NIFTY PSU BANK</t>
        </is>
      </c>
      <c r="B42" s="17" t="inlineStr">
        <is>
          <t>INDIANB</t>
        </is>
      </c>
      <c r="C42" s="18" t="n">
        <v>884.4</v>
      </c>
      <c r="D42" s="18" t="n">
        <v>871.91</v>
      </c>
      <c r="E42" s="18" t="n">
        <v>856.8</v>
      </c>
      <c r="F42" s="18" t="n">
        <v>828.11</v>
      </c>
      <c r="G42" s="19">
        <f>HYPERLINK("https://www.tradingview.com/chart/?symbol=NSE:INDIANB","Chart 📈")</f>
        <v/>
      </c>
    </row>
    <row r="43" ht="16" customHeight="1">
      <c r="A43" s="20" t="inlineStr">
        <is>
          <t>NIFTY PSU BANK</t>
        </is>
      </c>
      <c r="B43" s="17" t="inlineStr">
        <is>
          <t>MAHABANK</t>
        </is>
      </c>
      <c r="C43" s="18" t="n">
        <v>84.69</v>
      </c>
      <c r="D43" s="18" t="n">
        <v>81.34999999999999</v>
      </c>
      <c r="E43" s="18" t="n">
        <v>81.2</v>
      </c>
      <c r="F43" s="18" t="n">
        <v>73.09999999999999</v>
      </c>
      <c r="G43" s="19">
        <f>HYPERLINK("https://www.tradingview.com/chart/?symbol=NSE:MAHABANK","Chart 📈")</f>
        <v/>
      </c>
    </row>
    <row r="44" ht="16" customHeight="1">
      <c r="A44" s="20" t="inlineStr">
        <is>
          <t>NIFTY PSU BANK</t>
        </is>
      </c>
      <c r="B44" s="17" t="inlineStr">
        <is>
          <t>PNB</t>
        </is>
      </c>
      <c r="C44" s="18" t="n">
        <v>115.4</v>
      </c>
      <c r="D44" s="18" t="n">
        <v>115.2</v>
      </c>
      <c r="E44" s="18" t="n">
        <v>112.11</v>
      </c>
      <c r="F44" s="18" t="n">
        <v>109.92</v>
      </c>
      <c r="G44" s="19">
        <f>HYPERLINK("https://www.tradingview.com/chart/?symbol=NSE:PNB","Chart 📈")</f>
        <v/>
      </c>
    </row>
    <row r="45" ht="16" customHeight="1">
      <c r="A45" s="20" t="inlineStr">
        <is>
          <t>NIFTY PSU BANK</t>
        </is>
      </c>
      <c r="B45" s="17" t="inlineStr">
        <is>
          <t>UNIONBANK</t>
        </is>
      </c>
      <c r="C45" s="18" t="n">
        <v>184.5</v>
      </c>
      <c r="D45" s="18" t="n">
        <v>182.46</v>
      </c>
      <c r="E45" s="18" t="n">
        <v>176.45</v>
      </c>
      <c r="F45" s="18" t="n">
        <v>164.69</v>
      </c>
      <c r="G45" s="19">
        <f>HYPERLINK("https://www.tradingview.com/chart/?symbol=NSE:UNIONBANK","Chart 📈")</f>
        <v/>
      </c>
    </row>
    <row r="46" ht="16" customHeight="1">
      <c r="A46" s="12" t="inlineStr">
        <is>
          <t>NIFTY MIDSMALL IT &amp; TELECOM</t>
        </is>
      </c>
      <c r="B46" s="13" t="inlineStr">
        <is>
          <t>COFORGE</t>
        </is>
      </c>
      <c r="C46" s="14" t="n">
        <v>1901.8</v>
      </c>
      <c r="D46" s="14" t="n">
        <v>1802.34</v>
      </c>
      <c r="E46" s="14" t="n">
        <v>1667.71</v>
      </c>
      <c r="F46" s="14" t="n">
        <v>1542.78</v>
      </c>
      <c r="G46" s="15">
        <f>HYPERLINK("https://www.tradingview.com/chart/?symbol=NSE:COFORGE","Chart 📈")</f>
        <v/>
      </c>
    </row>
    <row r="47" ht="16" customHeight="1">
      <c r="A47" s="16" t="inlineStr">
        <is>
          <t>NIFTY MIDSMALL IT &amp; TELECOM</t>
        </is>
      </c>
      <c r="B47" s="13" t="inlineStr">
        <is>
          <t>CYIENT</t>
        </is>
      </c>
      <c r="C47" s="14" t="n">
        <v>1052.7</v>
      </c>
      <c r="D47" s="14" t="n">
        <v>912.59</v>
      </c>
      <c r="E47" s="14" t="n">
        <v>887.29</v>
      </c>
      <c r="F47" s="14" t="n">
        <v>951.8</v>
      </c>
      <c r="G47" s="15">
        <f>HYPERLINK("https://www.tradingview.com/chart/?symbol=NSE:CYIENT","Chart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HFCL</t>
        </is>
      </c>
      <c r="C48" s="14" t="n">
        <v>245.84</v>
      </c>
      <c r="D48" s="14" t="n">
        <v>224.18</v>
      </c>
      <c r="E48" s="14" t="n">
        <v>208.52</v>
      </c>
      <c r="F48" s="14" t="n">
        <v>145.59</v>
      </c>
      <c r="G48" s="15">
        <f>HYPERLINK("https://www.tradingview.com/chart/?symbol=NSE:HFCL","Chart 📈")</f>
        <v/>
      </c>
    </row>
    <row r="49" ht="16" customHeight="1">
      <c r="A49" s="16" t="inlineStr">
        <is>
          <t>NIFTY MIDSMALL IT &amp; TELECOM</t>
        </is>
      </c>
      <c r="B49" s="13" t="inlineStr">
        <is>
          <t>IDEA</t>
        </is>
      </c>
      <c r="C49" s="14" t="n">
        <v>14.97</v>
      </c>
      <c r="D49" s="14" t="n">
        <v>13.99</v>
      </c>
      <c r="E49" s="14" t="n">
        <v>13.66</v>
      </c>
      <c r="F49" s="14" t="n">
        <v>11.84</v>
      </c>
      <c r="G49" s="15">
        <f>HYPERLINK("https://www.tradingview.com/chart/?symbol=NSE:IDEA","Chart 📈")</f>
        <v/>
      </c>
    </row>
    <row r="50" ht="16" customHeight="1">
      <c r="A50" s="16" t="inlineStr">
        <is>
          <t>NIFTY MIDSMALL IT &amp; TELECOM</t>
        </is>
      </c>
      <c r="B50" s="13" t="inlineStr">
        <is>
          <t>OFSS</t>
        </is>
      </c>
      <c r="C50" s="14" t="n">
        <v>11855</v>
      </c>
      <c r="D50" s="14" t="n">
        <v>11643.5</v>
      </c>
      <c r="E50" s="14" t="n">
        <v>11174.46</v>
      </c>
      <c r="F50" s="14" t="n">
        <v>9427.84</v>
      </c>
      <c r="G50" s="15">
        <f>HYPERLINK("https://www.tradingview.com/chart/?symbol=NSE:OFSS","Chart 📈")</f>
        <v/>
      </c>
    </row>
    <row r="51" ht="16" customHeight="1">
      <c r="A51" s="16" t="inlineStr">
        <is>
          <t>NIFTY MIDSMALL IT &amp; TELECOM</t>
        </is>
      </c>
      <c r="B51" s="13" t="inlineStr">
        <is>
          <t>PERSISTENT</t>
        </is>
      </c>
      <c r="C51" s="14" t="n">
        <v>5654</v>
      </c>
      <c r="D51" s="14" t="n">
        <v>5525.1</v>
      </c>
      <c r="E51" s="14" t="n">
        <v>5325.7</v>
      </c>
      <c r="F51" s="14" t="n">
        <v>5284.73</v>
      </c>
      <c r="G51" s="15">
        <f>HYPERLINK("https://www.tradingview.com/chart/?symbol=NSE:PERSISTENT","Chart 📈")</f>
        <v/>
      </c>
    </row>
    <row r="52" ht="16" customHeight="1">
      <c r="A52" s="8" t="inlineStr">
        <is>
          <t>NIFTY MEDIA</t>
        </is>
      </c>
      <c r="B52" s="17" t="inlineStr">
        <is>
          <t>NAZARA</t>
        </is>
      </c>
      <c r="C52" s="18" t="n">
        <v>354.5</v>
      </c>
      <c r="D52" s="18" t="n">
        <v>347.07</v>
      </c>
      <c r="E52" s="18" t="n">
        <v>327.24</v>
      </c>
      <c r="F52" s="18" t="n">
        <v>291.7</v>
      </c>
      <c r="G52" s="19">
        <f>HYPERLINK("https://www.tradingview.com/chart/?symbol=NSE:NAZARA","Chart 📈")</f>
        <v/>
      </c>
    </row>
    <row r="53" ht="16" customHeight="1">
      <c r="A53" s="20" t="inlineStr">
        <is>
          <t>NIFTY MEDIA</t>
        </is>
      </c>
      <c r="B53" s="17" t="inlineStr">
        <is>
          <t>PVRINOX</t>
        </is>
      </c>
      <c r="C53" s="18" t="n">
        <v>1236.3</v>
      </c>
      <c r="D53" s="18" t="n">
        <v>1184.01</v>
      </c>
      <c r="E53" s="18" t="n">
        <v>1113.76</v>
      </c>
      <c r="F53" s="18" t="n">
        <v>1056.04</v>
      </c>
      <c r="G53" s="19">
        <f>HYPERLINK("https://www.tradingview.com/chart/?symbol=NSE:PVRINOX","Chart 📈")</f>
        <v/>
      </c>
    </row>
    <row r="54" ht="16" customHeight="1">
      <c r="A54" s="20" t="inlineStr">
        <is>
          <t>NIFTY MEDIA</t>
        </is>
      </c>
      <c r="B54" s="17" t="inlineStr">
        <is>
          <t>ZEEL</t>
        </is>
      </c>
      <c r="C54" s="18" t="n">
        <v>103.98</v>
      </c>
      <c r="D54" s="18" t="n">
        <v>103.12</v>
      </c>
      <c r="E54" s="18" t="n">
        <v>102.28</v>
      </c>
      <c r="F54" s="18" t="n">
        <v>98.78</v>
      </c>
      <c r="G54" s="19">
        <f>HYPERLINK("https://www.tradingview.com/chart/?symbol=NSE:ZEEL","Chart 📈")</f>
        <v/>
      </c>
    </row>
    <row r="55" ht="16" customHeight="1">
      <c r="A55" s="12" t="inlineStr">
        <is>
          <t>NIFTY CONSUMER DURABLES</t>
        </is>
      </c>
      <c r="B55" s="13" t="inlineStr">
        <is>
          <t>AMBER</t>
        </is>
      </c>
      <c r="C55" s="14" t="n">
        <v>7701</v>
      </c>
      <c r="D55" s="14" t="n">
        <v>7385.57</v>
      </c>
      <c r="E55" s="14" t="n">
        <v>7452.54</v>
      </c>
      <c r="F55" s="14" t="n">
        <v>7411.77</v>
      </c>
      <c r="G55" s="15">
        <f>HYPERLINK("https://www.tradingview.com/chart/?symbol=NSE:AMBER","Chart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DIXON</t>
        </is>
      </c>
      <c r="C56" s="14" t="n">
        <v>14711</v>
      </c>
      <c r="D56" s="14" t="n">
        <v>14355.46</v>
      </c>
      <c r="E56" s="14" t="n">
        <v>13681.41</v>
      </c>
      <c r="F56" s="14" t="n">
        <v>13049.65</v>
      </c>
      <c r="G56" s="15">
        <f>HYPERLINK("https://www.tradingview.com/chart/?symbol=NSE:DIXON","Chart 📈")</f>
        <v/>
      </c>
    </row>
    <row r="57" ht="16" customHeight="1">
      <c r="A57" s="16" t="inlineStr">
        <is>
          <t>NIFTY CONSUMER DURABLES</t>
        </is>
      </c>
      <c r="B57" s="13" t="inlineStr">
        <is>
          <t>KALYANKJIL</t>
        </is>
      </c>
      <c r="C57" s="14" t="n">
        <v>629.3</v>
      </c>
      <c r="D57" s="14" t="n">
        <v>597.58</v>
      </c>
      <c r="E57" s="14" t="n">
        <v>543.17</v>
      </c>
      <c r="F57" s="14" t="n">
        <v>470.89</v>
      </c>
      <c r="G57" s="15">
        <f>HYPERLINK("https://www.tradingview.com/chart/?symbol=NSE:KALYANKJIL","Chart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TITAN</t>
        </is>
      </c>
      <c r="C58" s="14" t="n">
        <v>5139.3</v>
      </c>
      <c r="D58" s="14" t="n">
        <v>5015.7</v>
      </c>
      <c r="E58" s="14" t="n">
        <v>4797.58</v>
      </c>
      <c r="F58" s="14" t="n">
        <v>4331.71</v>
      </c>
      <c r="G58" s="15">
        <f>HYPERLINK("https://www.tradingview.com/chart/?symbol=NSE:TITAN","Chart 📈")</f>
        <v/>
      </c>
    </row>
    <row r="59" ht="16" customHeight="1">
      <c r="A59" s="16" t="inlineStr">
        <is>
          <t>NIFTY CONSUMER DURABLES</t>
        </is>
      </c>
      <c r="B59" s="13" t="inlineStr">
        <is>
          <t>VGUARD</t>
        </is>
      </c>
      <c r="C59" s="14" t="n">
        <v>331.5</v>
      </c>
      <c r="D59" s="14" t="n">
        <v>325.89</v>
      </c>
      <c r="E59" s="14" t="n">
        <v>317.43</v>
      </c>
      <c r="F59" s="14" t="n">
        <v>322.45</v>
      </c>
      <c r="G59" s="15">
        <f>HYPERLINK("https://www.tradingview.com/chart/?symbol=NSE:VGUARD","Chart 📈")</f>
        <v/>
      </c>
    </row>
    <row r="60" ht="16" customHeight="1">
      <c r="A60" s="8" t="inlineStr">
        <is>
          <t>NIFTY OIL &amp; GAS</t>
        </is>
      </c>
      <c r="B60" s="17" t="inlineStr">
        <is>
          <t>BPCL</t>
        </is>
      </c>
      <c r="C60" s="18" t="n">
        <v>318</v>
      </c>
      <c r="D60" s="18" t="n">
        <v>315.47</v>
      </c>
      <c r="E60" s="18" t="n">
        <v>313.43</v>
      </c>
      <c r="F60" s="18" t="n">
        <v>316.48</v>
      </c>
      <c r="G60" s="19">
        <f>HYPERLINK("https://www.tradingview.com/chart/?symbol=NSE:BPCL","Chart 📈")</f>
        <v/>
      </c>
    </row>
    <row r="61" ht="16" customHeight="1">
      <c r="A61" s="20" t="inlineStr">
        <is>
          <t>NIFTY OIL &amp; GAS</t>
        </is>
      </c>
      <c r="B61" s="17" t="inlineStr">
        <is>
          <t>OIL</t>
        </is>
      </c>
      <c r="C61" s="18" t="n">
        <v>469.85</v>
      </c>
      <c r="D61" s="18" t="n">
        <v>465.76</v>
      </c>
      <c r="E61" s="18" t="n">
        <v>457.22</v>
      </c>
      <c r="F61" s="18" t="n">
        <v>446.59</v>
      </c>
      <c r="G61" s="19">
        <f>HYPERLINK("https://www.tradingview.com/chart/?symbol=NSE:OIL","Chart 📈")</f>
        <v/>
      </c>
    </row>
    <row r="62" ht="16" customHeight="1">
      <c r="A62" s="20" t="inlineStr">
        <is>
          <t>NIFTY OIL &amp; GAS</t>
        </is>
      </c>
      <c r="B62" s="17" t="inlineStr">
        <is>
          <t>PETRONET</t>
        </is>
      </c>
      <c r="C62" s="18" t="n">
        <v>290.95</v>
      </c>
      <c r="D62" s="18" t="n">
        <v>285.87</v>
      </c>
      <c r="E62" s="18" t="n">
        <v>281.47</v>
      </c>
      <c r="F62" s="18" t="n">
        <v>276.1</v>
      </c>
      <c r="G62" s="19">
        <f>HYPERLINK("https://www.tradingview.com/chart/?symbol=NSE:PETRONET","Chart 📈")</f>
        <v/>
      </c>
    </row>
    <row r="63" ht="16" customHeight="1">
      <c r="A63" s="12" t="inlineStr">
        <is>
          <t>NIFTY BANK</t>
        </is>
      </c>
      <c r="B63" s="13" t="inlineStr">
        <is>
          <t>AUBANK</t>
        </is>
      </c>
      <c r="C63" s="14" t="n">
        <v>1091</v>
      </c>
      <c r="D63" s="14" t="n">
        <v>1083.08</v>
      </c>
      <c r="E63" s="14" t="n">
        <v>1056.07</v>
      </c>
      <c r="F63" s="14" t="n">
        <v>977.85</v>
      </c>
      <c r="G63" s="15">
        <f>HYPERLINK("https://www.tradingview.com/chart/?symbol=NSE:AUBANK","Chart 📈")</f>
        <v/>
      </c>
    </row>
    <row r="64" ht="16" customHeight="1">
      <c r="A64" s="8" t="inlineStr">
        <is>
          <t>NIFTY ENERGY</t>
        </is>
      </c>
      <c r="B64" s="17" t="inlineStr">
        <is>
          <t>ADANIENSOL</t>
        </is>
      </c>
      <c r="C64" s="18" t="n">
        <v>1617</v>
      </c>
      <c r="D64" s="18" t="n">
        <v>1598.67</v>
      </c>
      <c r="E64" s="18" t="n">
        <v>1581.71</v>
      </c>
      <c r="F64" s="18" t="n">
        <v>1310.94</v>
      </c>
      <c r="G64" s="19">
        <f>HYPERLINK("https://www.tradingview.com/chart/?symbol=NSE:ADANIENSOL","Chart 📈")</f>
        <v/>
      </c>
    </row>
    <row r="65" ht="16" customHeight="1">
      <c r="A65" s="20" t="inlineStr">
        <is>
          <t>NIFTY ENERGY</t>
        </is>
      </c>
      <c r="B65" s="17" t="inlineStr">
        <is>
          <t>ADANIPOWER</t>
        </is>
      </c>
      <c r="C65" s="18" t="n">
        <v>215</v>
      </c>
      <c r="D65" s="18" t="n">
        <v>208.47</v>
      </c>
      <c r="E65" s="18" t="n">
        <v>211.74</v>
      </c>
      <c r="F65" s="18" t="n">
        <v>188.7</v>
      </c>
      <c r="G65" s="19">
        <f>HYPERLINK("https://www.tradingview.com/chart/?symbol=NSE:ADANIPOWER","Chart 📈")</f>
        <v/>
      </c>
    </row>
    <row r="66" ht="16" customHeight="1">
      <c r="A66" s="20" t="inlineStr">
        <is>
          <t>NIFTY ENERGY</t>
        </is>
      </c>
      <c r="B66" s="17" t="inlineStr">
        <is>
          <t>BHEL</t>
        </is>
      </c>
      <c r="C66" s="18" t="n">
        <v>433.95</v>
      </c>
      <c r="D66" s="18" t="n">
        <v>416.54</v>
      </c>
      <c r="E66" s="18" t="n">
        <v>406.96</v>
      </c>
      <c r="F66" s="18" t="n">
        <v>343</v>
      </c>
      <c r="G66" s="19">
        <f>HYPERLINK("https://www.tradingview.com/chart/?symbol=NSE:BHEL","Chart 📈")</f>
        <v/>
      </c>
    </row>
    <row r="67" ht="16" customHeight="1">
      <c r="A67" s="20" t="inlineStr">
        <is>
          <t>NIFTY ENERGY</t>
        </is>
      </c>
      <c r="B67" s="17" t="inlineStr">
        <is>
          <t>CGPOWER</t>
        </is>
      </c>
      <c r="C67" s="18" t="n">
        <v>897.9</v>
      </c>
      <c r="D67" s="18" t="n">
        <v>880.8</v>
      </c>
      <c r="E67" s="18" t="n">
        <v>883.67</v>
      </c>
      <c r="F67" s="18" t="n">
        <v>808.47</v>
      </c>
      <c r="G67" s="19">
        <f>HYPERLINK("https://www.tradingview.com/chart/?symbol=NSE:CGPOWER","Chart 📈")</f>
        <v/>
      </c>
    </row>
    <row r="68" ht="16" customHeight="1">
      <c r="A68" s="20" t="inlineStr">
        <is>
          <t>NIFTY ENERGY</t>
        </is>
      </c>
      <c r="B68" s="17" t="inlineStr">
        <is>
          <t>GVT&amp;D</t>
        </is>
      </c>
      <c r="C68" s="18" t="n">
        <v>4407.8</v>
      </c>
      <c r="D68" s="18" t="n">
        <v>4280.97</v>
      </c>
      <c r="E68" s="18" t="n">
        <v>4394.15</v>
      </c>
      <c r="F68" s="18" t="n">
        <v>4017.32</v>
      </c>
      <c r="G68" s="19">
        <f>HYPERLINK("https://www.tradingview.com/chart/?symbol=NSE:GVT&amp;D","Chart 📈")</f>
        <v/>
      </c>
    </row>
    <row r="69" ht="16" customHeight="1">
      <c r="A69" s="20" t="inlineStr">
        <is>
          <t>NIFTY ENERGY</t>
        </is>
      </c>
      <c r="B69" s="17" t="inlineStr">
        <is>
          <t>POWERINDIA</t>
        </is>
      </c>
      <c r="C69" s="18" t="n">
        <v>33880</v>
      </c>
      <c r="D69" s="18" t="n">
        <v>33760.82</v>
      </c>
      <c r="E69" s="18" t="n">
        <v>33394.52</v>
      </c>
      <c r="F69" s="18" t="n">
        <v>28860.37</v>
      </c>
      <c r="G69" s="19">
        <f>HYPERLINK("https://www.tradingview.com/chart/?symbol=NSE:POWERINDIA","Chart 📈")</f>
        <v/>
      </c>
    </row>
    <row r="70" ht="16" customHeight="1">
      <c r="A70" s="20" t="inlineStr">
        <is>
          <t>NIFTY ENERGY</t>
        </is>
      </c>
      <c r="B70" s="17" t="inlineStr">
        <is>
          <t>SIEMENS</t>
        </is>
      </c>
      <c r="C70" s="18" t="n">
        <v>4095</v>
      </c>
      <c r="D70" s="18" t="n">
        <v>3943.05</v>
      </c>
      <c r="E70" s="18" t="n">
        <v>3807.92</v>
      </c>
      <c r="F70" s="18" t="n">
        <v>3501.62</v>
      </c>
      <c r="G70" s="19">
        <f>HYPERLINK("https://www.tradingview.com/chart/?symbol=NSE:SIEMENS","Chart 📈")</f>
        <v/>
      </c>
    </row>
    <row r="71" ht="16" customHeight="1">
      <c r="A71" s="12" t="inlineStr">
        <is>
          <t>NIFTY FMCG</t>
        </is>
      </c>
      <c r="B71" s="13" t="inlineStr">
        <is>
          <t>RADICO</t>
        </is>
      </c>
      <c r="C71" s="14" t="n">
        <v>4606</v>
      </c>
      <c r="D71" s="14" t="n">
        <v>4545.83</v>
      </c>
      <c r="E71" s="14" t="n">
        <v>4266.25</v>
      </c>
      <c r="F71" s="14" t="n">
        <v>3565.13</v>
      </c>
      <c r="G71" s="15">
        <f>HYPERLINK("https://www.tradingview.com/chart/?symbol=NSE:RADICO","Chart 📈")</f>
        <v/>
      </c>
    </row>
    <row r="72" ht="16" customHeight="1">
      <c r="A72" s="16" t="inlineStr">
        <is>
          <t>NIFTY FMCG</t>
        </is>
      </c>
      <c r="B72" s="13" t="inlineStr">
        <is>
          <t>UNITDSPR</t>
        </is>
      </c>
      <c r="C72" s="14" t="n">
        <v>1522</v>
      </c>
      <c r="D72" s="14" t="n">
        <v>1520.85</v>
      </c>
      <c r="E72" s="14" t="n">
        <v>1461.18</v>
      </c>
      <c r="F72" s="14" t="n">
        <v>1369.83</v>
      </c>
      <c r="G72" s="15">
        <f>HYPERLINK("https://www.tradingview.com/chart/?symbol=NSE:UNITDSPR","Chart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2026-08-28T21:30:12Z</dcterms:created>
  <dcterms:modified xmlns:dcterms="http://purl.org/dc/terms/" xmlns:xsi="http://www.w3.org/2001/XMLSchema-instance" xsi:type="dcterms:W3CDTF">2026-08-28T21:30:12Z</dcterms:modified>
</cp:coreProperties>
</file>