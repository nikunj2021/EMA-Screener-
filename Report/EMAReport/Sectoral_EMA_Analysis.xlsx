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23-Jul-2026  12:33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10</v>
      </c>
      <c r="D4" s="5" t="n">
        <v>16</v>
      </c>
      <c r="E4" s="5" t="n">
        <v>17</v>
      </c>
      <c r="F4" s="6" t="n">
        <v>0.5</v>
      </c>
      <c r="G4" s="6" t="n">
        <v>0.8</v>
      </c>
      <c r="H4" s="6" t="n">
        <v>0.85</v>
      </c>
      <c r="I4" s="7" t="n">
        <v>0.7167</v>
      </c>
    </row>
    <row r="5" ht="17" customHeight="1">
      <c r="A5" s="8" t="inlineStr">
        <is>
          <t>NIFTY AUTO</t>
        </is>
      </c>
      <c r="B5" s="9" t="n">
        <v>15</v>
      </c>
      <c r="C5" s="9" t="n">
        <v>10</v>
      </c>
      <c r="D5" s="9" t="n">
        <v>11</v>
      </c>
      <c r="E5" s="9" t="n">
        <v>8</v>
      </c>
      <c r="F5" s="10" t="n">
        <v>0.667</v>
      </c>
      <c r="G5" s="10" t="n">
        <v>0.733</v>
      </c>
      <c r="H5" s="10" t="n">
        <v>0.5329999999999999</v>
      </c>
      <c r="I5" s="11" t="n">
        <v>0.6443000000000001</v>
      </c>
    </row>
    <row r="6" ht="17" customHeight="1">
      <c r="A6" s="4" t="inlineStr">
        <is>
          <t>NIFTY REALTY</t>
        </is>
      </c>
      <c r="B6" s="5" t="n">
        <v>10</v>
      </c>
      <c r="C6" s="5" t="n">
        <v>4</v>
      </c>
      <c r="D6" s="5" t="n">
        <v>8</v>
      </c>
      <c r="E6" s="5" t="n">
        <v>7</v>
      </c>
      <c r="F6" s="6" t="n">
        <v>0.4</v>
      </c>
      <c r="G6" s="6" t="n">
        <v>0.8</v>
      </c>
      <c r="H6" s="6" t="n">
        <v>0.7</v>
      </c>
      <c r="I6" s="7" t="n">
        <v>0.6333</v>
      </c>
    </row>
    <row r="7" ht="17" customHeight="1">
      <c r="A7" s="8" t="inlineStr">
        <is>
          <t>NIFTY FMCG</t>
        </is>
      </c>
      <c r="B7" s="9" t="n">
        <v>15</v>
      </c>
      <c r="C7" s="9" t="n">
        <v>11</v>
      </c>
      <c r="D7" s="9" t="n">
        <v>10</v>
      </c>
      <c r="E7" s="9" t="n">
        <v>5</v>
      </c>
      <c r="F7" s="10" t="n">
        <v>0.733</v>
      </c>
      <c r="G7" s="10" t="n">
        <v>0.667</v>
      </c>
      <c r="H7" s="10" t="n">
        <v>0.333</v>
      </c>
      <c r="I7" s="11" t="n">
        <v>0.5777</v>
      </c>
    </row>
    <row r="8" ht="17" customHeight="1">
      <c r="A8" s="4" t="inlineStr">
        <is>
          <t>NIFTY MEDIA</t>
        </is>
      </c>
      <c r="B8" s="5" t="n">
        <v>10</v>
      </c>
      <c r="C8" s="5" t="n">
        <v>4</v>
      </c>
      <c r="D8" s="5" t="n">
        <v>5</v>
      </c>
      <c r="E8" s="5" t="n">
        <v>4</v>
      </c>
      <c r="F8" s="6" t="n">
        <v>0.4</v>
      </c>
      <c r="G8" s="6" t="n">
        <v>0.5</v>
      </c>
      <c r="H8" s="6" t="n">
        <v>0.4</v>
      </c>
      <c r="I8" s="7" t="n">
        <v>0.4333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5</v>
      </c>
      <c r="D9" s="9" t="n">
        <v>7</v>
      </c>
      <c r="E9" s="9" t="n">
        <v>6</v>
      </c>
      <c r="F9" s="10" t="n">
        <v>0.333</v>
      </c>
      <c r="G9" s="10" t="n">
        <v>0.467</v>
      </c>
      <c r="H9" s="10" t="n">
        <v>0.4</v>
      </c>
      <c r="I9" s="11" t="n">
        <v>0.4</v>
      </c>
    </row>
    <row r="10" ht="17" customHeight="1">
      <c r="A10" s="4" t="inlineStr">
        <is>
          <t>NIFTY METAL</t>
        </is>
      </c>
      <c r="B10" s="5" t="n">
        <v>15</v>
      </c>
      <c r="C10" s="5" t="n">
        <v>4</v>
      </c>
      <c r="D10" s="5" t="n">
        <v>4</v>
      </c>
      <c r="E10" s="5" t="n">
        <v>8</v>
      </c>
      <c r="F10" s="6" t="n">
        <v>0.267</v>
      </c>
      <c r="G10" s="6" t="n">
        <v>0.267</v>
      </c>
      <c r="H10" s="6" t="n">
        <v>0.5329999999999999</v>
      </c>
      <c r="I10" s="7" t="n">
        <v>0.3557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6</v>
      </c>
      <c r="D11" s="9" t="n">
        <v>7</v>
      </c>
      <c r="E11" s="9" t="n">
        <v>7</v>
      </c>
      <c r="F11" s="10" t="n">
        <v>0.3</v>
      </c>
      <c r="G11" s="10" t="n">
        <v>0.35</v>
      </c>
      <c r="H11" s="10" t="n">
        <v>0.35</v>
      </c>
      <c r="I11" s="11" t="n">
        <v>0.3333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4</v>
      </c>
      <c r="D12" s="5" t="n">
        <v>5</v>
      </c>
      <c r="E12" s="5" t="n">
        <v>4</v>
      </c>
      <c r="F12" s="6" t="n">
        <v>0.267</v>
      </c>
      <c r="G12" s="6" t="n">
        <v>0.333</v>
      </c>
      <c r="H12" s="6" t="n">
        <v>0.267</v>
      </c>
      <c r="I12" s="7" t="n">
        <v>0.289</v>
      </c>
    </row>
    <row r="13" ht="17" customHeight="1">
      <c r="A13" s="8" t="inlineStr">
        <is>
          <t>NIFTY MIDSMALL IT &amp; TELECOM</t>
        </is>
      </c>
      <c r="B13" s="9" t="n">
        <v>20</v>
      </c>
      <c r="C13" s="9" t="n">
        <v>4</v>
      </c>
      <c r="D13" s="9" t="n">
        <v>7</v>
      </c>
      <c r="E13" s="9" t="n">
        <v>6</v>
      </c>
      <c r="F13" s="10" t="n">
        <v>0.2</v>
      </c>
      <c r="G13" s="10" t="n">
        <v>0.35</v>
      </c>
      <c r="H13" s="10" t="n">
        <v>0.3</v>
      </c>
      <c r="I13" s="11" t="n">
        <v>0.2833</v>
      </c>
    </row>
    <row r="14" ht="17" customHeight="1">
      <c r="A14" s="4" t="inlineStr">
        <is>
          <t>NIFTY BANK</t>
        </is>
      </c>
      <c r="B14" s="5" t="n">
        <v>12</v>
      </c>
      <c r="C14" s="5" t="n">
        <v>3</v>
      </c>
      <c r="D14" s="5" t="n">
        <v>3</v>
      </c>
      <c r="E14" s="5" t="n">
        <v>4</v>
      </c>
      <c r="F14" s="6" t="n">
        <v>0.25</v>
      </c>
      <c r="G14" s="6" t="n">
        <v>0.25</v>
      </c>
      <c r="H14" s="6" t="n">
        <v>0.333</v>
      </c>
      <c r="I14" s="7" t="n">
        <v>0.2777</v>
      </c>
    </row>
    <row r="15" ht="17" customHeight="1">
      <c r="A15" s="8" t="inlineStr">
        <is>
          <t>NIFTY ENERGY</t>
        </is>
      </c>
      <c r="B15" s="9" t="n">
        <v>40</v>
      </c>
      <c r="C15" s="9" t="n">
        <v>7</v>
      </c>
      <c r="D15" s="9" t="n">
        <v>8</v>
      </c>
      <c r="E15" s="9" t="n">
        <v>18</v>
      </c>
      <c r="F15" s="10" t="n">
        <v>0.175</v>
      </c>
      <c r="G15" s="10" t="n">
        <v>0.2</v>
      </c>
      <c r="H15" s="10" t="n">
        <v>0.45</v>
      </c>
      <c r="I15" s="11" t="n">
        <v>0.275</v>
      </c>
    </row>
    <row r="16" ht="17" customHeight="1">
      <c r="A16" s="4" t="inlineStr">
        <is>
          <t>NIFTY PSU BANK</t>
        </is>
      </c>
      <c r="B16" s="5" t="n">
        <v>12</v>
      </c>
      <c r="C16" s="5" t="n">
        <v>1</v>
      </c>
      <c r="D16" s="5" t="n">
        <v>2</v>
      </c>
      <c r="E16" s="5" t="n">
        <v>6</v>
      </c>
      <c r="F16" s="6" t="n">
        <v>0.083</v>
      </c>
      <c r="G16" s="6" t="n">
        <v>0.167</v>
      </c>
      <c r="H16" s="6" t="n">
        <v>0.5</v>
      </c>
      <c r="I16" s="7" t="n">
        <v>0.25</v>
      </c>
    </row>
    <row r="17" ht="17" customHeight="1">
      <c r="A17" s="8" t="inlineStr">
        <is>
          <t>NIFTY IT</t>
        </is>
      </c>
      <c r="B17" s="9" t="n">
        <v>10</v>
      </c>
      <c r="C17" s="9" t="n">
        <v>3</v>
      </c>
      <c r="D17" s="9" t="n">
        <v>3</v>
      </c>
      <c r="E17" s="9" t="n">
        <v>1</v>
      </c>
      <c r="F17" s="10" t="n">
        <v>0.3</v>
      </c>
      <c r="G17" s="10" t="n">
        <v>0.3</v>
      </c>
      <c r="H17" s="10" t="n">
        <v>0.1</v>
      </c>
      <c r="I17" s="11" t="n">
        <v>0.2333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28690</v>
      </c>
      <c r="D3" s="14" t="n">
        <v>27440.41</v>
      </c>
      <c r="E3" s="14" t="n">
        <v>26886.39</v>
      </c>
      <c r="F3" s="14" t="n">
        <v>27869.23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AJANTPHARM</t>
        </is>
      </c>
      <c r="C4" s="14" t="n">
        <v>3439.9</v>
      </c>
      <c r="D4" s="14" t="n">
        <v>3376.18</v>
      </c>
      <c r="E4" s="14" t="n">
        <v>3234.52</v>
      </c>
      <c r="F4" s="14" t="n">
        <v>2946.66</v>
      </c>
      <c r="G4" s="15">
        <f>HYPERLINK("https://www.tradingview.com/chart/?symbol=NSE:AJANTPHARM","Chart 📈")</f>
        <v/>
      </c>
    </row>
    <row r="5" ht="16" customHeight="1">
      <c r="A5" s="16" t="inlineStr">
        <is>
          <t>NIFTY PHARMA</t>
        </is>
      </c>
      <c r="B5" s="13" t="inlineStr">
        <is>
          <t>ALKEM</t>
        </is>
      </c>
      <c r="C5" s="14" t="n">
        <v>5602</v>
      </c>
      <c r="D5" s="14" t="n">
        <v>5581.36</v>
      </c>
      <c r="E5" s="14" t="n">
        <v>5511.64</v>
      </c>
      <c r="F5" s="14" t="n">
        <v>5435.83</v>
      </c>
      <c r="G5" s="15">
        <f>HYPERLINK("https://www.tradingview.com/chart/?symbol=NSE:ALKEM","Chart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435.2</v>
      </c>
      <c r="D6" s="14" t="n">
        <v>426.97</v>
      </c>
      <c r="E6" s="14" t="n">
        <v>416.62</v>
      </c>
      <c r="F6" s="14" t="n">
        <v>395.07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7305</v>
      </c>
      <c r="D7" s="14" t="n">
        <v>7053.99</v>
      </c>
      <c r="E7" s="14" t="n">
        <v>6835.36</v>
      </c>
      <c r="F7" s="14" t="n">
        <v>6539.63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JBCHEPHARM</t>
        </is>
      </c>
      <c r="C8" s="14" t="n">
        <v>2408.9</v>
      </c>
      <c r="D8" s="14" t="n">
        <v>2381</v>
      </c>
      <c r="E8" s="14" t="n">
        <v>2282.74</v>
      </c>
      <c r="F8" s="14" t="n">
        <v>2035.78</v>
      </c>
      <c r="G8" s="15">
        <f>HYPERLINK("https://www.tradingview.com/chart/?symbol=NSE:JBCHEPHARM","Chart 📈")</f>
        <v/>
      </c>
    </row>
    <row r="9" ht="16" customHeight="1">
      <c r="A9" s="16" t="inlineStr">
        <is>
          <t>NIFTY PHARMA</t>
        </is>
      </c>
      <c r="B9" s="13" t="inlineStr">
        <is>
          <t>LAURUSLABS</t>
        </is>
      </c>
      <c r="C9" s="14" t="n">
        <v>1568.3</v>
      </c>
      <c r="D9" s="14" t="n">
        <v>1526.49</v>
      </c>
      <c r="E9" s="14" t="n">
        <v>1436.57</v>
      </c>
      <c r="F9" s="14" t="n">
        <v>1183.49</v>
      </c>
      <c r="G9" s="15">
        <f>HYPERLINK("https://www.tradingview.com/chart/?symbol=NSE:LAURUSLABS","Chart 📈")</f>
        <v/>
      </c>
    </row>
    <row r="10" ht="16" customHeight="1">
      <c r="A10" s="16" t="inlineStr">
        <is>
          <t>NIFTY PHARMA</t>
        </is>
      </c>
      <c r="B10" s="13" t="inlineStr">
        <is>
          <t>MANKIND</t>
        </is>
      </c>
      <c r="C10" s="14" t="n">
        <v>2557.4</v>
      </c>
      <c r="D10" s="14" t="n">
        <v>2519</v>
      </c>
      <c r="E10" s="14" t="n">
        <v>2452.14</v>
      </c>
      <c r="F10" s="14" t="n">
        <v>2353.61</v>
      </c>
      <c r="G10" s="15">
        <f>HYPERLINK("https://www.tradingview.com/chart/?symbol=NSE:MANKIND","Chart 📈")</f>
        <v/>
      </c>
    </row>
    <row r="11" ht="16" customHeight="1">
      <c r="A11" s="16" t="inlineStr">
        <is>
          <t>NIFTY PHARMA</t>
        </is>
      </c>
      <c r="B11" s="13" t="inlineStr">
        <is>
          <t>SUNPHARMA</t>
        </is>
      </c>
      <c r="C11" s="14" t="n">
        <v>1954</v>
      </c>
      <c r="D11" s="14" t="n">
        <v>1917.49</v>
      </c>
      <c r="E11" s="14" t="n">
        <v>1869</v>
      </c>
      <c r="F11" s="14" t="n">
        <v>1773.36</v>
      </c>
      <c r="G11" s="15">
        <f>HYPERLINK("https://www.tradingview.com/chart/?symbol=NSE:SUNPHARMA","Chart 📈")</f>
        <v/>
      </c>
    </row>
    <row r="12" ht="16" customHeight="1">
      <c r="A12" s="16" t="inlineStr">
        <is>
          <t>NIFTY PHARMA</t>
        </is>
      </c>
      <c r="B12" s="13" t="inlineStr">
        <is>
          <t>TORNTPHARM</t>
        </is>
      </c>
      <c r="C12" s="14" t="n">
        <v>5065.2</v>
      </c>
      <c r="D12" s="14" t="n">
        <v>4862.96</v>
      </c>
      <c r="E12" s="14" t="n">
        <v>4660.56</v>
      </c>
      <c r="F12" s="14" t="n">
        <v>4217.44</v>
      </c>
      <c r="G12" s="15">
        <f>HYPERLINK("https://www.tradingview.com/chart/?symbol=NSE:TORNTPHARM","Chart 📈")</f>
        <v/>
      </c>
    </row>
    <row r="13" ht="16" customHeight="1">
      <c r="A13" s="8" t="inlineStr">
        <is>
          <t>NIFTY AUTO</t>
        </is>
      </c>
      <c r="B13" s="17" t="inlineStr">
        <is>
          <t>BAJAJ-AUTO</t>
        </is>
      </c>
      <c r="C13" s="18" t="n">
        <v>11283.5</v>
      </c>
      <c r="D13" s="18" t="n">
        <v>10372.19</v>
      </c>
      <c r="E13" s="18" t="n">
        <v>10162.25</v>
      </c>
      <c r="F13" s="18" t="n">
        <v>9565.08</v>
      </c>
      <c r="G13" s="19">
        <f>HYPERLINK("https://www.tradingview.com/chart/?symbol=NSE:BAJAJ-AUTO","Chart 📈")</f>
        <v/>
      </c>
    </row>
    <row r="14" ht="16" customHeight="1">
      <c r="A14" s="20" t="inlineStr">
        <is>
          <t>NIFTY AUTO</t>
        </is>
      </c>
      <c r="B14" s="17" t="inlineStr">
        <is>
          <t>BHARATFORG</t>
        </is>
      </c>
      <c r="C14" s="18" t="n">
        <v>2175.3</v>
      </c>
      <c r="D14" s="18" t="n">
        <v>2134.56</v>
      </c>
      <c r="E14" s="18" t="n">
        <v>2050.41</v>
      </c>
      <c r="F14" s="18" t="n">
        <v>1746.98</v>
      </c>
      <c r="G14" s="19">
        <f>HYPERLINK("https://www.tradingview.com/chart/?symbol=NSE:BHARATFORG","Chart 📈")</f>
        <v/>
      </c>
    </row>
    <row r="15" ht="16" customHeight="1">
      <c r="A15" s="20" t="inlineStr">
        <is>
          <t>NIFTY AUTO</t>
        </is>
      </c>
      <c r="B15" s="17" t="inlineStr">
        <is>
          <t>BOSCHLTD</t>
        </is>
      </c>
      <c r="C15" s="18" t="n">
        <v>42240</v>
      </c>
      <c r="D15" s="18" t="n">
        <v>41067.21</v>
      </c>
      <c r="E15" s="18" t="n">
        <v>39625.47</v>
      </c>
      <c r="F15" s="18" t="n">
        <v>37543.84</v>
      </c>
      <c r="G15" s="19">
        <f>HYPERLINK("https://www.tradingview.com/chart/?symbol=NSE:BOSCHLTD","Chart 📈")</f>
        <v/>
      </c>
    </row>
    <row r="16" ht="16" customHeight="1">
      <c r="A16" s="20" t="inlineStr">
        <is>
          <t>NIFTY AUTO</t>
        </is>
      </c>
      <c r="B16" s="17" t="inlineStr">
        <is>
          <t>EICHERMOT</t>
        </is>
      </c>
      <c r="C16" s="18" t="n">
        <v>7721.5</v>
      </c>
      <c r="D16" s="18" t="n">
        <v>7480.32</v>
      </c>
      <c r="E16" s="18" t="n">
        <v>7379.3</v>
      </c>
      <c r="F16" s="18" t="n">
        <v>7068.54</v>
      </c>
      <c r="G16" s="19">
        <f>HYPERLINK("https://www.tradingview.com/chart/?symbol=NSE:EICHERMOT","Chart 📈")</f>
        <v/>
      </c>
    </row>
    <row r="17" ht="16" customHeight="1">
      <c r="A17" s="20" t="inlineStr">
        <is>
          <t>NIFTY AUTO</t>
        </is>
      </c>
      <c r="B17" s="17" t="inlineStr">
        <is>
          <t>EXIDEIND</t>
        </is>
      </c>
      <c r="C17" s="18" t="n">
        <v>439.75</v>
      </c>
      <c r="D17" s="18" t="n">
        <v>421.16</v>
      </c>
      <c r="E17" s="18" t="n">
        <v>397.75</v>
      </c>
      <c r="F17" s="18" t="n">
        <v>370.31</v>
      </c>
      <c r="G17" s="19">
        <f>HYPERLINK("https://www.tradingview.com/chart/?symbol=NSE:EXIDEIND","Chart 📈")</f>
        <v/>
      </c>
    </row>
    <row r="18" ht="16" customHeight="1">
      <c r="A18" s="20" t="inlineStr">
        <is>
          <t>NIFTY AUTO</t>
        </is>
      </c>
      <c r="B18" s="17" t="inlineStr">
        <is>
          <t>HEROMOTOCO</t>
        </is>
      </c>
      <c r="C18" s="18" t="n">
        <v>5173.8</v>
      </c>
      <c r="D18" s="18" t="n">
        <v>4956.21</v>
      </c>
      <c r="E18" s="18" t="n">
        <v>4978.8</v>
      </c>
      <c r="F18" s="18" t="n">
        <v>5108.83</v>
      </c>
      <c r="G18" s="19">
        <f>HYPERLINK("https://www.tradingview.com/chart/?symbol=NSE:HEROMOTOCO","Chart 📈")</f>
        <v/>
      </c>
    </row>
    <row r="19" ht="16" customHeight="1">
      <c r="A19" s="20" t="inlineStr">
        <is>
          <t>NIFTY AUTO</t>
        </is>
      </c>
      <c r="B19" s="17" t="inlineStr">
        <is>
          <t>MOTHERSON</t>
        </is>
      </c>
      <c r="C19" s="18" t="n">
        <v>145.57</v>
      </c>
      <c r="D19" s="18" t="n">
        <v>144.1</v>
      </c>
      <c r="E19" s="18" t="n">
        <v>140.89</v>
      </c>
      <c r="F19" s="18" t="n">
        <v>125.57</v>
      </c>
      <c r="G19" s="19">
        <f>HYPERLINK("https://www.tradingview.com/chart/?symbol=NSE:MOTHERSON","Chart 📈")</f>
        <v/>
      </c>
    </row>
    <row r="20" ht="16" customHeight="1">
      <c r="A20" s="20" t="inlineStr">
        <is>
          <t>NIFTY AUTO</t>
        </is>
      </c>
      <c r="B20" s="17" t="inlineStr">
        <is>
          <t>TVSMOTOR</t>
        </is>
      </c>
      <c r="C20" s="18" t="n">
        <v>3919.8</v>
      </c>
      <c r="D20" s="18" t="n">
        <v>3655.27</v>
      </c>
      <c r="E20" s="18" t="n">
        <v>3572.62</v>
      </c>
      <c r="F20" s="18" t="n">
        <v>3490.68</v>
      </c>
      <c r="G20" s="19">
        <f>HYPERLINK("https://www.tradingview.com/chart/?symbol=NSE:TVSMOTOR","Chart 📈")</f>
        <v/>
      </c>
    </row>
    <row r="21" ht="16" customHeight="1">
      <c r="A21" s="12" t="inlineStr">
        <is>
          <t>NIFTY REALTY</t>
        </is>
      </c>
      <c r="B21" s="13" t="inlineStr">
        <is>
          <t>GODREJPROP</t>
        </is>
      </c>
      <c r="C21" s="14" t="n">
        <v>2041</v>
      </c>
      <c r="D21" s="14" t="n">
        <v>2029.07</v>
      </c>
      <c r="E21" s="14" t="n">
        <v>1916.25</v>
      </c>
      <c r="F21" s="14" t="n">
        <v>1900.14</v>
      </c>
      <c r="G21" s="15">
        <f>HYPERLINK("https://www.tradingview.com/chart/?symbol=NSE:GODREJPROP","Chart 📈")</f>
        <v/>
      </c>
    </row>
    <row r="22" ht="16" customHeight="1">
      <c r="A22" s="16" t="inlineStr">
        <is>
          <t>NIFTY REALTY</t>
        </is>
      </c>
      <c r="B22" s="13" t="inlineStr">
        <is>
          <t>LODHA</t>
        </is>
      </c>
      <c r="C22" s="14" t="n">
        <v>1146.4</v>
      </c>
      <c r="D22" s="14" t="n">
        <v>1114.16</v>
      </c>
      <c r="E22" s="14" t="n">
        <v>1025.33</v>
      </c>
      <c r="F22" s="14" t="n">
        <v>1023.7</v>
      </c>
      <c r="G22" s="15">
        <f>HYPERLINK("https://www.tradingview.com/chart/?symbol=NSE:LODHA","Chart 📈")</f>
        <v/>
      </c>
    </row>
    <row r="23" ht="16" customHeight="1">
      <c r="A23" s="16" t="inlineStr">
        <is>
          <t>NIFTY REALTY</t>
        </is>
      </c>
      <c r="B23" s="13" t="inlineStr">
        <is>
          <t>MAHLIFE</t>
        </is>
      </c>
      <c r="C23" s="14" t="n">
        <v>377.5</v>
      </c>
      <c r="D23" s="14" t="n">
        <v>368.23</v>
      </c>
      <c r="E23" s="14" t="n">
        <v>356.16</v>
      </c>
      <c r="F23" s="14" t="n">
        <v>355.83</v>
      </c>
      <c r="G23" s="15">
        <f>HYPERLINK("https://www.tradingview.com/chart/?symbol=NSE:MAHLIFE","Chart 📈")</f>
        <v/>
      </c>
    </row>
    <row r="24" ht="16" customHeight="1">
      <c r="A24" s="16" t="inlineStr">
        <is>
          <t>NIFTY REALTY</t>
        </is>
      </c>
      <c r="B24" s="13" t="inlineStr">
        <is>
          <t>RAYMOND</t>
        </is>
      </c>
      <c r="C24" s="14" t="n">
        <v>605.6</v>
      </c>
      <c r="D24" s="14" t="n">
        <v>603.5599999999999</v>
      </c>
      <c r="E24" s="14" t="n">
        <v>569.08</v>
      </c>
      <c r="F24" s="14" t="n">
        <v>522.48</v>
      </c>
      <c r="G24" s="15">
        <f>HYPERLINK("https://www.tradingview.com/chart/?symbol=NSE:RAYMOND","Chart 📈")</f>
        <v/>
      </c>
    </row>
    <row r="25" ht="16" customHeight="1">
      <c r="A25" s="8" t="inlineStr">
        <is>
          <t>NIFTY FMCG</t>
        </is>
      </c>
      <c r="B25" s="17" t="inlineStr">
        <is>
          <t>BALRAMCHIN</t>
        </is>
      </c>
      <c r="C25" s="18" t="n">
        <v>612.8</v>
      </c>
      <c r="D25" s="18" t="n">
        <v>584.52</v>
      </c>
      <c r="E25" s="18" t="n">
        <v>558.49</v>
      </c>
      <c r="F25" s="18" t="n">
        <v>520.5</v>
      </c>
      <c r="G25" s="19">
        <f>HYPERLINK("https://www.tradingview.com/chart/?symbol=NSE:BALRAMCHIN","Chart 📈")</f>
        <v/>
      </c>
    </row>
    <row r="26" ht="16" customHeight="1">
      <c r="A26" s="20" t="inlineStr">
        <is>
          <t>NIFTY FMCG</t>
        </is>
      </c>
      <c r="B26" s="17" t="inlineStr">
        <is>
          <t>MARICO</t>
        </is>
      </c>
      <c r="C26" s="18" t="n">
        <v>853.2</v>
      </c>
      <c r="D26" s="18" t="n">
        <v>844.92</v>
      </c>
      <c r="E26" s="18" t="n">
        <v>829.64</v>
      </c>
      <c r="F26" s="18" t="n">
        <v>782.91</v>
      </c>
      <c r="G26" s="19">
        <f>HYPERLINK("https://www.tradingview.com/chart/?symbol=NSE:MARICO","Chart 📈")</f>
        <v/>
      </c>
    </row>
    <row r="27" ht="16" customHeight="1">
      <c r="A27" s="20" t="inlineStr">
        <is>
          <t>NIFTY FMCG</t>
        </is>
      </c>
      <c r="B27" s="17" t="inlineStr">
        <is>
          <t>NESTLEIND</t>
        </is>
      </c>
      <c r="C27" s="18" t="n">
        <v>1447.9</v>
      </c>
      <c r="D27" s="18" t="n">
        <v>1437.76</v>
      </c>
      <c r="E27" s="18" t="n">
        <v>1414.54</v>
      </c>
      <c r="F27" s="18" t="n">
        <v>1327.43</v>
      </c>
      <c r="G27" s="19">
        <f>HYPERLINK("https://www.tradingview.com/chart/?symbol=NSE:NESTLEIND","Chart 📈")</f>
        <v/>
      </c>
    </row>
    <row r="28" ht="16" customHeight="1">
      <c r="A28" s="20" t="inlineStr">
        <is>
          <t>NIFTY FMCG</t>
        </is>
      </c>
      <c r="B28" s="17" t="inlineStr">
        <is>
          <t>RADICO</t>
        </is>
      </c>
      <c r="C28" s="18" t="n">
        <v>4065.3</v>
      </c>
      <c r="D28" s="18" t="n">
        <v>4010.01</v>
      </c>
      <c r="E28" s="18" t="n">
        <v>3780.43</v>
      </c>
      <c r="F28" s="18" t="n">
        <v>3292.23</v>
      </c>
      <c r="G28" s="19">
        <f>HYPERLINK("https://www.tradingview.com/chart/?symbol=NSE:RADICO","Chart 📈")</f>
        <v/>
      </c>
    </row>
    <row r="29" ht="16" customHeight="1">
      <c r="A29" s="20" t="inlineStr">
        <is>
          <t>NIFTY FMCG</t>
        </is>
      </c>
      <c r="B29" s="17" t="inlineStr">
        <is>
          <t>UNITDSPR</t>
        </is>
      </c>
      <c r="C29" s="18" t="n">
        <v>1418</v>
      </c>
      <c r="D29" s="18" t="n">
        <v>1377.33</v>
      </c>
      <c r="E29" s="18" t="n">
        <v>1344.12</v>
      </c>
      <c r="F29" s="18" t="n">
        <v>1330.39</v>
      </c>
      <c r="G29" s="19">
        <f>HYPERLINK("https://www.tradingview.com/chart/?symbol=NSE:UNITDSPR","Chart 📈")</f>
        <v/>
      </c>
    </row>
    <row r="30" ht="16" customHeight="1">
      <c r="A30" s="12" t="inlineStr">
        <is>
          <t>NIFTY MEDIA</t>
        </is>
      </c>
      <c r="B30" s="13" t="inlineStr">
        <is>
          <t>NAZARA</t>
        </is>
      </c>
      <c r="C30" s="14" t="n">
        <v>304.2</v>
      </c>
      <c r="D30" s="14" t="n">
        <v>303.13</v>
      </c>
      <c r="E30" s="14" t="n">
        <v>293.65</v>
      </c>
      <c r="F30" s="14" t="n">
        <v>283.68</v>
      </c>
      <c r="G30" s="15">
        <f>HYPERLINK("https://www.tradingview.com/chart/?symbol=NSE:NAZARA","Chart 📈")</f>
        <v/>
      </c>
    </row>
    <row r="31" ht="16" customHeight="1">
      <c r="A31" s="16" t="inlineStr">
        <is>
          <t>NIFTY MEDIA</t>
        </is>
      </c>
      <c r="B31" s="13" t="inlineStr">
        <is>
          <t>SAREGAMA</t>
        </is>
      </c>
      <c r="C31" s="14" t="n">
        <v>488.75</v>
      </c>
      <c r="D31" s="14" t="n">
        <v>485.91</v>
      </c>
      <c r="E31" s="14" t="n">
        <v>457</v>
      </c>
      <c r="F31" s="14" t="n">
        <v>415.24</v>
      </c>
      <c r="G31" s="15">
        <f>HYPERLINK("https://www.tradingview.com/chart/?symbol=NSE:SAREGAMA","Chart 📈")</f>
        <v/>
      </c>
    </row>
    <row r="32" ht="16" customHeight="1">
      <c r="A32" s="16" t="inlineStr">
        <is>
          <t>NIFTY MEDIA</t>
        </is>
      </c>
      <c r="B32" s="13" t="inlineStr">
        <is>
          <t>TIPSMUSIC</t>
        </is>
      </c>
      <c r="C32" s="14" t="n">
        <v>676.6</v>
      </c>
      <c r="D32" s="14" t="n">
        <v>675.26</v>
      </c>
      <c r="E32" s="14" t="n">
        <v>658.1900000000001</v>
      </c>
      <c r="F32" s="14" t="n">
        <v>603.76</v>
      </c>
      <c r="G32" s="15">
        <f>HYPERLINK("https://www.tradingview.com/chart/?symbol=NSE:TIPSMUSIC","Chart 📈")</f>
        <v/>
      </c>
    </row>
    <row r="33" ht="16" customHeight="1">
      <c r="A33" s="8" t="inlineStr">
        <is>
          <t>NIFTY CONSUMER DURABLES</t>
        </is>
      </c>
      <c r="B33" s="17" t="inlineStr">
        <is>
          <t>DIXON</t>
        </is>
      </c>
      <c r="C33" s="18" t="n">
        <v>13829</v>
      </c>
      <c r="D33" s="18" t="n">
        <v>13399.09</v>
      </c>
      <c r="E33" s="18" t="n">
        <v>12572.33</v>
      </c>
      <c r="F33" s="18" t="n">
        <v>12691.95</v>
      </c>
      <c r="G33" s="19">
        <f>HYPERLINK("https://www.tradingview.com/chart/?symbol=NSE:DIXON","Chart 📈")</f>
        <v/>
      </c>
    </row>
    <row r="34" ht="16" customHeight="1">
      <c r="A34" s="20" t="inlineStr">
        <is>
          <t>NIFTY CONSUMER DURABLES</t>
        </is>
      </c>
      <c r="B34" s="17" t="inlineStr">
        <is>
          <t>KALYANKJIL</t>
        </is>
      </c>
      <c r="C34" s="18" t="n">
        <v>585.6</v>
      </c>
      <c r="D34" s="18" t="n">
        <v>494.41</v>
      </c>
      <c r="E34" s="18" t="n">
        <v>437.44</v>
      </c>
      <c r="F34" s="18" t="n">
        <v>442.5</v>
      </c>
      <c r="G34" s="19">
        <f>HYPERLINK("https://www.tradingview.com/chart/?symbol=NSE:KALYANKJIL","Chart 📈")</f>
        <v/>
      </c>
    </row>
    <row r="35" ht="16" customHeight="1">
      <c r="A35" s="20" t="inlineStr">
        <is>
          <t>NIFTY CONSUMER DURABLES</t>
        </is>
      </c>
      <c r="B35" s="17" t="inlineStr">
        <is>
          <t>TITAN</t>
        </is>
      </c>
      <c r="C35" s="18" t="n">
        <v>4697.3</v>
      </c>
      <c r="D35" s="18" t="n">
        <v>4551.99</v>
      </c>
      <c r="E35" s="18" t="n">
        <v>4409.78</v>
      </c>
      <c r="F35" s="18" t="n">
        <v>4124.34</v>
      </c>
      <c r="G35" s="19">
        <f>HYPERLINK("https://www.tradingview.com/chart/?symbol=NSE:TITAN","Chart 📈")</f>
        <v/>
      </c>
    </row>
    <row r="36" ht="16" customHeight="1">
      <c r="A36" s="12" t="inlineStr">
        <is>
          <t>NIFTY METAL</t>
        </is>
      </c>
      <c r="B36" s="13" t="inlineStr">
        <is>
          <t>JSL</t>
        </is>
      </c>
      <c r="C36" s="14" t="n">
        <v>735.85</v>
      </c>
      <c r="D36" s="14" t="n">
        <v>718.89</v>
      </c>
      <c r="E36" s="14" t="n">
        <v>717.28</v>
      </c>
      <c r="F36" s="14" t="n">
        <v>735.12</v>
      </c>
      <c r="G36" s="15">
        <f>HYPERLINK("https://www.tradingview.com/chart/?symbol=NSE:JSL","Chart 📈")</f>
        <v/>
      </c>
    </row>
    <row r="37" ht="16" customHeight="1">
      <c r="A37" s="16" t="inlineStr">
        <is>
          <t>NIFTY METAL</t>
        </is>
      </c>
      <c r="B37" s="13" t="inlineStr">
        <is>
          <t>JSWSTEEL</t>
        </is>
      </c>
      <c r="C37" s="14" t="n">
        <v>1246.8</v>
      </c>
      <c r="D37" s="14" t="n">
        <v>1244.79</v>
      </c>
      <c r="E37" s="14" t="n">
        <v>1246.75</v>
      </c>
      <c r="F37" s="14" t="n">
        <v>1198.84</v>
      </c>
      <c r="G37" s="15">
        <f>HYPERLINK("https://www.tradingview.com/chart/?symbol=NSE:JSWSTEEL","Chart 📈")</f>
        <v/>
      </c>
    </row>
    <row r="38" ht="16" customHeight="1">
      <c r="A38" s="16" t="inlineStr">
        <is>
          <t>NIFTY METAL</t>
        </is>
      </c>
      <c r="B38" s="13" t="inlineStr">
        <is>
          <t>WELCORP</t>
        </is>
      </c>
      <c r="C38" s="14" t="n">
        <v>1612.8</v>
      </c>
      <c r="D38" s="14" t="n">
        <v>1570.94</v>
      </c>
      <c r="E38" s="14" t="n">
        <v>1450.26</v>
      </c>
      <c r="F38" s="14" t="n">
        <v>1133.07</v>
      </c>
      <c r="G38" s="15">
        <f>HYPERLINK("https://www.tradingview.com/chart/?symbol=NSE:WELCORP","Chart 📈")</f>
        <v/>
      </c>
    </row>
    <row r="39" ht="16" customHeight="1">
      <c r="A39" s="8" t="inlineStr">
        <is>
          <t>NIFTY FINANCIAL SERVICES</t>
        </is>
      </c>
      <c r="B39" s="17" t="inlineStr">
        <is>
          <t>BAJAJFINSV</t>
        </is>
      </c>
      <c r="C39" s="18" t="n">
        <v>1889.4</v>
      </c>
      <c r="D39" s="18" t="n">
        <v>1852.5</v>
      </c>
      <c r="E39" s="18" t="n">
        <v>1818.68</v>
      </c>
      <c r="F39" s="18" t="n">
        <v>1880.33</v>
      </c>
      <c r="G39" s="19">
        <f>HYPERLINK("https://www.tradingview.com/chart/?symbol=NSE:BAJAJFINSV","Chart 📈")</f>
        <v/>
      </c>
    </row>
    <row r="40" ht="16" customHeight="1">
      <c r="A40" s="20" t="inlineStr">
        <is>
          <t>NIFTY FINANCIAL SERVICES</t>
        </is>
      </c>
      <c r="B40" s="17" t="inlineStr">
        <is>
          <t>BAJFINANCE</t>
        </is>
      </c>
      <c r="C40" s="18" t="n">
        <v>1039.8</v>
      </c>
      <c r="D40" s="18" t="n">
        <v>1022.17</v>
      </c>
      <c r="E40" s="18" t="n">
        <v>981.28</v>
      </c>
      <c r="F40" s="18" t="n">
        <v>955.61</v>
      </c>
      <c r="G40" s="19">
        <f>HYPERLINK("https://www.tradingview.com/chart/?symbol=NSE:BAJFINANCE","Chart 📈")</f>
        <v/>
      </c>
    </row>
    <row r="41" ht="16" customHeight="1">
      <c r="A41" s="20" t="inlineStr">
        <is>
          <t>NIFTY FINANCIAL SERVICES</t>
        </is>
      </c>
      <c r="B41" s="17" t="inlineStr">
        <is>
          <t>ICICIBANK</t>
        </is>
      </c>
      <c r="C41" s="18" t="n">
        <v>1434.6</v>
      </c>
      <c r="D41" s="18" t="n">
        <v>1409.78</v>
      </c>
      <c r="E41" s="18" t="n">
        <v>1365.32</v>
      </c>
      <c r="F41" s="18" t="n">
        <v>1355.85</v>
      </c>
      <c r="G41" s="19">
        <f>HYPERLINK("https://www.tradingview.com/chart/?symbol=NSE:ICICIBANK","Chart 📈")</f>
        <v/>
      </c>
    </row>
    <row r="42" ht="16" customHeight="1">
      <c r="A42" s="20" t="inlineStr">
        <is>
          <t>NIFTY FINANCIAL SERVICES</t>
        </is>
      </c>
      <c r="B42" s="17" t="inlineStr">
        <is>
          <t>RECLTD</t>
        </is>
      </c>
      <c r="C42" s="18" t="n">
        <v>358.45</v>
      </c>
      <c r="D42" s="18" t="n">
        <v>357.12</v>
      </c>
      <c r="E42" s="18" t="n">
        <v>354.27</v>
      </c>
      <c r="F42" s="18" t="n">
        <v>354.28</v>
      </c>
      <c r="G42" s="19">
        <f>HYPERLINK("https://www.tradingview.com/chart/?symbol=NSE:RECLTD","Chart 📈")</f>
        <v/>
      </c>
    </row>
    <row r="43" ht="16" customHeight="1">
      <c r="A43" s="12" t="inlineStr">
        <is>
          <t>NIFTY OIL &amp; GAS</t>
        </is>
      </c>
      <c r="B43" s="13" t="inlineStr">
        <is>
          <t>AEGISLOG</t>
        </is>
      </c>
      <c r="C43" s="14" t="n">
        <v>1368.9</v>
      </c>
      <c r="D43" s="14" t="n">
        <v>1260.85</v>
      </c>
      <c r="E43" s="14" t="n">
        <v>1083.58</v>
      </c>
      <c r="F43" s="14" t="n">
        <v>841.17</v>
      </c>
      <c r="G43" s="15">
        <f>HYPERLINK("https://www.tradingview.com/chart/?symbol=NSE:AEGISLOG","Chart 📈")</f>
        <v/>
      </c>
    </row>
    <row r="44" ht="16" customHeight="1">
      <c r="A44" s="16" t="inlineStr">
        <is>
          <t>NIFTY OIL &amp; GAS</t>
        </is>
      </c>
      <c r="B44" s="13" t="inlineStr">
        <is>
          <t>OIL</t>
        </is>
      </c>
      <c r="C44" s="14" t="n">
        <v>458.8</v>
      </c>
      <c r="D44" s="14" t="n">
        <v>437.64</v>
      </c>
      <c r="E44" s="14" t="n">
        <v>444.27</v>
      </c>
      <c r="F44" s="14" t="n">
        <v>447.79</v>
      </c>
      <c r="G44" s="15">
        <f>HYPERLINK("https://www.tradingview.com/chart/?symbol=NSE:OIL","Chart 📈")</f>
        <v/>
      </c>
    </row>
    <row r="45" ht="16" customHeight="1">
      <c r="A45" s="8" t="inlineStr">
        <is>
          <t>NIFTY MIDSMALL IT &amp; TELECOM</t>
        </is>
      </c>
      <c r="B45" s="17" t="inlineStr">
        <is>
          <t>TANLA</t>
        </is>
      </c>
      <c r="C45" s="18" t="n">
        <v>618.5</v>
      </c>
      <c r="D45" s="18" t="n">
        <v>558.0700000000001</v>
      </c>
      <c r="E45" s="18" t="n">
        <v>536.53</v>
      </c>
      <c r="F45" s="18" t="n">
        <v>535.36</v>
      </c>
      <c r="G45" s="19">
        <f>HYPERLINK("https://www.tradingview.com/chart/?symbol=NSE:TANLA","Chart 📈")</f>
        <v/>
      </c>
    </row>
    <row r="46" ht="16" customHeight="1">
      <c r="A46" s="12" t="inlineStr">
        <is>
          <t>NIFTY BANK</t>
        </is>
      </c>
      <c r="B46" s="13" t="inlineStr">
        <is>
          <t>FEDERALBNK</t>
        </is>
      </c>
      <c r="C46" s="14" t="n">
        <v>354.4</v>
      </c>
      <c r="D46" s="14" t="n">
        <v>336.08</v>
      </c>
      <c r="E46" s="14" t="n">
        <v>320.53</v>
      </c>
      <c r="F46" s="14" t="n">
        <v>281.82</v>
      </c>
      <c r="G46" s="15">
        <f>HYPERLINK("https://www.tradingview.com/chart/?symbol=NSE:FEDERALBNK","Chart 📈")</f>
        <v/>
      </c>
    </row>
    <row r="47" ht="16" customHeight="1">
      <c r="A47" s="16" t="inlineStr">
        <is>
          <t>NIFTY BANK</t>
        </is>
      </c>
      <c r="B47" s="13" t="inlineStr">
        <is>
          <t>IDFCFIRSTB</t>
        </is>
      </c>
      <c r="C47" s="14" t="n">
        <v>79.90000000000001</v>
      </c>
      <c r="D47" s="14" t="n">
        <v>79.62</v>
      </c>
      <c r="E47" s="14" t="n">
        <v>76.86</v>
      </c>
      <c r="F47" s="14" t="n">
        <v>74.63</v>
      </c>
      <c r="G47" s="15">
        <f>HYPERLINK("https://www.tradingview.com/chart/?symbol=NSE:IDFCFIRSTB","Chart 📈")</f>
        <v/>
      </c>
    </row>
    <row r="48" ht="16" customHeight="1">
      <c r="A48" s="16" t="inlineStr">
        <is>
          <t>NIFTY BANK</t>
        </is>
      </c>
      <c r="B48" s="13" t="inlineStr">
        <is>
          <t>INDUSINDBK</t>
        </is>
      </c>
      <c r="C48" s="14" t="n">
        <v>1005.5</v>
      </c>
      <c r="D48" s="14" t="n">
        <v>1001.09</v>
      </c>
      <c r="E48" s="14" t="n">
        <v>958.72</v>
      </c>
      <c r="F48" s="14" t="n">
        <v>893.52</v>
      </c>
      <c r="G48" s="15">
        <f>HYPERLINK("https://www.tradingview.com/chart/?symbol=NSE:INDUSINDBK","Chart 📈")</f>
        <v/>
      </c>
    </row>
    <row r="49" ht="16" customHeight="1">
      <c r="A49" s="8" t="inlineStr">
        <is>
          <t>NIFTY ENERGY</t>
        </is>
      </c>
      <c r="B49" s="17" t="inlineStr">
        <is>
          <t>ABB</t>
        </is>
      </c>
      <c r="C49" s="18" t="n">
        <v>7528</v>
      </c>
      <c r="D49" s="18" t="n">
        <v>7221.88</v>
      </c>
      <c r="E49" s="18" t="n">
        <v>7036.73</v>
      </c>
      <c r="F49" s="18" t="n">
        <v>6325.54</v>
      </c>
      <c r="G49" s="19">
        <f>HYPERLINK("https://www.tradingview.com/chart/?symbol=NSE:ABB","Chart 📈")</f>
        <v/>
      </c>
    </row>
    <row r="50" ht="16" customHeight="1">
      <c r="A50" s="20" t="inlineStr">
        <is>
          <t>NIFTY ENERGY</t>
        </is>
      </c>
      <c r="B50" s="17" t="inlineStr">
        <is>
          <t>ADANIENSOL</t>
        </is>
      </c>
      <c r="C50" s="18" t="n">
        <v>1683.8</v>
      </c>
      <c r="D50" s="18" t="n">
        <v>1646.15</v>
      </c>
      <c r="E50" s="18" t="n">
        <v>1538.98</v>
      </c>
      <c r="F50" s="18" t="n">
        <v>1233.17</v>
      </c>
      <c r="G50" s="19">
        <f>HYPERLINK("https://www.tradingview.com/chart/?symbol=NSE:ADANIENSOL","Chart 📈")</f>
        <v/>
      </c>
    </row>
    <row r="51" ht="16" customHeight="1">
      <c r="A51" s="20" t="inlineStr">
        <is>
          <t>NIFTY ENERGY</t>
        </is>
      </c>
      <c r="B51" s="17" t="inlineStr">
        <is>
          <t>BHEL</t>
        </is>
      </c>
      <c r="C51" s="18" t="n">
        <v>409.6</v>
      </c>
      <c r="D51" s="18" t="n">
        <v>406.28</v>
      </c>
      <c r="E51" s="18" t="n">
        <v>391.89</v>
      </c>
      <c r="F51" s="18" t="n">
        <v>326.52</v>
      </c>
      <c r="G51" s="19">
        <f>HYPERLINK("https://www.tradingview.com/chart/?symbol=NSE:BHEL","Chart 📈")</f>
        <v/>
      </c>
    </row>
    <row r="52" ht="16" customHeight="1">
      <c r="A52" s="20" t="inlineStr">
        <is>
          <t>NIFTY ENERGY</t>
        </is>
      </c>
      <c r="B52" s="17" t="inlineStr">
        <is>
          <t>NHPC</t>
        </is>
      </c>
      <c r="C52" s="18" t="n">
        <v>80.25</v>
      </c>
      <c r="D52" s="18" t="n">
        <v>79.38</v>
      </c>
      <c r="E52" s="18" t="n">
        <v>78.68000000000001</v>
      </c>
      <c r="F52" s="18" t="n">
        <v>78.94</v>
      </c>
      <c r="G52" s="19">
        <f>HYPERLINK("https://www.tradingview.com/chart/?symbol=NSE:NHPC","Chart 📈")</f>
        <v/>
      </c>
    </row>
    <row r="53" ht="16" customHeight="1">
      <c r="A53" s="20" t="inlineStr">
        <is>
          <t>NIFTY ENERGY</t>
        </is>
      </c>
      <c r="B53" s="17" t="inlineStr">
        <is>
          <t>POWERGRID</t>
        </is>
      </c>
      <c r="C53" s="18" t="n">
        <v>289.8</v>
      </c>
      <c r="D53" s="18" t="n">
        <v>286.24</v>
      </c>
      <c r="E53" s="18" t="n">
        <v>289.38</v>
      </c>
      <c r="F53" s="18" t="n">
        <v>288.54</v>
      </c>
      <c r="G53" s="19">
        <f>HYPERLINK("https://www.tradingview.com/chart/?symbol=NSE:POWERGRID","Chart 📈")</f>
        <v/>
      </c>
    </row>
    <row r="54" ht="16" customHeight="1">
      <c r="A54" s="20" t="inlineStr">
        <is>
          <t>NIFTY ENERGY</t>
        </is>
      </c>
      <c r="B54" s="17" t="inlineStr">
        <is>
          <t>SIEMENS</t>
        </is>
      </c>
      <c r="C54" s="18" t="n">
        <v>3686.3</v>
      </c>
      <c r="D54" s="18" t="n">
        <v>3609.24</v>
      </c>
      <c r="E54" s="18" t="n">
        <v>3602.28</v>
      </c>
      <c r="F54" s="18" t="n">
        <v>3410.34</v>
      </c>
      <c r="G54" s="19">
        <f>HYPERLINK("https://www.tradingview.com/chart/?symbol=NSE:SIEMENS","Chart 📈")</f>
        <v/>
      </c>
    </row>
    <row r="55" ht="16" customHeight="1">
      <c r="A55" s="12" t="inlineStr">
        <is>
          <t>NIFTY PSU BANK</t>
        </is>
      </c>
      <c r="B55" s="13" t="inlineStr">
        <is>
          <t>PNB</t>
        </is>
      </c>
      <c r="C55" s="14" t="n">
        <v>110.15</v>
      </c>
      <c r="D55" s="14" t="n">
        <v>107.33</v>
      </c>
      <c r="E55" s="14" t="n">
        <v>106.56</v>
      </c>
      <c r="F55" s="14" t="n">
        <v>109.27</v>
      </c>
      <c r="G55" s="15">
        <f>HYPERLINK("https://www.tradingview.com/chart/?symbol=NSE:PNB","Chart 📈")</f>
        <v/>
      </c>
    </row>
    <row r="56" ht="16" customHeight="1">
      <c r="A56" s="8" t="inlineStr">
        <is>
          <t>NIFTY IT</t>
        </is>
      </c>
      <c r="B56" s="17" t="inlineStr">
        <is>
          <t>TECHM</t>
        </is>
      </c>
      <c r="C56" s="18" t="n">
        <v>1555.8</v>
      </c>
      <c r="D56" s="18" t="n">
        <v>1491.11</v>
      </c>
      <c r="E56" s="18" t="n">
        <v>1451.45</v>
      </c>
      <c r="F56" s="18" t="n">
        <v>1447.74</v>
      </c>
      <c r="G56" s="19">
        <f>HYPERLINK("https://www.tradingview.com/chart/?symbol=NSE:TECHM","Chart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2026-07-23T12:33:20Z</dcterms:created>
  <dcterms:modified xsi:type="dcterms:W3CDTF">2026-07-23T12:33:20Z</dcterms:modified>
</cp:coreProperties>
</file>