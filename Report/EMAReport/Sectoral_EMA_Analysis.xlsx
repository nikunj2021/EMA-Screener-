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03-Jul-2026  13:05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9</v>
      </c>
      <c r="D4" s="5" t="n">
        <v>9</v>
      </c>
      <c r="E4" s="5" t="n">
        <v>9</v>
      </c>
      <c r="F4" s="6" t="n">
        <v>0.9</v>
      </c>
      <c r="G4" s="6" t="n">
        <v>0.9</v>
      </c>
      <c r="H4" s="6" t="n">
        <v>0.9</v>
      </c>
      <c r="I4" s="7" t="n">
        <v>0.9</v>
      </c>
    </row>
    <row r="5" ht="17" customHeight="1">
      <c r="A5" s="8" t="inlineStr">
        <is>
          <t>NIFTY PHARMA</t>
        </is>
      </c>
      <c r="B5" s="9" t="n">
        <v>20</v>
      </c>
      <c r="C5" s="9" t="n">
        <v>19</v>
      </c>
      <c r="D5" s="9" t="n">
        <v>17</v>
      </c>
      <c r="E5" s="9" t="n">
        <v>18</v>
      </c>
      <c r="F5" s="10" t="n">
        <v>0.95</v>
      </c>
      <c r="G5" s="10" t="n">
        <v>0.85</v>
      </c>
      <c r="H5" s="10" t="n">
        <v>0.9</v>
      </c>
      <c r="I5" s="11" t="n">
        <v>0.9</v>
      </c>
    </row>
    <row r="6" ht="17" customHeight="1">
      <c r="A6" s="4" t="inlineStr">
        <is>
          <t>NIFTY AUTO</t>
        </is>
      </c>
      <c r="B6" s="5" t="n">
        <v>15</v>
      </c>
      <c r="C6" s="5" t="n">
        <v>11</v>
      </c>
      <c r="D6" s="5" t="n">
        <v>12</v>
      </c>
      <c r="E6" s="5" t="n">
        <v>10</v>
      </c>
      <c r="F6" s="6" t="n">
        <v>0.733</v>
      </c>
      <c r="G6" s="6" t="n">
        <v>0.8</v>
      </c>
      <c r="H6" s="6" t="n">
        <v>0.667</v>
      </c>
      <c r="I6" s="7" t="n">
        <v>0.7333</v>
      </c>
    </row>
    <row r="7" ht="17" customHeight="1">
      <c r="A7" s="8" t="inlineStr">
        <is>
          <t>NIFTY FMCG</t>
        </is>
      </c>
      <c r="B7" s="9" t="n">
        <v>15</v>
      </c>
      <c r="C7" s="9" t="n">
        <v>12</v>
      </c>
      <c r="D7" s="9" t="n">
        <v>11</v>
      </c>
      <c r="E7" s="9" t="n">
        <v>6</v>
      </c>
      <c r="F7" s="10" t="n">
        <v>0.8</v>
      </c>
      <c r="G7" s="10" t="n">
        <v>0.733</v>
      </c>
      <c r="H7" s="10" t="n">
        <v>0.4</v>
      </c>
      <c r="I7" s="11" t="n">
        <v>0.6443000000000001</v>
      </c>
    </row>
    <row r="8" ht="17" customHeight="1">
      <c r="A8" s="4" t="inlineStr">
        <is>
          <t>NIFTY MEDIA</t>
        </is>
      </c>
      <c r="B8" s="5" t="n">
        <v>10</v>
      </c>
      <c r="C8" s="5" t="n">
        <v>7</v>
      </c>
      <c r="D8" s="5" t="n">
        <v>8</v>
      </c>
      <c r="E8" s="5" t="n">
        <v>4</v>
      </c>
      <c r="F8" s="6" t="n">
        <v>0.7</v>
      </c>
      <c r="G8" s="6" t="n">
        <v>0.8</v>
      </c>
      <c r="H8" s="6" t="n">
        <v>0.4</v>
      </c>
      <c r="I8" s="7" t="n">
        <v>0.6333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10</v>
      </c>
      <c r="D9" s="9" t="n">
        <v>11</v>
      </c>
      <c r="E9" s="9" t="n">
        <v>11</v>
      </c>
      <c r="F9" s="10" t="n">
        <v>0.5</v>
      </c>
      <c r="G9" s="10" t="n">
        <v>0.55</v>
      </c>
      <c r="H9" s="10" t="n">
        <v>0.55</v>
      </c>
      <c r="I9" s="11" t="n">
        <v>0.5333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11</v>
      </c>
      <c r="D10" s="5" t="n">
        <v>13</v>
      </c>
      <c r="E10" s="5" t="n">
        <v>7</v>
      </c>
      <c r="F10" s="6" t="n">
        <v>0.55</v>
      </c>
      <c r="G10" s="6" t="n">
        <v>0.65</v>
      </c>
      <c r="H10" s="6" t="n">
        <v>0.35</v>
      </c>
      <c r="I10" s="7" t="n">
        <v>0.5167</v>
      </c>
    </row>
    <row r="11" ht="17" customHeight="1">
      <c r="A11" s="8" t="inlineStr">
        <is>
          <t>NIFTY PSU BANK</t>
        </is>
      </c>
      <c r="B11" s="9" t="n">
        <v>12</v>
      </c>
      <c r="C11" s="9" t="n">
        <v>7</v>
      </c>
      <c r="D11" s="9" t="n">
        <v>6</v>
      </c>
      <c r="E11" s="9" t="n">
        <v>4</v>
      </c>
      <c r="F11" s="10" t="n">
        <v>0.583</v>
      </c>
      <c r="G11" s="10" t="n">
        <v>0.5</v>
      </c>
      <c r="H11" s="10" t="n">
        <v>0.333</v>
      </c>
      <c r="I11" s="11" t="n">
        <v>0.472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7</v>
      </c>
      <c r="D12" s="5" t="n">
        <v>6</v>
      </c>
      <c r="E12" s="5" t="n">
        <v>6</v>
      </c>
      <c r="F12" s="6" t="n">
        <v>0.467</v>
      </c>
      <c r="G12" s="6" t="n">
        <v>0.4</v>
      </c>
      <c r="H12" s="6" t="n">
        <v>0.4</v>
      </c>
      <c r="I12" s="7" t="n">
        <v>0.4223</v>
      </c>
    </row>
    <row r="13" ht="17" customHeight="1">
      <c r="A13" s="8" t="inlineStr">
        <is>
          <t>NIFTY METAL</t>
        </is>
      </c>
      <c r="B13" s="9" t="n">
        <v>15</v>
      </c>
      <c r="C13" s="9" t="n">
        <v>3</v>
      </c>
      <c r="D13" s="9" t="n">
        <v>2</v>
      </c>
      <c r="E13" s="9" t="n">
        <v>10</v>
      </c>
      <c r="F13" s="10" t="n">
        <v>0.2</v>
      </c>
      <c r="G13" s="10" t="n">
        <v>0.133</v>
      </c>
      <c r="H13" s="10" t="n">
        <v>0.667</v>
      </c>
      <c r="I13" s="11" t="n">
        <v>0.3333</v>
      </c>
    </row>
    <row r="14" ht="17" customHeight="1">
      <c r="A14" s="4" t="inlineStr">
        <is>
          <t>NIFTY BANK</t>
        </is>
      </c>
      <c r="B14" s="5" t="n">
        <v>12</v>
      </c>
      <c r="C14" s="5" t="n">
        <v>4</v>
      </c>
      <c r="D14" s="5" t="n">
        <v>4</v>
      </c>
      <c r="E14" s="5" t="n">
        <v>4</v>
      </c>
      <c r="F14" s="6" t="n">
        <v>0.333</v>
      </c>
      <c r="G14" s="6" t="n">
        <v>0.333</v>
      </c>
      <c r="H14" s="6" t="n">
        <v>0.333</v>
      </c>
      <c r="I14" s="7" t="n">
        <v>0.333</v>
      </c>
    </row>
    <row r="15" ht="17" customHeight="1">
      <c r="A15" s="8" t="inlineStr">
        <is>
          <t>NIFTY OIL &amp; GAS</t>
        </is>
      </c>
      <c r="B15" s="9" t="n">
        <v>15</v>
      </c>
      <c r="C15" s="9" t="n">
        <v>4</v>
      </c>
      <c r="D15" s="9" t="n">
        <v>7</v>
      </c>
      <c r="E15" s="9" t="n">
        <v>3</v>
      </c>
      <c r="F15" s="10" t="n">
        <v>0.267</v>
      </c>
      <c r="G15" s="10" t="n">
        <v>0.467</v>
      </c>
      <c r="H15" s="10" t="n">
        <v>0.2</v>
      </c>
      <c r="I15" s="11" t="n">
        <v>0.3113</v>
      </c>
    </row>
    <row r="16" ht="17" customHeight="1">
      <c r="A16" s="4" t="inlineStr">
        <is>
          <t>NIFTY ENERGY</t>
        </is>
      </c>
      <c r="B16" s="5" t="n">
        <v>40</v>
      </c>
      <c r="C16" s="5" t="n">
        <v>4</v>
      </c>
      <c r="D16" s="5" t="n">
        <v>11</v>
      </c>
      <c r="E16" s="5" t="n">
        <v>18</v>
      </c>
      <c r="F16" s="6" t="n">
        <v>0.1</v>
      </c>
      <c r="G16" s="6" t="n">
        <v>0.275</v>
      </c>
      <c r="H16" s="6" t="n">
        <v>0.45</v>
      </c>
      <c r="I16" s="7" t="n">
        <v>0.275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1</v>
      </c>
      <c r="E17" s="9" t="n">
        <v>0</v>
      </c>
      <c r="F17" s="10" t="n">
        <v>0.2</v>
      </c>
      <c r="G17" s="10" t="n">
        <v>0.1</v>
      </c>
      <c r="H17" s="10" t="n">
        <v>0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675.9</v>
      </c>
      <c r="D3" s="14" t="n">
        <v>622.54</v>
      </c>
      <c r="E3" s="14" t="n">
        <v>605.61</v>
      </c>
      <c r="F3" s="14" t="n">
        <v>647.39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1996.4</v>
      </c>
      <c r="D4" s="14" t="n">
        <v>1836.77</v>
      </c>
      <c r="E4" s="14" t="n">
        <v>1786.62</v>
      </c>
      <c r="F4" s="14" t="n">
        <v>1867.04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1057</v>
      </c>
      <c r="D5" s="14" t="n">
        <v>946.98</v>
      </c>
      <c r="E5" s="14" t="n">
        <v>919.46</v>
      </c>
      <c r="F5" s="14" t="n">
        <v>1006.34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369.95</v>
      </c>
      <c r="D6" s="14" t="n">
        <v>352.86</v>
      </c>
      <c r="E6" s="14" t="n">
        <v>343.6</v>
      </c>
      <c r="F6" s="14" t="n">
        <v>351.2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1934.4</v>
      </c>
      <c r="D7" s="14" t="n">
        <v>1745.22</v>
      </c>
      <c r="E7" s="14" t="n">
        <v>1688.3</v>
      </c>
      <c r="F7" s="14" t="n">
        <v>1656.13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2047.6</v>
      </c>
      <c r="D8" s="14" t="n">
        <v>1897.08</v>
      </c>
      <c r="E8" s="14" t="n">
        <v>1823.72</v>
      </c>
      <c r="F8" s="14" t="n">
        <v>1722.32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1668</v>
      </c>
      <c r="D9" s="14" t="n">
        <v>1528.74</v>
      </c>
      <c r="E9" s="14" t="n">
        <v>1458.91</v>
      </c>
      <c r="F9" s="14" t="n">
        <v>1480.51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607.9</v>
      </c>
      <c r="D10" s="14" t="n">
        <v>578.6</v>
      </c>
      <c r="E10" s="14" t="n">
        <v>536.36</v>
      </c>
      <c r="F10" s="14" t="n">
        <v>509.78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1442.9</v>
      </c>
      <c r="D11" s="14" t="n">
        <v>1398.9</v>
      </c>
      <c r="E11" s="14" t="n">
        <v>1386.91</v>
      </c>
      <c r="F11" s="14" t="n">
        <v>1425.86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AJANTPHARM</t>
        </is>
      </c>
      <c r="C12" s="18" t="n">
        <v>3326.3</v>
      </c>
      <c r="D12" s="18" t="n">
        <v>3207.25</v>
      </c>
      <c r="E12" s="18" t="n">
        <v>3096.57</v>
      </c>
      <c r="F12" s="18" t="n">
        <v>2869.38</v>
      </c>
      <c r="G12" s="19">
        <f>HYPERLINK("https://www.tradingview.com/chart/?symbol=NSE:AJANTPHARM","Chart 📈")</f>
        <v/>
      </c>
    </row>
    <row r="13" ht="16" customHeight="1">
      <c r="A13" s="20" t="inlineStr">
        <is>
          <t>NIFTY PHARMA</t>
        </is>
      </c>
      <c r="B13" s="17" t="inlineStr">
        <is>
          <t>ALKEM</t>
        </is>
      </c>
      <c r="C13" s="18" t="n">
        <v>5562.5</v>
      </c>
      <c r="D13" s="18" t="n">
        <v>5438.35</v>
      </c>
      <c r="E13" s="18" t="n">
        <v>5423.51</v>
      </c>
      <c r="F13" s="18" t="n">
        <v>5393.19</v>
      </c>
      <c r="G13" s="19">
        <f>HYPERLINK("https://www.tradingview.com/chart/?symbol=NSE:ALKEM","Chart 📈")</f>
        <v/>
      </c>
    </row>
    <row r="14" ht="16" customHeight="1">
      <c r="A14" s="20" t="inlineStr">
        <is>
          <t>NIFTY PHARMA</t>
        </is>
      </c>
      <c r="B14" s="17" t="inlineStr">
        <is>
          <t>AUROPHARMA</t>
        </is>
      </c>
      <c r="C14" s="18" t="n">
        <v>1620.5</v>
      </c>
      <c r="D14" s="18" t="n">
        <v>1519.38</v>
      </c>
      <c r="E14" s="18" t="n">
        <v>1466.72</v>
      </c>
      <c r="F14" s="18" t="n">
        <v>1312.94</v>
      </c>
      <c r="G14" s="19">
        <f>HYPERLINK("https://www.tradingview.com/chart/?symbol=NSE:AUROPHARMA","Chart 📈")</f>
        <v/>
      </c>
    </row>
    <row r="15" ht="16" customHeight="1">
      <c r="A15" s="20" t="inlineStr">
        <is>
          <t>NIFTY PHARMA</t>
        </is>
      </c>
      <c r="B15" s="17" t="inlineStr">
        <is>
          <t>BIOCON</t>
        </is>
      </c>
      <c r="C15" s="18" t="n">
        <v>426.8</v>
      </c>
      <c r="D15" s="18" t="n">
        <v>417.47</v>
      </c>
      <c r="E15" s="18" t="n">
        <v>408.4</v>
      </c>
      <c r="F15" s="18" t="n">
        <v>388.33</v>
      </c>
      <c r="G15" s="19">
        <f>HYPERLINK("https://www.tradingview.com/chart/?symbol=NSE:BIOCON","Chart 📈")</f>
        <v/>
      </c>
    </row>
    <row r="16" ht="16" customHeight="1">
      <c r="A16" s="20" t="inlineStr">
        <is>
          <t>NIFTY PHARMA</t>
        </is>
      </c>
      <c r="B16" s="17" t="inlineStr">
        <is>
          <t>CIPLA</t>
        </is>
      </c>
      <c r="C16" s="18" t="n">
        <v>1458.2</v>
      </c>
      <c r="D16" s="18" t="n">
        <v>1420.23</v>
      </c>
      <c r="E16" s="18" t="n">
        <v>1382.37</v>
      </c>
      <c r="F16" s="18" t="n">
        <v>1391.22</v>
      </c>
      <c r="G16" s="19">
        <f>HYPERLINK("https://www.tradingview.com/chart/?symbol=NSE:CIPLA","Chart 📈")</f>
        <v/>
      </c>
    </row>
    <row r="17" ht="16" customHeight="1">
      <c r="A17" s="20" t="inlineStr">
        <is>
          <t>NIFTY PHARMA</t>
        </is>
      </c>
      <c r="B17" s="17" t="inlineStr">
        <is>
          <t>DIVISLAB</t>
        </is>
      </c>
      <c r="C17" s="18" t="n">
        <v>6757</v>
      </c>
      <c r="D17" s="18" t="n">
        <v>6674.34</v>
      </c>
      <c r="E17" s="18" t="n">
        <v>6614.16</v>
      </c>
      <c r="F17" s="18" t="n">
        <v>6475.24</v>
      </c>
      <c r="G17" s="19">
        <f>HYPERLINK("https://www.tradingview.com/chart/?symbol=NSE:DIVISLAB","Chart 📈")</f>
        <v/>
      </c>
    </row>
    <row r="18" ht="16" customHeight="1">
      <c r="A18" s="20" t="inlineStr">
        <is>
          <t>NIFTY PHARMA</t>
        </is>
      </c>
      <c r="B18" s="17" t="inlineStr">
        <is>
          <t>DRREDDY</t>
        </is>
      </c>
      <c r="C18" s="18" t="n">
        <v>1374.1</v>
      </c>
      <c r="D18" s="18" t="n">
        <v>1322.63</v>
      </c>
      <c r="E18" s="18" t="n">
        <v>1303.35</v>
      </c>
      <c r="F18" s="18" t="n">
        <v>1278.24</v>
      </c>
      <c r="G18" s="19">
        <f>HYPERLINK("https://www.tradingview.com/chart/?symbol=NSE:DRREDDY","Chart 📈")</f>
        <v/>
      </c>
    </row>
    <row r="19" ht="16" customHeight="1">
      <c r="A19" s="20" t="inlineStr">
        <is>
          <t>NIFTY PHARMA</t>
        </is>
      </c>
      <c r="B19" s="17" t="inlineStr">
        <is>
          <t>GLAND</t>
        </is>
      </c>
      <c r="C19" s="18" t="n">
        <v>2462.3</v>
      </c>
      <c r="D19" s="18" t="n">
        <v>2323.52</v>
      </c>
      <c r="E19" s="18" t="n">
        <v>2177.37</v>
      </c>
      <c r="F19" s="18" t="n">
        <v>1945.05</v>
      </c>
      <c r="G19" s="19">
        <f>HYPERLINK("https://www.tradingview.com/chart/?symbol=NSE:GLAND","Chart 📈")</f>
        <v/>
      </c>
    </row>
    <row r="20" ht="16" customHeight="1">
      <c r="A20" s="20" t="inlineStr">
        <is>
          <t>NIFTY PHARMA</t>
        </is>
      </c>
      <c r="B20" s="17" t="inlineStr">
        <is>
          <t>GRANULES</t>
        </is>
      </c>
      <c r="C20" s="18" t="n">
        <v>833.8</v>
      </c>
      <c r="D20" s="18" t="n">
        <v>786.85</v>
      </c>
      <c r="E20" s="18" t="n">
        <v>751.39</v>
      </c>
      <c r="F20" s="18" t="n">
        <v>642.71</v>
      </c>
      <c r="G20" s="19">
        <f>HYPERLINK("https://www.tradingview.com/chart/?symbol=NSE:GRANULES","Chart 📈")</f>
        <v/>
      </c>
    </row>
    <row r="21" ht="16" customHeight="1">
      <c r="A21" s="20" t="inlineStr">
        <is>
          <t>NIFTY PHARMA</t>
        </is>
      </c>
      <c r="B21" s="17" t="inlineStr">
        <is>
          <t>IPCALAB</t>
        </is>
      </c>
      <c r="C21" s="18" t="n">
        <v>1778.9</v>
      </c>
      <c r="D21" s="18" t="n">
        <v>1639.06</v>
      </c>
      <c r="E21" s="18" t="n">
        <v>1594.22</v>
      </c>
      <c r="F21" s="18" t="n">
        <v>1504.26</v>
      </c>
      <c r="G21" s="19">
        <f>HYPERLINK("https://www.tradingview.com/chart/?symbol=NSE:IPCALAB","Chart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2364.6</v>
      </c>
      <c r="D22" s="18" t="n">
        <v>2247.08</v>
      </c>
      <c r="E22" s="18" t="n">
        <v>2177.8</v>
      </c>
      <c r="F22" s="18" t="n">
        <v>1973.4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1542.3</v>
      </c>
      <c r="D23" s="18" t="n">
        <v>1449.53</v>
      </c>
      <c r="E23" s="18" t="n">
        <v>1354.63</v>
      </c>
      <c r="F23" s="18" t="n">
        <v>1124.07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LUPIN</t>
        </is>
      </c>
      <c r="C24" s="18" t="n">
        <v>2476</v>
      </c>
      <c r="D24" s="18" t="n">
        <v>2355</v>
      </c>
      <c r="E24" s="18" t="n">
        <v>2319.14</v>
      </c>
      <c r="F24" s="18" t="n">
        <v>2203.61</v>
      </c>
      <c r="G24" s="19">
        <f>HYPERLINK("https://www.tradingview.com/chart/?symbol=NSE:LUPIN","Chart 📈")</f>
        <v/>
      </c>
    </row>
    <row r="25" ht="16" customHeight="1">
      <c r="A25" s="20" t="inlineStr">
        <is>
          <t>NIFTY PHARMA</t>
        </is>
      </c>
      <c r="B25" s="17" t="inlineStr">
        <is>
          <t>MANKIND</t>
        </is>
      </c>
      <c r="C25" s="18" t="n">
        <v>2528.6</v>
      </c>
      <c r="D25" s="18" t="n">
        <v>2457.3</v>
      </c>
      <c r="E25" s="18" t="n">
        <v>2389.14</v>
      </c>
      <c r="F25" s="18" t="n">
        <v>2306.35</v>
      </c>
      <c r="G25" s="19">
        <f>HYPERLINK("https://www.tradingview.com/chart/?symbol=NSE:MANKIND","Chart 📈")</f>
        <v/>
      </c>
    </row>
    <row r="26" ht="16" customHeight="1">
      <c r="A26" s="20" t="inlineStr">
        <is>
          <t>NIFTY PHARMA</t>
        </is>
      </c>
      <c r="B26" s="17" t="inlineStr">
        <is>
          <t>SUNPHARMA</t>
        </is>
      </c>
      <c r="C26" s="18" t="n">
        <v>1904.8</v>
      </c>
      <c r="D26" s="18" t="n">
        <v>1850.42</v>
      </c>
      <c r="E26" s="18" t="n">
        <v>1822.38</v>
      </c>
      <c r="F26" s="18" t="n">
        <v>1752.93</v>
      </c>
      <c r="G26" s="19">
        <f>HYPERLINK("https://www.tradingview.com/chart/?symbol=NSE:SUNPHARMA","Chart 📈")</f>
        <v/>
      </c>
    </row>
    <row r="27" ht="16" customHeight="1">
      <c r="A27" s="20" t="inlineStr">
        <is>
          <t>NIFTY PHARMA</t>
        </is>
      </c>
      <c r="B27" s="17" t="inlineStr">
        <is>
          <t>TORNTPHARM</t>
        </is>
      </c>
      <c r="C27" s="18" t="n">
        <v>4768.3</v>
      </c>
      <c r="D27" s="18" t="n">
        <v>4548.86</v>
      </c>
      <c r="E27" s="18" t="n">
        <v>4442.15</v>
      </c>
      <c r="F27" s="18" t="n">
        <v>4088.65</v>
      </c>
      <c r="G27" s="19">
        <f>HYPERLINK("https://www.tradingview.com/chart/?symbol=NSE:TORNTPHARM","Chart 📈")</f>
        <v/>
      </c>
    </row>
    <row r="28" ht="16" customHeight="1">
      <c r="A28" s="20" t="inlineStr">
        <is>
          <t>NIFTY PHARMA</t>
        </is>
      </c>
      <c r="B28" s="17" t="inlineStr">
        <is>
          <t>ZYDUSLIFE</t>
        </is>
      </c>
      <c r="C28" s="18" t="n">
        <v>1140.6</v>
      </c>
      <c r="D28" s="18" t="n">
        <v>1095.48</v>
      </c>
      <c r="E28" s="18" t="n">
        <v>1049.6</v>
      </c>
      <c r="F28" s="18" t="n">
        <v>979.24</v>
      </c>
      <c r="G28" s="19">
        <f>HYPERLINK("https://www.tradingview.com/chart/?symbol=NSE:ZYDUSLIFE","Chart 📈")</f>
        <v/>
      </c>
    </row>
    <row r="29" ht="16" customHeight="1">
      <c r="A29" s="12" t="inlineStr">
        <is>
          <t>NIFTY AUTO</t>
        </is>
      </c>
      <c r="B29" s="13" t="inlineStr">
        <is>
          <t>APOLLOTYRE</t>
        </is>
      </c>
      <c r="C29" s="14" t="n">
        <v>448.5</v>
      </c>
      <c r="D29" s="14" t="n">
        <v>423.53</v>
      </c>
      <c r="E29" s="14" t="n">
        <v>416.78</v>
      </c>
      <c r="F29" s="14" t="n">
        <v>443.6</v>
      </c>
      <c r="G29" s="15">
        <f>HYPERLINK("https://www.tradingview.com/chart/?symbol=NSE:APOLLOTYRE","Chart 📈")</f>
        <v/>
      </c>
    </row>
    <row r="30" ht="16" customHeight="1">
      <c r="A30" s="16" t="inlineStr">
        <is>
          <t>NIFTY AUTO</t>
        </is>
      </c>
      <c r="B30" s="13" t="inlineStr">
        <is>
          <t>ASHOKLEY</t>
        </is>
      </c>
      <c r="C30" s="14" t="n">
        <v>164.35</v>
      </c>
      <c r="D30" s="14" t="n">
        <v>157.38</v>
      </c>
      <c r="E30" s="14" t="n">
        <v>158.06</v>
      </c>
      <c r="F30" s="14" t="n">
        <v>158.39</v>
      </c>
      <c r="G30" s="15">
        <f>HYPERLINK("https://www.tradingview.com/chart/?symbol=NSE:ASHOKLEY","Chart 📈")</f>
        <v/>
      </c>
    </row>
    <row r="31" ht="16" customHeight="1">
      <c r="A31" s="16" t="inlineStr">
        <is>
          <t>NIFTY AUTO</t>
        </is>
      </c>
      <c r="B31" s="13" t="inlineStr">
        <is>
          <t>BHARATFORG</t>
        </is>
      </c>
      <c r="C31" s="14" t="n">
        <v>2136.7</v>
      </c>
      <c r="D31" s="14" t="n">
        <v>2068.99</v>
      </c>
      <c r="E31" s="14" t="n">
        <v>1976.08</v>
      </c>
      <c r="F31" s="14" t="n">
        <v>1692.97</v>
      </c>
      <c r="G31" s="15">
        <f>HYPERLINK("https://www.tradingview.com/chart/?symbol=NSE:BHARATFORG","Chart 📈")</f>
        <v/>
      </c>
    </row>
    <row r="32" ht="16" customHeight="1">
      <c r="A32" s="16" t="inlineStr">
        <is>
          <t>NIFTY AUTO</t>
        </is>
      </c>
      <c r="B32" s="13" t="inlineStr">
        <is>
          <t>BOSCHLTD</t>
        </is>
      </c>
      <c r="C32" s="14" t="n">
        <v>41895</v>
      </c>
      <c r="D32" s="14" t="n">
        <v>39658.79</v>
      </c>
      <c r="E32" s="14" t="n">
        <v>38098.93</v>
      </c>
      <c r="F32" s="14" t="n">
        <v>36598.62</v>
      </c>
      <c r="G32" s="15">
        <f>HYPERLINK("https://www.tradingview.com/chart/?symbol=NSE:BOSCHLTD","Chart 📈")</f>
        <v/>
      </c>
    </row>
    <row r="33" ht="16" customHeight="1">
      <c r="A33" s="16" t="inlineStr">
        <is>
          <t>NIFTY AUTO</t>
        </is>
      </c>
      <c r="B33" s="13" t="inlineStr">
        <is>
          <t>EXIDEIND</t>
        </is>
      </c>
      <c r="C33" s="14" t="n">
        <v>416.6</v>
      </c>
      <c r="D33" s="14" t="n">
        <v>390.12</v>
      </c>
      <c r="E33" s="14" t="n">
        <v>374.14</v>
      </c>
      <c r="F33" s="14" t="n">
        <v>360.56</v>
      </c>
      <c r="G33" s="15">
        <f>HYPERLINK("https://www.tradingview.com/chart/?symbol=NSE:EXIDEIND","Chart 📈")</f>
        <v/>
      </c>
    </row>
    <row r="34" ht="16" customHeight="1">
      <c r="A34" s="16" t="inlineStr">
        <is>
          <t>NIFTY AUTO</t>
        </is>
      </c>
      <c r="B34" s="13" t="inlineStr">
        <is>
          <t>MARUTI</t>
        </is>
      </c>
      <c r="C34" s="14" t="n">
        <v>14366</v>
      </c>
      <c r="D34" s="14" t="n">
        <v>13703.8</v>
      </c>
      <c r="E34" s="14" t="n">
        <v>13524.61</v>
      </c>
      <c r="F34" s="14" t="n">
        <v>14000.37</v>
      </c>
      <c r="G34" s="15">
        <f>HYPERLINK("https://www.tradingview.com/chart/?symbol=NSE:MARUTI","Chart 📈")</f>
        <v/>
      </c>
    </row>
    <row r="35" ht="16" customHeight="1">
      <c r="A35" s="16" t="inlineStr">
        <is>
          <t>NIFTY AUTO</t>
        </is>
      </c>
      <c r="B35" s="13" t="inlineStr">
        <is>
          <t>MOTHERSON</t>
        </is>
      </c>
      <c r="C35" s="14" t="n">
        <v>146.3</v>
      </c>
      <c r="D35" s="14" t="n">
        <v>145.7</v>
      </c>
      <c r="E35" s="14" t="n">
        <v>139.18</v>
      </c>
      <c r="F35" s="14" t="n">
        <v>123.47</v>
      </c>
      <c r="G35" s="15">
        <f>HYPERLINK("https://www.tradingview.com/chart/?symbol=NSE:MOTHERSON","Chart 📈")</f>
        <v/>
      </c>
    </row>
    <row r="36" ht="16" customHeight="1">
      <c r="A36" s="16" t="inlineStr">
        <is>
          <t>NIFTY AUTO</t>
        </is>
      </c>
      <c r="B36" s="13" t="inlineStr">
        <is>
          <t>TVSMOTOR</t>
        </is>
      </c>
      <c r="C36" s="14" t="n">
        <v>3627.4</v>
      </c>
      <c r="D36" s="14" t="n">
        <v>3484.84</v>
      </c>
      <c r="E36" s="14" t="n">
        <v>3481.17</v>
      </c>
      <c r="F36" s="14" t="n">
        <v>3469.55</v>
      </c>
      <c r="G36" s="15">
        <f>HYPERLINK("https://www.tradingview.com/chart/?symbol=NSE:TVSMOTOR","Chart 📈")</f>
        <v/>
      </c>
    </row>
    <row r="37" ht="16" customHeight="1">
      <c r="A37" s="8" t="inlineStr">
        <is>
          <t>NIFTY FMCG</t>
        </is>
      </c>
      <c r="B37" s="17" t="inlineStr">
        <is>
          <t>BALRAMCHIN</t>
        </is>
      </c>
      <c r="C37" s="18" t="n">
        <v>562.45</v>
      </c>
      <c r="D37" s="18" t="n">
        <v>543.92</v>
      </c>
      <c r="E37" s="18" t="n">
        <v>532.22</v>
      </c>
      <c r="F37" s="18" t="n">
        <v>508.4</v>
      </c>
      <c r="G37" s="19">
        <f>HYPERLINK("https://www.tradingview.com/chart/?symbol=NSE:BALRAMCHIN","Chart 📈")</f>
        <v/>
      </c>
    </row>
    <row r="38" ht="16" customHeight="1">
      <c r="A38" s="20" t="inlineStr">
        <is>
          <t>NIFTY FMCG</t>
        </is>
      </c>
      <c r="B38" s="17" t="inlineStr">
        <is>
          <t>MARICO</t>
        </is>
      </c>
      <c r="C38" s="18" t="n">
        <v>838.55</v>
      </c>
      <c r="D38" s="18" t="n">
        <v>828.1900000000001</v>
      </c>
      <c r="E38" s="18" t="n">
        <v>814.7</v>
      </c>
      <c r="F38" s="18" t="n">
        <v>772.4400000000001</v>
      </c>
      <c r="G38" s="19">
        <f>HYPERLINK("https://www.tradingview.com/chart/?symbol=NSE:MARICO","Chart 📈")</f>
        <v/>
      </c>
    </row>
    <row r="39" ht="16" customHeight="1">
      <c r="A39" s="20" t="inlineStr">
        <is>
          <t>NIFTY FMCG</t>
        </is>
      </c>
      <c r="B39" s="17" t="inlineStr">
        <is>
          <t>NESTLEIND</t>
        </is>
      </c>
      <c r="C39" s="18" t="n">
        <v>1459.8</v>
      </c>
      <c r="D39" s="18" t="n">
        <v>1414.69</v>
      </c>
      <c r="E39" s="18" t="n">
        <v>1396.95</v>
      </c>
      <c r="F39" s="18" t="n">
        <v>1312.6</v>
      </c>
      <c r="G39" s="19">
        <f>HYPERLINK("https://www.tradingview.com/chart/?symbol=NSE:NESTLEIND","Chart 📈")</f>
        <v/>
      </c>
    </row>
    <row r="40" ht="16" customHeight="1">
      <c r="A40" s="20" t="inlineStr">
        <is>
          <t>NIFTY FMCG</t>
        </is>
      </c>
      <c r="B40" s="17" t="inlineStr">
        <is>
          <t>RADICO</t>
        </is>
      </c>
      <c r="C40" s="18" t="n">
        <v>3892.3</v>
      </c>
      <c r="D40" s="18" t="n">
        <v>3753.97</v>
      </c>
      <c r="E40" s="18" t="n">
        <v>3546.62</v>
      </c>
      <c r="F40" s="18" t="n">
        <v>3156.45</v>
      </c>
      <c r="G40" s="19">
        <f>HYPERLINK("https://www.tradingview.com/chart/?symbol=NSE:RADICO","Chart 📈")</f>
        <v/>
      </c>
    </row>
    <row r="41" ht="16" customHeight="1">
      <c r="A41" s="20" t="inlineStr">
        <is>
          <t>NIFTY FMCG</t>
        </is>
      </c>
      <c r="B41" s="17" t="inlineStr">
        <is>
          <t>UNITDSPR</t>
        </is>
      </c>
      <c r="C41" s="18" t="n">
        <v>1393.3</v>
      </c>
      <c r="D41" s="18" t="n">
        <v>1336.25</v>
      </c>
      <c r="E41" s="18" t="n">
        <v>1316.8</v>
      </c>
      <c r="F41" s="18" t="n">
        <v>1334.52</v>
      </c>
      <c r="G41" s="19">
        <f>HYPERLINK("https://www.tradingview.com/chart/?symbol=NSE:UNITDSPR","Chart 📈")</f>
        <v/>
      </c>
    </row>
    <row r="42" ht="16" customHeight="1">
      <c r="A42" s="12" t="inlineStr">
        <is>
          <t>NIFTY MEDIA</t>
        </is>
      </c>
      <c r="B42" s="13" t="inlineStr">
        <is>
          <t>NAZARA</t>
        </is>
      </c>
      <c r="C42" s="14" t="n">
        <v>305.65</v>
      </c>
      <c r="D42" s="14" t="n">
        <v>295.97</v>
      </c>
      <c r="E42" s="14" t="n">
        <v>285.12</v>
      </c>
      <c r="F42" s="14" t="n">
        <v>279.55</v>
      </c>
      <c r="G42" s="15">
        <f>HYPERLINK("https://www.tradingview.com/chart/?symbol=NSE:NAZARA","Chart 📈")</f>
        <v/>
      </c>
    </row>
    <row r="43" ht="16" customHeight="1">
      <c r="A43" s="16" t="inlineStr">
        <is>
          <t>NIFTY MEDIA</t>
        </is>
      </c>
      <c r="B43" s="13" t="inlineStr">
        <is>
          <t>SAREGAMA</t>
        </is>
      </c>
      <c r="C43" s="14" t="n">
        <v>485.75</v>
      </c>
      <c r="D43" s="14" t="n">
        <v>470.24</v>
      </c>
      <c r="E43" s="14" t="n">
        <v>433.23</v>
      </c>
      <c r="F43" s="14" t="n">
        <v>404.66</v>
      </c>
      <c r="G43" s="15">
        <f>HYPERLINK("https://www.tradingview.com/chart/?symbol=NSE:SAREGAMA","Chart 📈")</f>
        <v/>
      </c>
    </row>
    <row r="44" ht="16" customHeight="1">
      <c r="A44" s="16" t="inlineStr">
        <is>
          <t>NIFTY MEDIA</t>
        </is>
      </c>
      <c r="B44" s="13" t="inlineStr">
        <is>
          <t>TIPSMUSIC</t>
        </is>
      </c>
      <c r="C44" s="14" t="n">
        <v>684.65</v>
      </c>
      <c r="D44" s="14" t="n">
        <v>651.02</v>
      </c>
      <c r="E44" s="14" t="n">
        <v>637.91</v>
      </c>
      <c r="F44" s="14" t="n">
        <v>594.86</v>
      </c>
      <c r="G44" s="15">
        <f>HYPERLINK("https://www.tradingview.com/chart/?symbol=NSE:TIPSMUSIC","Chart 📈")</f>
        <v/>
      </c>
    </row>
    <row r="45" ht="16" customHeight="1">
      <c r="A45" s="8" t="inlineStr">
        <is>
          <t>NIFTY FINANCIAL SERVICES</t>
        </is>
      </c>
      <c r="B45" s="17" t="inlineStr">
        <is>
          <t>BAJAJFINSV</t>
        </is>
      </c>
      <c r="C45" s="18" t="n">
        <v>1895.6</v>
      </c>
      <c r="D45" s="18" t="n">
        <v>1780.63</v>
      </c>
      <c r="E45" s="18" t="n">
        <v>1775.55</v>
      </c>
      <c r="F45" s="18" t="n">
        <v>1873.92</v>
      </c>
      <c r="G45" s="19">
        <f>HYPERLINK("https://www.tradingview.com/chart/?symbol=NSE:BAJAJFINSV","Chart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BAJFINANCE</t>
        </is>
      </c>
      <c r="C46" s="18" t="n">
        <v>1031.4</v>
      </c>
      <c r="D46" s="18" t="n">
        <v>967.0700000000001</v>
      </c>
      <c r="E46" s="18" t="n">
        <v>939.59</v>
      </c>
      <c r="F46" s="18" t="n">
        <v>938.48</v>
      </c>
      <c r="G46" s="19">
        <f>HYPERLINK("https://www.tradingview.com/chart/?symbol=NSE:BAJFINANCE","Chart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CHOLAFIN</t>
        </is>
      </c>
      <c r="C47" s="18" t="n">
        <v>1789.8</v>
      </c>
      <c r="D47" s="18" t="n">
        <v>1709.05</v>
      </c>
      <c r="E47" s="18" t="n">
        <v>1638.08</v>
      </c>
      <c r="F47" s="18" t="n">
        <v>1608.44</v>
      </c>
      <c r="G47" s="19">
        <f>HYPERLINK("https://www.tradingview.com/chart/?symbol=NSE:CHOLAFIN","Chart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HDFCAMC</t>
        </is>
      </c>
      <c r="C48" s="18" t="n">
        <v>2800.2</v>
      </c>
      <c r="D48" s="18" t="n">
        <v>2660.63</v>
      </c>
      <c r="E48" s="18" t="n">
        <v>2622.03</v>
      </c>
      <c r="F48" s="18" t="n">
        <v>2592.65</v>
      </c>
      <c r="G48" s="19">
        <f>HYPERLINK("https://www.tradingview.com/chart/?symbol=NSE:HDFCAMC","Chart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ICICIBANK</t>
        </is>
      </c>
      <c r="C49" s="18" t="n">
        <v>1411.4</v>
      </c>
      <c r="D49" s="18" t="n">
        <v>1353.06</v>
      </c>
      <c r="E49" s="18" t="n">
        <v>1321.16</v>
      </c>
      <c r="F49" s="18" t="n">
        <v>1340.15</v>
      </c>
      <c r="G49" s="19">
        <f>HYPERLINK("https://www.tradingview.com/chart/?symbol=NSE:ICICIBANK","Chart 📈")</f>
        <v/>
      </c>
    </row>
    <row r="50" ht="16" customHeight="1">
      <c r="A50" s="20" t="inlineStr">
        <is>
          <t>NIFTY FINANCIAL SERVICES</t>
        </is>
      </c>
      <c r="B50" s="17" t="inlineStr">
        <is>
          <t>LICHSGFIN</t>
        </is>
      </c>
      <c r="C50" s="18" t="n">
        <v>553.7</v>
      </c>
      <c r="D50" s="18" t="n">
        <v>551.6900000000001</v>
      </c>
      <c r="E50" s="18" t="n">
        <v>547.67</v>
      </c>
      <c r="F50" s="18" t="n">
        <v>547.65</v>
      </c>
      <c r="G50" s="19">
        <f>HYPERLINK("https://www.tradingview.com/chart/?symbol=NSE:LICHSGFIN","Chart 📈")</f>
        <v/>
      </c>
    </row>
    <row r="51" ht="16" customHeight="1">
      <c r="A51" s="20" t="inlineStr">
        <is>
          <t>NIFTY FINANCIAL SERVICES</t>
        </is>
      </c>
      <c r="B51" s="17" t="inlineStr">
        <is>
          <t>RECLTD</t>
        </is>
      </c>
      <c r="C51" s="18" t="n">
        <v>365.15</v>
      </c>
      <c r="D51" s="18" t="n">
        <v>359.28</v>
      </c>
      <c r="E51" s="18" t="n">
        <v>353.06</v>
      </c>
      <c r="F51" s="18" t="n">
        <v>353.5</v>
      </c>
      <c r="G51" s="19">
        <f>HYPERLINK("https://www.tradingview.com/chart/?symbol=NSE:RECLTD","Chart 📈")</f>
        <v/>
      </c>
    </row>
    <row r="52" ht="16" customHeight="1">
      <c r="A52" s="20" t="inlineStr">
        <is>
          <t>NIFTY FINANCIAL SERVICES</t>
        </is>
      </c>
      <c r="B52" s="17" t="inlineStr">
        <is>
          <t>SHRIRAMFIN</t>
        </is>
      </c>
      <c r="C52" s="18" t="n">
        <v>1063.6</v>
      </c>
      <c r="D52" s="18" t="n">
        <v>1003.91</v>
      </c>
      <c r="E52" s="18" t="n">
        <v>978.74</v>
      </c>
      <c r="F52" s="18" t="n">
        <v>906.6799999999999</v>
      </c>
      <c r="G52" s="19">
        <f>HYPERLINK("https://www.tradingview.com/chart/?symbol=NSE:SHRIRAMFIN","Chart 📈")</f>
        <v/>
      </c>
    </row>
    <row r="53" ht="16" customHeight="1">
      <c r="A53" s="12" t="inlineStr">
        <is>
          <t>NIFTY MIDSMALL IT &amp; TELECOM</t>
        </is>
      </c>
      <c r="B53" s="13" t="inlineStr">
        <is>
          <t>HFCL</t>
        </is>
      </c>
      <c r="C53" s="14" t="n">
        <v>214.48</v>
      </c>
      <c r="D53" s="14" t="n">
        <v>198.76</v>
      </c>
      <c r="E53" s="14" t="n">
        <v>170.4</v>
      </c>
      <c r="F53" s="14" t="n">
        <v>113.46</v>
      </c>
      <c r="G53" s="15">
        <f>HYPERLINK("https://www.tradingview.com/chart/?symbol=NSE:HFCL","Chart 📈")</f>
        <v/>
      </c>
    </row>
    <row r="54" ht="16" customHeight="1">
      <c r="A54" s="16" t="inlineStr">
        <is>
          <t>NIFTY MIDSMALL IT &amp; TELECOM</t>
        </is>
      </c>
      <c r="B54" s="13" t="inlineStr">
        <is>
          <t>OFSS</t>
        </is>
      </c>
      <c r="C54" s="14" t="n">
        <v>11248</v>
      </c>
      <c r="D54" s="14" t="n">
        <v>10335.98</v>
      </c>
      <c r="E54" s="14" t="n">
        <v>9640.059999999999</v>
      </c>
      <c r="F54" s="14" t="n">
        <v>8489.959999999999</v>
      </c>
      <c r="G54" s="15">
        <f>HYPERLINK("https://www.tradingview.com/chart/?symbol=NSE:OFSS","Chart 📈")</f>
        <v/>
      </c>
    </row>
    <row r="55" ht="16" customHeight="1">
      <c r="A55" s="16" t="inlineStr">
        <is>
          <t>NIFTY MIDSMALL IT &amp; TELECOM</t>
        </is>
      </c>
      <c r="B55" s="13" t="inlineStr">
        <is>
          <t>TANLA</t>
        </is>
      </c>
      <c r="C55" s="14" t="n">
        <v>539.05</v>
      </c>
      <c r="D55" s="14" t="n">
        <v>524.79</v>
      </c>
      <c r="E55" s="14" t="n">
        <v>515.42</v>
      </c>
      <c r="F55" s="14" t="n">
        <v>528.0599999999999</v>
      </c>
      <c r="G55" s="15">
        <f>HYPERLINK("https://www.tradingview.com/chart/?symbol=NSE:TANLA","Chart 📈")</f>
        <v/>
      </c>
    </row>
    <row r="56" ht="16" customHeight="1">
      <c r="A56" s="16" t="inlineStr">
        <is>
          <t>NIFTY MIDSMALL IT &amp; TELECOM</t>
        </is>
      </c>
      <c r="B56" s="13" t="inlineStr">
        <is>
          <t>TEJASNET</t>
        </is>
      </c>
      <c r="C56" s="14" t="n">
        <v>593.6</v>
      </c>
      <c r="D56" s="14" t="n">
        <v>591.59</v>
      </c>
      <c r="E56" s="14" t="n">
        <v>541.77</v>
      </c>
      <c r="F56" s="14" t="n">
        <v>506.67</v>
      </c>
      <c r="G56" s="15">
        <f>HYPERLINK("https://www.tradingview.com/chart/?symbol=NSE:TEJASNET","Chart 📈")</f>
        <v/>
      </c>
    </row>
    <row r="57" ht="16" customHeight="1">
      <c r="A57" s="8" t="inlineStr">
        <is>
          <t>NIFTY PSU BANK</t>
        </is>
      </c>
      <c r="B57" s="17" t="inlineStr">
        <is>
          <t>BANKINDIA</t>
        </is>
      </c>
      <c r="C57" s="18" t="n">
        <v>144.05</v>
      </c>
      <c r="D57" s="18" t="n">
        <v>143.46</v>
      </c>
      <c r="E57" s="18" t="n">
        <v>142.71</v>
      </c>
      <c r="F57" s="18" t="n">
        <v>139</v>
      </c>
      <c r="G57" s="19">
        <f>HYPERLINK("https://www.tradingview.com/chart/?symbol=NSE:BANKINDIA","Chart 📈")</f>
        <v/>
      </c>
    </row>
    <row r="58" ht="16" customHeight="1">
      <c r="A58" s="20" t="inlineStr">
        <is>
          <t>NIFTY PSU BANK</t>
        </is>
      </c>
      <c r="B58" s="17" t="inlineStr">
        <is>
          <t>MAHABANK</t>
        </is>
      </c>
      <c r="C58" s="18" t="n">
        <v>88.53</v>
      </c>
      <c r="D58" s="18" t="n">
        <v>87.86</v>
      </c>
      <c r="E58" s="18" t="n">
        <v>82.72</v>
      </c>
      <c r="F58" s="18" t="n">
        <v>69.95</v>
      </c>
      <c r="G58" s="19">
        <f>HYPERLINK("https://www.tradingview.com/chart/?symbol=NSE:MAHABANK","Chart 📈")</f>
        <v/>
      </c>
    </row>
    <row r="59" ht="16" customHeight="1">
      <c r="A59" s="20" t="inlineStr">
        <is>
          <t>NIFTY PSU BANK</t>
        </is>
      </c>
      <c r="B59" s="17" t="inlineStr">
        <is>
          <t>SBIN</t>
        </is>
      </c>
      <c r="C59" s="18" t="n">
        <v>1040</v>
      </c>
      <c r="D59" s="18" t="n">
        <v>1026.65</v>
      </c>
      <c r="E59" s="18" t="n">
        <v>1018.86</v>
      </c>
      <c r="F59" s="18" t="n">
        <v>985.25</v>
      </c>
      <c r="G59" s="19">
        <f>HYPERLINK("https://www.tradingview.com/chart/?symbol=NSE:SBIN","Chart 📈")</f>
        <v/>
      </c>
    </row>
    <row r="60" ht="16" customHeight="1">
      <c r="A60" s="12" t="inlineStr">
        <is>
          <t>NIFTY CONSUMER DURABLES</t>
        </is>
      </c>
      <c r="B60" s="13" t="inlineStr">
        <is>
          <t>CENTURYPLY</t>
        </is>
      </c>
      <c r="C60" s="14" t="n">
        <v>775.1</v>
      </c>
      <c r="D60" s="14" t="n">
        <v>755.09</v>
      </c>
      <c r="E60" s="14" t="n">
        <v>756.71</v>
      </c>
      <c r="F60" s="14" t="n">
        <v>758.0700000000001</v>
      </c>
      <c r="G60" s="15">
        <f>HYPERLINK("https://www.tradingview.com/chart/?symbol=NSE:CENTURYPLY","Chart 📈")</f>
        <v/>
      </c>
    </row>
    <row r="61" ht="16" customHeight="1">
      <c r="A61" s="16" t="inlineStr">
        <is>
          <t>NIFTY CONSUMER DURABLES</t>
        </is>
      </c>
      <c r="B61" s="13" t="inlineStr">
        <is>
          <t>CERA</t>
        </is>
      </c>
      <c r="C61" s="14" t="n">
        <v>6460</v>
      </c>
      <c r="D61" s="14" t="n">
        <v>6248.74</v>
      </c>
      <c r="E61" s="14" t="n">
        <v>5910.57</v>
      </c>
      <c r="F61" s="14" t="n">
        <v>5686.88</v>
      </c>
      <c r="G61" s="15">
        <f>HYPERLINK("https://www.tradingview.com/chart/?symbol=NSE:CERA","Chart 📈")</f>
        <v/>
      </c>
    </row>
    <row r="62" ht="16" customHeight="1">
      <c r="A62" s="16" t="inlineStr">
        <is>
          <t>NIFTY CONSUMER DURABLES</t>
        </is>
      </c>
      <c r="B62" s="13" t="inlineStr">
        <is>
          <t>DIXON</t>
        </is>
      </c>
      <c r="C62" s="14" t="n">
        <v>12456</v>
      </c>
      <c r="D62" s="14" t="n">
        <v>12005.87</v>
      </c>
      <c r="E62" s="14" t="n">
        <v>11665.54</v>
      </c>
      <c r="F62" s="14" t="n">
        <v>12403.59</v>
      </c>
      <c r="G62" s="15">
        <f>HYPERLINK("https://www.tradingview.com/chart/?symbol=NSE:DIXON","Chart 📈")</f>
        <v/>
      </c>
    </row>
    <row r="63" ht="16" customHeight="1">
      <c r="A63" s="16" t="inlineStr">
        <is>
          <t>NIFTY CONSUMER DURABLES</t>
        </is>
      </c>
      <c r="B63" s="13" t="inlineStr">
        <is>
          <t>KAJARIACER</t>
        </is>
      </c>
      <c r="C63" s="14" t="n">
        <v>1202.3</v>
      </c>
      <c r="D63" s="14" t="n">
        <v>1167.27</v>
      </c>
      <c r="E63" s="14" t="n">
        <v>1125.74</v>
      </c>
      <c r="F63" s="14" t="n">
        <v>1087.76</v>
      </c>
      <c r="G63" s="15">
        <f>HYPERLINK("https://www.tradingview.com/chart/?symbol=NSE:KAJARIACER","Chart 📈")</f>
        <v/>
      </c>
    </row>
    <row r="64" ht="16" customHeight="1">
      <c r="A64" s="16" t="inlineStr">
        <is>
          <t>NIFTY CONSUMER DURABLES</t>
        </is>
      </c>
      <c r="B64" s="13" t="inlineStr">
        <is>
          <t>TITAN</t>
        </is>
      </c>
      <c r="C64" s="14" t="n">
        <v>4461.1</v>
      </c>
      <c r="D64" s="14" t="n">
        <v>4322.66</v>
      </c>
      <c r="E64" s="14" t="n">
        <v>4267.16</v>
      </c>
      <c r="F64" s="14" t="n">
        <v>4080.52</v>
      </c>
      <c r="G64" s="15">
        <f>HYPERLINK("https://www.tradingview.com/chart/?symbol=NSE:TITAN","Chart 📈")</f>
        <v/>
      </c>
    </row>
    <row r="65" ht="16" customHeight="1">
      <c r="A65" s="8" t="inlineStr">
        <is>
          <t>NIFTY METAL</t>
        </is>
      </c>
      <c r="B65" s="17" t="inlineStr">
        <is>
          <t>ADANIENT</t>
        </is>
      </c>
      <c r="C65" s="18" t="n">
        <v>3212.1</v>
      </c>
      <c r="D65" s="18" t="n">
        <v>3020.86</v>
      </c>
      <c r="E65" s="18" t="n">
        <v>2815.54</v>
      </c>
      <c r="F65" s="18" t="n">
        <v>2488.64</v>
      </c>
      <c r="G65" s="19">
        <f>HYPERLINK("https://www.tradingview.com/chart/?symbol=NSE:ADANIENT","Chart 📈")</f>
        <v/>
      </c>
    </row>
    <row r="66" ht="16" customHeight="1">
      <c r="A66" s="20" t="inlineStr">
        <is>
          <t>NIFTY METAL</t>
        </is>
      </c>
      <c r="B66" s="17" t="inlineStr">
        <is>
          <t>WELCORP</t>
        </is>
      </c>
      <c r="C66" s="18" t="n">
        <v>1439.3</v>
      </c>
      <c r="D66" s="18" t="n">
        <v>1427.57</v>
      </c>
      <c r="E66" s="18" t="n">
        <v>1327.35</v>
      </c>
      <c r="F66" s="18" t="n">
        <v>1061.1</v>
      </c>
      <c r="G66" s="19">
        <f>HYPERLINK("https://www.tradingview.com/chart/?symbol=NSE:WELCORP","Chart 📈")</f>
        <v/>
      </c>
    </row>
    <row r="67" ht="16" customHeight="1">
      <c r="A67" s="12" t="inlineStr">
        <is>
          <t>NIFTY BANK</t>
        </is>
      </c>
      <c r="B67" s="13" t="inlineStr">
        <is>
          <t>AUBANK</t>
        </is>
      </c>
      <c r="C67" s="14" t="n">
        <v>1058.4</v>
      </c>
      <c r="D67" s="14" t="n">
        <v>1028.75</v>
      </c>
      <c r="E67" s="14" t="n">
        <v>1008.02</v>
      </c>
      <c r="F67" s="14" t="n">
        <v>947.29</v>
      </c>
      <c r="G67" s="15">
        <f>HYPERLINK("https://www.tradingview.com/chart/?symbol=NSE:AUBANK","Chart 📈")</f>
        <v/>
      </c>
    </row>
    <row r="68" ht="16" customHeight="1">
      <c r="A68" s="16" t="inlineStr">
        <is>
          <t>NIFTY BANK</t>
        </is>
      </c>
      <c r="B68" s="13" t="inlineStr">
        <is>
          <t>FEDERALBNK</t>
        </is>
      </c>
      <c r="C68" s="14" t="n">
        <v>327.4</v>
      </c>
      <c r="D68" s="14" t="n">
        <v>319.96</v>
      </c>
      <c r="E68" s="14" t="n">
        <v>306.71</v>
      </c>
      <c r="F68" s="14" t="n">
        <v>273.76</v>
      </c>
      <c r="G68" s="15">
        <f>HYPERLINK("https://www.tradingview.com/chart/?symbol=NSE:FEDERALBNK","Chart 📈")</f>
        <v/>
      </c>
    </row>
    <row r="69" ht="16" customHeight="1">
      <c r="A69" s="16" t="inlineStr">
        <is>
          <t>NIFTY BANK</t>
        </is>
      </c>
      <c r="B69" s="13" t="inlineStr">
        <is>
          <t>IDFCFIRSTB</t>
        </is>
      </c>
      <c r="C69" s="14" t="n">
        <v>80.45999999999999</v>
      </c>
      <c r="D69" s="14" t="n">
        <v>77.48</v>
      </c>
      <c r="E69" s="14" t="n">
        <v>74.31999999999999</v>
      </c>
      <c r="F69" s="14" t="n">
        <v>74.20999999999999</v>
      </c>
      <c r="G69" s="15">
        <f>HYPERLINK("https://www.tradingview.com/chart/?symbol=NSE:IDFCFIRSTB","Chart 📈")</f>
        <v/>
      </c>
    </row>
    <row r="70" ht="16" customHeight="1">
      <c r="A70" s="16" t="inlineStr">
        <is>
          <t>NIFTY BANK</t>
        </is>
      </c>
      <c r="B70" s="13" t="inlineStr">
        <is>
          <t>INDUSINDBK</t>
        </is>
      </c>
      <c r="C70" s="14" t="n">
        <v>974.35</v>
      </c>
      <c r="D70" s="14" t="n">
        <v>926.98</v>
      </c>
      <c r="E70" s="14" t="n">
        <v>910.8099999999999</v>
      </c>
      <c r="F70" s="14" t="n">
        <v>875.37</v>
      </c>
      <c r="G70" s="15">
        <f>HYPERLINK("https://www.tradingview.com/chart/?symbol=NSE:INDUSINDBK","Chart 📈")</f>
        <v/>
      </c>
    </row>
    <row r="71" ht="16" customHeight="1">
      <c r="A71" s="8" t="inlineStr">
        <is>
          <t>NIFTY OIL &amp; GAS</t>
        </is>
      </c>
      <c r="B71" s="17" t="inlineStr">
        <is>
          <t>AEGISLOG</t>
        </is>
      </c>
      <c r="C71" s="18" t="n">
        <v>1325.4</v>
      </c>
      <c r="D71" s="18" t="n">
        <v>1076.04</v>
      </c>
      <c r="E71" s="18" t="n">
        <v>912.16</v>
      </c>
      <c r="F71" s="18" t="n">
        <v>772.76</v>
      </c>
      <c r="G71" s="19">
        <f>HYPERLINK("https://www.tradingview.com/chart/?symbol=NSE:AEGISLOG","Chart 📈")</f>
        <v/>
      </c>
    </row>
    <row r="72" ht="16" customHeight="1">
      <c r="A72" s="20" t="inlineStr">
        <is>
          <t>NIFTY OIL &amp; GAS</t>
        </is>
      </c>
      <c r="B72" s="17" t="inlineStr">
        <is>
          <t>GAIL</t>
        </is>
      </c>
      <c r="C72" s="18" t="n">
        <v>174.15</v>
      </c>
      <c r="D72" s="18" t="n">
        <v>172.32</v>
      </c>
      <c r="E72" s="18" t="n">
        <v>167.94</v>
      </c>
      <c r="F72" s="18" t="n">
        <v>166.45</v>
      </c>
      <c r="G72" s="19">
        <f>HYPERLINK("https://www.tradingview.com/chart/?symbol=NSE:GAIL","Chart 📈")</f>
        <v/>
      </c>
    </row>
    <row r="73" ht="16" customHeight="1">
      <c r="A73" s="12" t="inlineStr">
        <is>
          <t>NIFTY ENERGY</t>
        </is>
      </c>
      <c r="B73" s="13" t="inlineStr">
        <is>
          <t>ADANIENSOL</t>
        </is>
      </c>
      <c r="C73" s="14" t="n">
        <v>1568.8</v>
      </c>
      <c r="D73" s="14" t="n">
        <v>1508.58</v>
      </c>
      <c r="E73" s="14" t="n">
        <v>1430.04</v>
      </c>
      <c r="F73" s="14" t="n">
        <v>1167.15</v>
      </c>
      <c r="G73" s="15">
        <f>HYPERLINK("https://www.tradingview.com/chart/?symbol=NSE:ADANIENSOL","Chart 📈")</f>
        <v/>
      </c>
    </row>
    <row r="74" ht="16" customHeight="1">
      <c r="A74" s="16" t="inlineStr">
        <is>
          <t>NIFTY ENERGY</t>
        </is>
      </c>
      <c r="B74" s="13" t="inlineStr">
        <is>
          <t>ADANIGREEN</t>
        </is>
      </c>
      <c r="C74" s="14" t="n">
        <v>1556.2</v>
      </c>
      <c r="D74" s="14" t="n">
        <v>1503.68</v>
      </c>
      <c r="E74" s="14" t="n">
        <v>1405.63</v>
      </c>
      <c r="F74" s="14" t="n">
        <v>1163.83</v>
      </c>
      <c r="G74" s="15">
        <f>HYPERLINK("https://www.tradingview.com/chart/?symbol=NSE:ADANIGREEN","Chart 📈")</f>
        <v/>
      </c>
    </row>
    <row r="75" ht="16" customHeight="1">
      <c r="A75" s="16" t="inlineStr">
        <is>
          <t>NIFTY ENERGY</t>
        </is>
      </c>
      <c r="B75" s="13" t="inlineStr">
        <is>
          <t>NHPC</t>
        </is>
      </c>
      <c r="C75" s="14" t="n">
        <v>80.53</v>
      </c>
      <c r="D75" s="14" t="n">
        <v>78.42</v>
      </c>
      <c r="E75" s="14" t="n">
        <v>78</v>
      </c>
      <c r="F75" s="14" t="n">
        <v>78.73999999999999</v>
      </c>
      <c r="G75" s="15">
        <f>HYPERLINK("https://www.tradingview.com/chart/?symbol=NSE:NHPC","Chart 📈")</f>
        <v/>
      </c>
    </row>
    <row r="76" ht="16" customHeight="1">
      <c r="A76" s="16" t="inlineStr">
        <is>
          <t>NIFTY ENERGY</t>
        </is>
      </c>
      <c r="B76" s="13" t="inlineStr">
        <is>
          <t>SCHNEIDER</t>
        </is>
      </c>
      <c r="C76" s="14" t="n">
        <v>1481.6</v>
      </c>
      <c r="D76" s="14" t="n">
        <v>1338.21</v>
      </c>
      <c r="E76" s="14" t="n">
        <v>1248.8</v>
      </c>
      <c r="F76" s="14" t="n">
        <v>1013.87</v>
      </c>
      <c r="G76" s="15">
        <f>HYPERLINK("https://www.tradingview.com/chart/?symbol=NSE:SCHNEIDER","Chart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2026-07-03T13:05:32Z</dcterms:created>
  <dcterms:modified xsi:type="dcterms:W3CDTF">2026-07-03T13:05:32Z</dcterms:modified>
</cp:coreProperties>
</file>