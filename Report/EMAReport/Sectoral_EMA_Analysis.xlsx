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26-May-2026  14:03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17</v>
      </c>
      <c r="D4" s="5" t="n">
        <v>18</v>
      </c>
      <c r="E4" s="5" t="n">
        <v>18</v>
      </c>
      <c r="F4" s="6" t="n">
        <v>0.85</v>
      </c>
      <c r="G4" s="6" t="n">
        <v>0.9</v>
      </c>
      <c r="H4" s="6" t="n">
        <v>0.9</v>
      </c>
      <c r="I4" s="7" t="n">
        <v>0.8833</v>
      </c>
    </row>
    <row r="5" ht="17" customHeight="1">
      <c r="A5" s="8" t="inlineStr">
        <is>
          <t>NIFTY METAL</t>
        </is>
      </c>
      <c r="B5" s="9" t="n">
        <v>15</v>
      </c>
      <c r="C5" s="9" t="n">
        <v>8</v>
      </c>
      <c r="D5" s="9" t="n">
        <v>12</v>
      </c>
      <c r="E5" s="9" t="n">
        <v>12</v>
      </c>
      <c r="F5" s="10" t="n">
        <v>0.5329999999999999</v>
      </c>
      <c r="G5" s="10" t="n">
        <v>0.8</v>
      </c>
      <c r="H5" s="10" t="n">
        <v>0.8</v>
      </c>
      <c r="I5" s="11" t="n">
        <v>0.711</v>
      </c>
    </row>
    <row r="6" ht="17" customHeight="1">
      <c r="A6" s="4" t="inlineStr">
        <is>
          <t>NIFTY REALTY</t>
        </is>
      </c>
      <c r="B6" s="5" t="n">
        <v>10</v>
      </c>
      <c r="C6" s="5" t="n">
        <v>9</v>
      </c>
      <c r="D6" s="5" t="n">
        <v>9</v>
      </c>
      <c r="E6" s="5" t="n">
        <v>3</v>
      </c>
      <c r="F6" s="6" t="n">
        <v>0.9</v>
      </c>
      <c r="G6" s="6" t="n">
        <v>0.9</v>
      </c>
      <c r="H6" s="6" t="n">
        <v>0.3</v>
      </c>
      <c r="I6" s="7" t="n">
        <v>0.7</v>
      </c>
    </row>
    <row r="7" ht="17" customHeight="1">
      <c r="A7" s="8" t="inlineStr">
        <is>
          <t>NIFTY MIDSMALL IT &amp; TELECOM</t>
        </is>
      </c>
      <c r="B7" s="9" t="n">
        <v>20</v>
      </c>
      <c r="C7" s="9" t="n">
        <v>17</v>
      </c>
      <c r="D7" s="9" t="n">
        <v>15</v>
      </c>
      <c r="E7" s="9" t="n">
        <v>8</v>
      </c>
      <c r="F7" s="10" t="n">
        <v>0.85</v>
      </c>
      <c r="G7" s="10" t="n">
        <v>0.75</v>
      </c>
      <c r="H7" s="10" t="n">
        <v>0.4</v>
      </c>
      <c r="I7" s="11" t="n">
        <v>0.6667000000000001</v>
      </c>
    </row>
    <row r="8" ht="17" customHeight="1">
      <c r="A8" s="4" t="inlineStr">
        <is>
          <t>NIFTY OIL &amp; GAS</t>
        </is>
      </c>
      <c r="B8" s="5" t="n">
        <v>15</v>
      </c>
      <c r="C8" s="5" t="n">
        <v>11</v>
      </c>
      <c r="D8" s="5" t="n">
        <v>10</v>
      </c>
      <c r="E8" s="5" t="n">
        <v>5</v>
      </c>
      <c r="F8" s="6" t="n">
        <v>0.733</v>
      </c>
      <c r="G8" s="6" t="n">
        <v>0.667</v>
      </c>
      <c r="H8" s="6" t="n">
        <v>0.333</v>
      </c>
      <c r="I8" s="7" t="n">
        <v>0.5777</v>
      </c>
    </row>
    <row r="9" ht="17" customHeight="1">
      <c r="A9" s="8" t="inlineStr">
        <is>
          <t>NIFTY ENERGY</t>
        </is>
      </c>
      <c r="B9" s="9" t="n">
        <v>40</v>
      </c>
      <c r="C9" s="9" t="n">
        <v>18</v>
      </c>
      <c r="D9" s="9" t="n">
        <v>20</v>
      </c>
      <c r="E9" s="9" t="n">
        <v>22</v>
      </c>
      <c r="F9" s="10" t="n">
        <v>0.45</v>
      </c>
      <c r="G9" s="10" t="n">
        <v>0.5</v>
      </c>
      <c r="H9" s="10" t="n">
        <v>0.55</v>
      </c>
      <c r="I9" s="11" t="n">
        <v>0.5</v>
      </c>
    </row>
    <row r="10" ht="17" customHeight="1">
      <c r="A10" s="4" t="inlineStr">
        <is>
          <t>NIFTY AUTO</t>
        </is>
      </c>
      <c r="B10" s="5" t="n">
        <v>15</v>
      </c>
      <c r="C10" s="5" t="n">
        <v>9</v>
      </c>
      <c r="D10" s="5" t="n">
        <v>6</v>
      </c>
      <c r="E10" s="5" t="n">
        <v>6</v>
      </c>
      <c r="F10" s="6" t="n">
        <v>0.6</v>
      </c>
      <c r="G10" s="6" t="n">
        <v>0.4</v>
      </c>
      <c r="H10" s="6" t="n">
        <v>0.4</v>
      </c>
      <c r="I10" s="7" t="n">
        <v>0.4667</v>
      </c>
    </row>
    <row r="11" ht="17" customHeight="1">
      <c r="A11" s="8" t="inlineStr">
        <is>
          <t>NIFTY FINANCIAL SERVICES</t>
        </is>
      </c>
      <c r="B11" s="9" t="n">
        <v>20</v>
      </c>
      <c r="C11" s="9" t="n">
        <v>12</v>
      </c>
      <c r="D11" s="9" t="n">
        <v>8</v>
      </c>
      <c r="E11" s="9" t="n">
        <v>6</v>
      </c>
      <c r="F11" s="10" t="n">
        <v>0.6</v>
      </c>
      <c r="G11" s="10" t="n">
        <v>0.4</v>
      </c>
      <c r="H11" s="10" t="n">
        <v>0.3</v>
      </c>
      <c r="I11" s="11" t="n">
        <v>0.4333</v>
      </c>
    </row>
    <row r="12" ht="17" customHeight="1">
      <c r="A12" s="4" t="inlineStr">
        <is>
          <t>NIFTY FMCG</t>
        </is>
      </c>
      <c r="B12" s="5" t="n">
        <v>15</v>
      </c>
      <c r="C12" s="5" t="n">
        <v>6</v>
      </c>
      <c r="D12" s="5" t="n">
        <v>6</v>
      </c>
      <c r="E12" s="5" t="n">
        <v>6</v>
      </c>
      <c r="F12" s="6" t="n">
        <v>0.4</v>
      </c>
      <c r="G12" s="6" t="n">
        <v>0.4</v>
      </c>
      <c r="H12" s="6" t="n">
        <v>0.4</v>
      </c>
      <c r="I12" s="7" t="n">
        <v>0.4</v>
      </c>
    </row>
    <row r="13" ht="17" customHeight="1">
      <c r="A13" s="8" t="inlineStr">
        <is>
          <t>NIFTY MEDIA</t>
        </is>
      </c>
      <c r="B13" s="9" t="n">
        <v>10</v>
      </c>
      <c r="C13" s="9" t="n">
        <v>5</v>
      </c>
      <c r="D13" s="9" t="n">
        <v>4</v>
      </c>
      <c r="E13" s="9" t="n">
        <v>3</v>
      </c>
      <c r="F13" s="10" t="n">
        <v>0.5</v>
      </c>
      <c r="G13" s="10" t="n">
        <v>0.4</v>
      </c>
      <c r="H13" s="10" t="n">
        <v>0.3</v>
      </c>
      <c r="I13" s="11" t="n">
        <v>0.4</v>
      </c>
    </row>
    <row r="14" ht="17" customHeight="1">
      <c r="A14" s="4" t="inlineStr">
        <is>
          <t>NIFTY PSU BANK</t>
        </is>
      </c>
      <c r="B14" s="5" t="n">
        <v>12</v>
      </c>
      <c r="C14" s="5" t="n">
        <v>7</v>
      </c>
      <c r="D14" s="5" t="n">
        <v>1</v>
      </c>
      <c r="E14" s="5" t="n">
        <v>4</v>
      </c>
      <c r="F14" s="6" t="n">
        <v>0.583</v>
      </c>
      <c r="G14" s="6" t="n">
        <v>0.083</v>
      </c>
      <c r="H14" s="6" t="n">
        <v>0.333</v>
      </c>
      <c r="I14" s="7" t="n">
        <v>0.333</v>
      </c>
    </row>
    <row r="15" ht="17" customHeight="1">
      <c r="A15" s="8" t="inlineStr">
        <is>
          <t>NIFTY CONSUMER DURABLES</t>
        </is>
      </c>
      <c r="B15" s="9" t="n">
        <v>15</v>
      </c>
      <c r="C15" s="9" t="n">
        <v>4</v>
      </c>
      <c r="D15" s="9" t="n">
        <v>4</v>
      </c>
      <c r="E15" s="9" t="n">
        <v>6</v>
      </c>
      <c r="F15" s="10" t="n">
        <v>0.267</v>
      </c>
      <c r="G15" s="10" t="n">
        <v>0.267</v>
      </c>
      <c r="H15" s="10" t="n">
        <v>0.4</v>
      </c>
      <c r="I15" s="11" t="n">
        <v>0.3113</v>
      </c>
    </row>
    <row r="16" ht="17" customHeight="1">
      <c r="A16" s="4" t="inlineStr">
        <is>
          <t>NIFTY BANK</t>
        </is>
      </c>
      <c r="B16" s="5" t="n">
        <v>12</v>
      </c>
      <c r="C16" s="5" t="n">
        <v>4</v>
      </c>
      <c r="D16" s="5" t="n">
        <v>4</v>
      </c>
      <c r="E16" s="5" t="n">
        <v>3</v>
      </c>
      <c r="F16" s="6" t="n">
        <v>0.333</v>
      </c>
      <c r="G16" s="6" t="n">
        <v>0.333</v>
      </c>
      <c r="H16" s="6" t="n">
        <v>0.25</v>
      </c>
      <c r="I16" s="7" t="n">
        <v>0.3053</v>
      </c>
    </row>
    <row r="17" ht="17" customHeight="1">
      <c r="A17" s="8" t="inlineStr">
        <is>
          <t>NIFTY IT</t>
        </is>
      </c>
      <c r="B17" s="9" t="n">
        <v>10</v>
      </c>
      <c r="C17" s="9" t="n">
        <v>2</v>
      </c>
      <c r="D17" s="9" t="n">
        <v>2</v>
      </c>
      <c r="E17" s="9" t="n">
        <v>0</v>
      </c>
      <c r="F17" s="10" t="n">
        <v>0.2</v>
      </c>
      <c r="G17" s="10" t="n">
        <v>0.2</v>
      </c>
      <c r="H17" s="10" t="n">
        <v>0</v>
      </c>
      <c r="I17" s="11" t="n">
        <v>0.1333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AJANTPHARM</t>
        </is>
      </c>
      <c r="C3" s="14" t="n">
        <v>3097.1</v>
      </c>
      <c r="D3" s="14" t="n">
        <v>3069</v>
      </c>
      <c r="E3" s="14" t="n">
        <v>2972.1</v>
      </c>
      <c r="F3" s="14" t="n">
        <v>2782.36</v>
      </c>
      <c r="G3" s="15">
        <f>HYPERLINK("https://www.tradingview.com/chart/?symbol=NSE:AJANTPHARM","Chart 📈")</f>
        <v/>
      </c>
    </row>
    <row r="4" ht="16" customHeight="1">
      <c r="A4" s="16" t="inlineStr">
        <is>
          <t>NIFTY PHARMA</t>
        </is>
      </c>
      <c r="B4" s="13" t="inlineStr">
        <is>
          <t>BIOCON</t>
        </is>
      </c>
      <c r="C4" s="14" t="n">
        <v>436.15</v>
      </c>
      <c r="D4" s="14" t="n">
        <v>408.06</v>
      </c>
      <c r="E4" s="14" t="n">
        <v>389.29</v>
      </c>
      <c r="F4" s="14" t="n">
        <v>375</v>
      </c>
      <c r="G4" s="15">
        <f>HYPERLINK("https://www.tradingview.com/chart/?symbol=NSE:BIOCON","Chart 📈")</f>
        <v/>
      </c>
    </row>
    <row r="5" ht="16" customHeight="1">
      <c r="A5" s="16" t="inlineStr">
        <is>
          <t>NIFTY PHARMA</t>
        </is>
      </c>
      <c r="B5" s="13" t="inlineStr">
        <is>
          <t>CIPLA</t>
        </is>
      </c>
      <c r="C5" s="14" t="n">
        <v>1417.5</v>
      </c>
      <c r="D5" s="14" t="n">
        <v>1369.31</v>
      </c>
      <c r="E5" s="14" t="n">
        <v>1335.43</v>
      </c>
      <c r="F5" s="14" t="n">
        <v>1395.92</v>
      </c>
      <c r="G5" s="15">
        <f>HYPERLINK("https://www.tradingview.com/chart/?symbol=NSE:CIPLA","Chart 📈")</f>
        <v/>
      </c>
    </row>
    <row r="6" ht="16" customHeight="1">
      <c r="A6" s="16" t="inlineStr">
        <is>
          <t>NIFTY PHARMA</t>
        </is>
      </c>
      <c r="B6" s="13" t="inlineStr">
        <is>
          <t>DIVISLAB</t>
        </is>
      </c>
      <c r="C6" s="14" t="n">
        <v>6753</v>
      </c>
      <c r="D6" s="14" t="n">
        <v>6702.91</v>
      </c>
      <c r="E6" s="14" t="n">
        <v>6498.58</v>
      </c>
      <c r="F6" s="14" t="n">
        <v>6395.37</v>
      </c>
      <c r="G6" s="15">
        <f>HYPERLINK("https://www.tradingview.com/chart/?symbol=NSE:DIVISLAB","Chart 📈")</f>
        <v/>
      </c>
    </row>
    <row r="7" ht="16" customHeight="1">
      <c r="A7" s="16" t="inlineStr">
        <is>
          <t>NIFTY PHARMA</t>
        </is>
      </c>
      <c r="B7" s="13" t="inlineStr">
        <is>
          <t>DRREDDY</t>
        </is>
      </c>
      <c r="C7" s="14" t="n">
        <v>1327.9</v>
      </c>
      <c r="D7" s="14" t="n">
        <v>1307.53</v>
      </c>
      <c r="E7" s="14" t="n">
        <v>1289</v>
      </c>
      <c r="F7" s="14" t="n">
        <v>1266.07</v>
      </c>
      <c r="G7" s="15">
        <f>HYPERLINK("https://www.tradingview.com/chart/?symbol=NSE:DRREDDY","Chart 📈")</f>
        <v/>
      </c>
    </row>
    <row r="8" ht="16" customHeight="1">
      <c r="A8" s="16" t="inlineStr">
        <is>
          <t>NIFTY PHARMA</t>
        </is>
      </c>
      <c r="B8" s="13" t="inlineStr">
        <is>
          <t>GLAND</t>
        </is>
      </c>
      <c r="C8" s="14" t="n">
        <v>2307.9</v>
      </c>
      <c r="D8" s="14" t="n">
        <v>2055.69</v>
      </c>
      <c r="E8" s="14" t="n">
        <v>1902.71</v>
      </c>
      <c r="F8" s="14" t="n">
        <v>1798.08</v>
      </c>
      <c r="G8" s="15">
        <f>HYPERLINK("https://www.tradingview.com/chart/?symbol=NSE:GLAND","Chart 📈")</f>
        <v/>
      </c>
    </row>
    <row r="9" ht="16" customHeight="1">
      <c r="A9" s="16" t="inlineStr">
        <is>
          <t>NIFTY PHARMA</t>
        </is>
      </c>
      <c r="B9" s="13" t="inlineStr">
        <is>
          <t>GLENMARK</t>
        </is>
      </c>
      <c r="C9" s="14" t="n">
        <v>2351.4</v>
      </c>
      <c r="D9" s="14" t="n">
        <v>2333.5</v>
      </c>
      <c r="E9" s="14" t="n">
        <v>2267.52</v>
      </c>
      <c r="F9" s="14" t="n">
        <v>2044.84</v>
      </c>
      <c r="G9" s="15">
        <f>HYPERLINK("https://www.tradingview.com/chart/?symbol=NSE:GLENMARK","Chart 📈")</f>
        <v/>
      </c>
    </row>
    <row r="10" ht="16" customHeight="1">
      <c r="A10" s="16" t="inlineStr">
        <is>
          <t>NIFTY PHARMA</t>
        </is>
      </c>
      <c r="B10" s="13" t="inlineStr">
        <is>
          <t>GRANULES</t>
        </is>
      </c>
      <c r="C10" s="14" t="n">
        <v>756.5</v>
      </c>
      <c r="D10" s="14" t="n">
        <v>733.1900000000001</v>
      </c>
      <c r="E10" s="14" t="n">
        <v>687.76</v>
      </c>
      <c r="F10" s="14" t="n">
        <v>602.73</v>
      </c>
      <c r="G10" s="15">
        <f>HYPERLINK("https://www.tradingview.com/chart/?symbol=NSE:GRANULES","Chart 📈")</f>
        <v/>
      </c>
    </row>
    <row r="11" ht="16" customHeight="1">
      <c r="A11" s="16" t="inlineStr">
        <is>
          <t>NIFTY PHARMA</t>
        </is>
      </c>
      <c r="B11" s="13" t="inlineStr">
        <is>
          <t>IPCALAB</t>
        </is>
      </c>
      <c r="C11" s="14" t="n">
        <v>1578</v>
      </c>
      <c r="D11" s="14" t="n">
        <v>1575.62</v>
      </c>
      <c r="E11" s="14" t="n">
        <v>1541.5</v>
      </c>
      <c r="F11" s="14" t="n">
        <v>1474.64</v>
      </c>
      <c r="G11" s="15">
        <f>HYPERLINK("https://www.tradingview.com/chart/?symbol=NSE:IPCALAB","Chart 📈")</f>
        <v/>
      </c>
    </row>
    <row r="12" ht="16" customHeight="1">
      <c r="A12" s="16" t="inlineStr">
        <is>
          <t>NIFTY PHARMA</t>
        </is>
      </c>
      <c r="B12" s="13" t="inlineStr">
        <is>
          <t>JBCHEPHARM</t>
        </is>
      </c>
      <c r="C12" s="14" t="n">
        <v>2190</v>
      </c>
      <c r="D12" s="14" t="n">
        <v>2138.75</v>
      </c>
      <c r="E12" s="14" t="n">
        <v>2079.65</v>
      </c>
      <c r="F12" s="14" t="n">
        <v>1911.74</v>
      </c>
      <c r="G12" s="15">
        <f>HYPERLINK("https://www.tradingview.com/chart/?symbol=NSE:JBCHEPHARM","Chart 📈")</f>
        <v/>
      </c>
    </row>
    <row r="13" ht="16" customHeight="1">
      <c r="A13" s="16" t="inlineStr">
        <is>
          <t>NIFTY PHARMA</t>
        </is>
      </c>
      <c r="B13" s="13" t="inlineStr">
        <is>
          <t>LAURUSLABS</t>
        </is>
      </c>
      <c r="C13" s="14" t="n">
        <v>1373.9</v>
      </c>
      <c r="D13" s="14" t="n">
        <v>1274.63</v>
      </c>
      <c r="E13" s="14" t="n">
        <v>1178.33</v>
      </c>
      <c r="F13" s="14" t="n">
        <v>1009.39</v>
      </c>
      <c r="G13" s="15">
        <f>HYPERLINK("https://www.tradingview.com/chart/?symbol=NSE:LAURUSLABS","Chart 📈")</f>
        <v/>
      </c>
    </row>
    <row r="14" ht="16" customHeight="1">
      <c r="A14" s="16" t="inlineStr">
        <is>
          <t>NIFTY PHARMA</t>
        </is>
      </c>
      <c r="B14" s="13" t="inlineStr">
        <is>
          <t>MANKIND</t>
        </is>
      </c>
      <c r="C14" s="14" t="n">
        <v>2423.6</v>
      </c>
      <c r="D14" s="14" t="n">
        <v>2406.97</v>
      </c>
      <c r="E14" s="14" t="n">
        <v>2292.68</v>
      </c>
      <c r="F14" s="14" t="n">
        <v>2274.55</v>
      </c>
      <c r="G14" s="15">
        <f>HYPERLINK("https://www.tradingview.com/chart/?symbol=NSE:MANKIND","Chart 📈")</f>
        <v/>
      </c>
    </row>
    <row r="15" ht="16" customHeight="1">
      <c r="A15" s="16" t="inlineStr">
        <is>
          <t>NIFTY PHARMA</t>
        </is>
      </c>
      <c r="B15" s="13" t="inlineStr">
        <is>
          <t>NATCOPHARM</t>
        </is>
      </c>
      <c r="C15" s="14" t="n">
        <v>1186</v>
      </c>
      <c r="D15" s="14" t="n">
        <v>1152.51</v>
      </c>
      <c r="E15" s="14" t="n">
        <v>1091.96</v>
      </c>
      <c r="F15" s="14" t="n">
        <v>965.4</v>
      </c>
      <c r="G15" s="15">
        <f>HYPERLINK("https://www.tradingview.com/chart/?symbol=NSE:NATCOPHARM","Chart 📈")</f>
        <v/>
      </c>
    </row>
    <row r="16" ht="16" customHeight="1">
      <c r="A16" s="16" t="inlineStr">
        <is>
          <t>NIFTY PHARMA</t>
        </is>
      </c>
      <c r="B16" s="13" t="inlineStr">
        <is>
          <t>SUNPHARMA</t>
        </is>
      </c>
      <c r="C16" s="14" t="n">
        <v>1840.8</v>
      </c>
      <c r="D16" s="14" t="n">
        <v>1835.13</v>
      </c>
      <c r="E16" s="14" t="n">
        <v>1791.17</v>
      </c>
      <c r="F16" s="14" t="n">
        <v>1727.51</v>
      </c>
      <c r="G16" s="15">
        <f>HYPERLINK("https://www.tradingview.com/chart/?symbol=NSE:SUNPHARMA","Chart 📈")</f>
        <v/>
      </c>
    </row>
    <row r="17" ht="16" customHeight="1">
      <c r="A17" s="16" t="inlineStr">
        <is>
          <t>NIFTY PHARMA</t>
        </is>
      </c>
      <c r="B17" s="13" t="inlineStr">
        <is>
          <t>TORNTPHARM</t>
        </is>
      </c>
      <c r="C17" s="14" t="n">
        <v>4452.1</v>
      </c>
      <c r="D17" s="14" t="n">
        <v>4386.52</v>
      </c>
      <c r="E17" s="14" t="n">
        <v>4286.62</v>
      </c>
      <c r="F17" s="14" t="n">
        <v>3947.26</v>
      </c>
      <c r="G17" s="15">
        <f>HYPERLINK("https://www.tradingview.com/chart/?symbol=NSE:TORNTPHARM","Chart 📈")</f>
        <v/>
      </c>
    </row>
    <row r="18" ht="16" customHeight="1">
      <c r="A18" s="16" t="inlineStr">
        <is>
          <t>NIFTY PHARMA</t>
        </is>
      </c>
      <c r="B18" s="13" t="inlineStr">
        <is>
          <t>ZYDUSLIFE</t>
        </is>
      </c>
      <c r="C18" s="14" t="n">
        <v>1079.05</v>
      </c>
      <c r="D18" s="14" t="n">
        <v>992.37</v>
      </c>
      <c r="E18" s="14" t="n">
        <v>951.53</v>
      </c>
      <c r="F18" s="14" t="n">
        <v>933.91</v>
      </c>
      <c r="G18" s="15">
        <f>HYPERLINK("https://www.tradingview.com/chart/?symbol=NSE:ZYDUSLIFE","Chart 📈")</f>
        <v/>
      </c>
    </row>
    <row r="19" ht="16" customHeight="1">
      <c r="A19" s="8" t="inlineStr">
        <is>
          <t>NIFTY METAL</t>
        </is>
      </c>
      <c r="B19" s="17" t="inlineStr">
        <is>
          <t>ADANIENT</t>
        </is>
      </c>
      <c r="C19" s="18" t="n">
        <v>2969.3</v>
      </c>
      <c r="D19" s="18" t="n">
        <v>2609</v>
      </c>
      <c r="E19" s="18" t="n">
        <v>2397.75</v>
      </c>
      <c r="F19" s="18" t="n">
        <v>2315.77</v>
      </c>
      <c r="G19" s="19">
        <f>HYPERLINK("https://www.tradingview.com/chart/?symbol=NSE:ADANIENT","Chart 📈")</f>
        <v/>
      </c>
    </row>
    <row r="20" ht="16" customHeight="1">
      <c r="A20" s="20" t="inlineStr">
        <is>
          <t>NIFTY METAL</t>
        </is>
      </c>
      <c r="B20" s="17" t="inlineStr">
        <is>
          <t>HINDALCO</t>
        </is>
      </c>
      <c r="C20" s="18" t="n">
        <v>1103.8</v>
      </c>
      <c r="D20" s="18" t="n">
        <v>1066.05</v>
      </c>
      <c r="E20" s="18" t="n">
        <v>1020.96</v>
      </c>
      <c r="F20" s="18" t="n">
        <v>894.47</v>
      </c>
      <c r="G20" s="19">
        <f>HYPERLINK("https://www.tradingview.com/chart/?symbol=NSE:HINDALCO","Chart 📈")</f>
        <v/>
      </c>
    </row>
    <row r="21" ht="16" customHeight="1">
      <c r="A21" s="20" t="inlineStr">
        <is>
          <t>NIFTY METAL</t>
        </is>
      </c>
      <c r="B21" s="17" t="inlineStr">
        <is>
          <t>HINDZINC</t>
        </is>
      </c>
      <c r="C21" s="18" t="n">
        <v>647.4</v>
      </c>
      <c r="D21" s="18" t="n">
        <v>626.35</v>
      </c>
      <c r="E21" s="18" t="n">
        <v>602.25</v>
      </c>
      <c r="F21" s="18" t="n">
        <v>547.6900000000001</v>
      </c>
      <c r="G21" s="19">
        <f>HYPERLINK("https://www.tradingview.com/chart/?symbol=NSE:HINDZINC","Chart 📈")</f>
        <v/>
      </c>
    </row>
    <row r="22" ht="16" customHeight="1">
      <c r="A22" s="20" t="inlineStr">
        <is>
          <t>NIFTY METAL</t>
        </is>
      </c>
      <c r="B22" s="17" t="inlineStr">
        <is>
          <t>JSWSTEEL</t>
        </is>
      </c>
      <c r="C22" s="18" t="n">
        <v>1293.6</v>
      </c>
      <c r="D22" s="18" t="n">
        <v>1274.47</v>
      </c>
      <c r="E22" s="18" t="n">
        <v>1246.97</v>
      </c>
      <c r="F22" s="18" t="n">
        <v>1175.89</v>
      </c>
      <c r="G22" s="19">
        <f>HYPERLINK("https://www.tradingview.com/chart/?symbol=NSE:JSWSTEEL","Chart 📈")</f>
        <v/>
      </c>
    </row>
    <row r="23" ht="16" customHeight="1">
      <c r="A23" s="20" t="inlineStr">
        <is>
          <t>NIFTY METAL</t>
        </is>
      </c>
      <c r="B23" s="17" t="inlineStr">
        <is>
          <t>NATIONALUM</t>
        </is>
      </c>
      <c r="C23" s="18" t="n">
        <v>416.2</v>
      </c>
      <c r="D23" s="18" t="n">
        <v>407.18</v>
      </c>
      <c r="E23" s="18" t="n">
        <v>399.08</v>
      </c>
      <c r="F23" s="18" t="n">
        <v>323.3</v>
      </c>
      <c r="G23" s="19">
        <f>HYPERLINK("https://www.tradingview.com/chart/?symbol=NSE:NATIONALUM","Chart 📈")</f>
        <v/>
      </c>
    </row>
    <row r="24" ht="16" customHeight="1">
      <c r="A24" s="20" t="inlineStr">
        <is>
          <t>NIFTY METAL</t>
        </is>
      </c>
      <c r="B24" s="17" t="inlineStr">
        <is>
          <t>NMDC</t>
        </is>
      </c>
      <c r="C24" s="18" t="n">
        <v>90.67</v>
      </c>
      <c r="D24" s="18" t="n">
        <v>89.06999999999999</v>
      </c>
      <c r="E24" s="18" t="n">
        <v>86.52</v>
      </c>
      <c r="F24" s="18" t="n">
        <v>79.34</v>
      </c>
      <c r="G24" s="19">
        <f>HYPERLINK("https://www.tradingview.com/chart/?symbol=NSE:NMDC","Chart 📈")</f>
        <v/>
      </c>
    </row>
    <row r="25" ht="16" customHeight="1">
      <c r="A25" s="20" t="inlineStr">
        <is>
          <t>NIFTY METAL</t>
        </is>
      </c>
      <c r="B25" s="17" t="inlineStr">
        <is>
          <t>SAIL</t>
        </is>
      </c>
      <c r="C25" s="18" t="n">
        <v>203.84</v>
      </c>
      <c r="D25" s="18" t="n">
        <v>191.43</v>
      </c>
      <c r="E25" s="18" t="n">
        <v>178.88</v>
      </c>
      <c r="F25" s="18" t="n">
        <v>154.18</v>
      </c>
      <c r="G25" s="19">
        <f>HYPERLINK("https://www.tradingview.com/chart/?symbol=NSE:SAIL","Chart 📈")</f>
        <v/>
      </c>
    </row>
    <row r="26" ht="16" customHeight="1">
      <c r="A26" s="20" t="inlineStr">
        <is>
          <t>NIFTY METAL</t>
        </is>
      </c>
      <c r="B26" s="17" t="inlineStr">
        <is>
          <t>WELCORP</t>
        </is>
      </c>
      <c r="C26" s="18" t="n">
        <v>1319</v>
      </c>
      <c r="D26" s="18" t="n">
        <v>1270.77</v>
      </c>
      <c r="E26" s="18" t="n">
        <v>1137.88</v>
      </c>
      <c r="F26" s="18" t="n">
        <v>938.7</v>
      </c>
      <c r="G26" s="19">
        <f>HYPERLINK("https://www.tradingview.com/chart/?symbol=NSE:WELCORP","Chart 📈")</f>
        <v/>
      </c>
    </row>
    <row r="27" ht="16" customHeight="1">
      <c r="A27" s="12" t="inlineStr">
        <is>
          <t>NIFTY REALTY</t>
        </is>
      </c>
      <c r="B27" s="13" t="inlineStr">
        <is>
          <t>OBEROIRLTY</t>
        </is>
      </c>
      <c r="C27" s="14" t="n">
        <v>1693.7</v>
      </c>
      <c r="D27" s="14" t="n">
        <v>1654.43</v>
      </c>
      <c r="E27" s="14" t="n">
        <v>1625.15</v>
      </c>
      <c r="F27" s="14" t="n">
        <v>1630.19</v>
      </c>
      <c r="G27" s="15">
        <f>HYPERLINK("https://www.tradingview.com/chart/?symbol=NSE:OBEROIRLTY","Chart 📈")</f>
        <v/>
      </c>
    </row>
    <row r="28" ht="16" customHeight="1">
      <c r="A28" s="16" t="inlineStr">
        <is>
          <t>NIFTY REALTY</t>
        </is>
      </c>
      <c r="B28" s="13" t="inlineStr">
        <is>
          <t>PHOENIXLTD</t>
        </is>
      </c>
      <c r="C28" s="14" t="n">
        <v>1785.4</v>
      </c>
      <c r="D28" s="14" t="n">
        <v>1767.78</v>
      </c>
      <c r="E28" s="14" t="n">
        <v>1738.47</v>
      </c>
      <c r="F28" s="14" t="n">
        <v>1692.45</v>
      </c>
      <c r="G28" s="15">
        <f>HYPERLINK("https://www.tradingview.com/chart/?symbol=NSE:PHOENIXLTD","Chart 📈")</f>
        <v/>
      </c>
    </row>
    <row r="29" ht="16" customHeight="1">
      <c r="A29" s="16" t="inlineStr">
        <is>
          <t>NIFTY REALTY</t>
        </is>
      </c>
      <c r="B29" s="13" t="inlineStr">
        <is>
          <t>RAYMOND</t>
        </is>
      </c>
      <c r="C29" s="14" t="n">
        <v>551.85</v>
      </c>
      <c r="D29" s="14" t="n">
        <v>501.26</v>
      </c>
      <c r="E29" s="14" t="n">
        <v>458.7</v>
      </c>
      <c r="F29" s="14" t="n">
        <v>480.43</v>
      </c>
      <c r="G29" s="15">
        <f>HYPERLINK("https://www.tradingview.com/chart/?symbol=NSE:RAYMOND","Chart 📈")</f>
        <v/>
      </c>
    </row>
    <row r="30" ht="16" customHeight="1">
      <c r="A30" s="8" t="inlineStr">
        <is>
          <t>NIFTY MIDSMALL IT &amp; TELECOM</t>
        </is>
      </c>
      <c r="B30" s="17" t="inlineStr">
        <is>
          <t>HFCL</t>
        </is>
      </c>
      <c r="C30" s="18" t="n">
        <v>161.8</v>
      </c>
      <c r="D30" s="18" t="n">
        <v>138.31</v>
      </c>
      <c r="E30" s="18" t="n">
        <v>114.76</v>
      </c>
      <c r="F30" s="18" t="n">
        <v>87.48999999999999</v>
      </c>
      <c r="G30" s="19">
        <f>HYPERLINK("https://www.tradingview.com/chart/?symbol=NSE:HFCL","Chart 📈")</f>
        <v/>
      </c>
    </row>
    <row r="31" ht="16" customHeight="1">
      <c r="A31" s="20" t="inlineStr">
        <is>
          <t>NIFTY MIDSMALL IT &amp; TELECOM</t>
        </is>
      </c>
      <c r="B31" s="17" t="inlineStr">
        <is>
          <t>IDEA</t>
        </is>
      </c>
      <c r="C31" s="18" t="n">
        <v>14.14</v>
      </c>
      <c r="D31" s="18" t="n">
        <v>12.44</v>
      </c>
      <c r="E31" s="18" t="n">
        <v>11.25</v>
      </c>
      <c r="F31" s="18" t="n">
        <v>9.91</v>
      </c>
      <c r="G31" s="19">
        <f>HYPERLINK("https://www.tradingview.com/chart/?symbol=NSE:IDEA","Chart 📈")</f>
        <v/>
      </c>
    </row>
    <row r="32" ht="16" customHeight="1">
      <c r="A32" s="20" t="inlineStr">
        <is>
          <t>NIFTY MIDSMALL IT &amp; TELECOM</t>
        </is>
      </c>
      <c r="B32" s="17" t="inlineStr">
        <is>
          <t>INDUSTOWER</t>
        </is>
      </c>
      <c r="C32" s="18" t="n">
        <v>433.25</v>
      </c>
      <c r="D32" s="18" t="n">
        <v>423.1</v>
      </c>
      <c r="E32" s="18" t="n">
        <v>423.32</v>
      </c>
      <c r="F32" s="18" t="n">
        <v>412.43</v>
      </c>
      <c r="G32" s="19">
        <f>HYPERLINK("https://www.tradingview.com/chart/?symbol=NSE:INDUSTOWER","Chart 📈")</f>
        <v/>
      </c>
    </row>
    <row r="33" ht="16" customHeight="1">
      <c r="A33" s="20" t="inlineStr">
        <is>
          <t>NIFTY MIDSMALL IT &amp; TELECOM</t>
        </is>
      </c>
      <c r="B33" s="17" t="inlineStr">
        <is>
          <t>OFSS</t>
        </is>
      </c>
      <c r="C33" s="18" t="n">
        <v>9882</v>
      </c>
      <c r="D33" s="18" t="n">
        <v>9247.09</v>
      </c>
      <c r="E33" s="18" t="n">
        <v>8472.139999999999</v>
      </c>
      <c r="F33" s="18" t="n">
        <v>7917.79</v>
      </c>
      <c r="G33" s="19">
        <f>HYPERLINK("https://www.tradingview.com/chart/?symbol=NSE:OFSS","Chart 📈")</f>
        <v/>
      </c>
    </row>
    <row r="34" ht="16" customHeight="1">
      <c r="A34" s="20" t="inlineStr">
        <is>
          <t>NIFTY MIDSMALL IT &amp; TELECOM</t>
        </is>
      </c>
      <c r="B34" s="17" t="inlineStr">
        <is>
          <t>TANLA</t>
        </is>
      </c>
      <c r="C34" s="18" t="n">
        <v>529.8</v>
      </c>
      <c r="D34" s="18" t="n">
        <v>517.8</v>
      </c>
      <c r="E34" s="18" t="n">
        <v>498.93</v>
      </c>
      <c r="F34" s="18" t="n">
        <v>523.9</v>
      </c>
      <c r="G34" s="19">
        <f>HYPERLINK("https://www.tradingview.com/chart/?symbol=NSE:TANLA","Chart 📈")</f>
        <v/>
      </c>
    </row>
    <row r="35" ht="16" customHeight="1">
      <c r="A35" s="20" t="inlineStr">
        <is>
          <t>NIFTY MIDSMALL IT &amp; TELECOM</t>
        </is>
      </c>
      <c r="B35" s="17" t="inlineStr">
        <is>
          <t>TATACOMM</t>
        </is>
      </c>
      <c r="C35" s="18" t="n">
        <v>2009.1</v>
      </c>
      <c r="D35" s="18" t="n">
        <v>1722.22</v>
      </c>
      <c r="E35" s="18" t="n">
        <v>1628.22</v>
      </c>
      <c r="F35" s="18" t="n">
        <v>1648.78</v>
      </c>
      <c r="G35" s="19">
        <f>HYPERLINK("https://www.tradingview.com/chart/?symbol=NSE:TATACOMM","Chart 📈")</f>
        <v/>
      </c>
    </row>
    <row r="36" ht="16" customHeight="1">
      <c r="A36" s="20" t="inlineStr">
        <is>
          <t>NIFTY MIDSMALL IT &amp; TELECOM</t>
        </is>
      </c>
      <c r="B36" s="17" t="inlineStr">
        <is>
          <t>TATATECH</t>
        </is>
      </c>
      <c r="C36" s="18" t="n">
        <v>706.3</v>
      </c>
      <c r="D36" s="18" t="n">
        <v>638.6799999999999</v>
      </c>
      <c r="E36" s="18" t="n">
        <v>611.0599999999999</v>
      </c>
      <c r="F36" s="18" t="n">
        <v>639.4299999999999</v>
      </c>
      <c r="G36" s="19">
        <f>HYPERLINK("https://www.tradingview.com/chart/?symbol=NSE:TATATECH","Chart 📈")</f>
        <v/>
      </c>
    </row>
    <row r="37" ht="16" customHeight="1">
      <c r="A37" s="20" t="inlineStr">
        <is>
          <t>NIFTY MIDSMALL IT &amp; TELECOM</t>
        </is>
      </c>
      <c r="B37" s="17" t="inlineStr">
        <is>
          <t>TEJASNET</t>
        </is>
      </c>
      <c r="C37" s="18" t="n">
        <v>501.4</v>
      </c>
      <c r="D37" s="18" t="n">
        <v>459.88</v>
      </c>
      <c r="E37" s="18" t="n">
        <v>441.57</v>
      </c>
      <c r="F37" s="18" t="n">
        <v>484.54</v>
      </c>
      <c r="G37" s="19">
        <f>HYPERLINK("https://www.tradingview.com/chart/?symbol=NSE:TEJASNET","Chart 📈")</f>
        <v/>
      </c>
    </row>
    <row r="38" ht="16" customHeight="1">
      <c r="A38" s="12" t="inlineStr">
        <is>
          <t>NIFTY OIL &amp; GAS</t>
        </is>
      </c>
      <c r="B38" s="13" t="inlineStr">
        <is>
          <t>AEGISLOG</t>
        </is>
      </c>
      <c r="C38" s="14" t="n">
        <v>715.1</v>
      </c>
      <c r="D38" s="14" t="n">
        <v>700.49</v>
      </c>
      <c r="E38" s="14" t="n">
        <v>686.51</v>
      </c>
      <c r="F38" s="14" t="n">
        <v>712.84</v>
      </c>
      <c r="G38" s="15">
        <f>HYPERLINK("https://www.tradingview.com/chart/?symbol=NSE:AEGISLOG","Chart 📈")</f>
        <v/>
      </c>
    </row>
    <row r="39" ht="16" customHeight="1">
      <c r="A39" s="16" t="inlineStr">
        <is>
          <t>NIFTY OIL &amp; GAS</t>
        </is>
      </c>
      <c r="B39" s="13" t="inlineStr">
        <is>
          <t>ATGL</t>
        </is>
      </c>
      <c r="C39" s="14" t="n">
        <v>713.1</v>
      </c>
      <c r="D39" s="14" t="n">
        <v>633.34</v>
      </c>
      <c r="E39" s="14" t="n">
        <v>604.3200000000001</v>
      </c>
      <c r="F39" s="14" t="n">
        <v>594.4400000000001</v>
      </c>
      <c r="G39" s="15">
        <f>HYPERLINK("https://www.tradingview.com/chart/?symbol=NSE:ATGL","Chart 📈")</f>
        <v/>
      </c>
    </row>
    <row r="40" ht="16" customHeight="1">
      <c r="A40" s="16" t="inlineStr">
        <is>
          <t>NIFTY OIL &amp; GAS</t>
        </is>
      </c>
      <c r="B40" s="13" t="inlineStr">
        <is>
          <t>GAIL</t>
        </is>
      </c>
      <c r="C40" s="14" t="n">
        <v>167.63</v>
      </c>
      <c r="D40" s="14" t="n">
        <v>161.71</v>
      </c>
      <c r="E40" s="14" t="n">
        <v>159.65</v>
      </c>
      <c r="F40" s="14" t="n">
        <v>164.87</v>
      </c>
      <c r="G40" s="15">
        <f>HYPERLINK("https://www.tradingview.com/chart/?symbol=NSE:GAIL","Chart 📈")</f>
        <v/>
      </c>
    </row>
    <row r="41" ht="16" customHeight="1">
      <c r="A41" s="16" t="inlineStr">
        <is>
          <t>NIFTY OIL &amp; GAS</t>
        </is>
      </c>
      <c r="B41" s="13" t="inlineStr">
        <is>
          <t>OIL</t>
        </is>
      </c>
      <c r="C41" s="14" t="n">
        <v>492.1</v>
      </c>
      <c r="D41" s="14" t="n">
        <v>490.27</v>
      </c>
      <c r="E41" s="14" t="n">
        <v>480.67</v>
      </c>
      <c r="F41" s="14" t="n">
        <v>450.24</v>
      </c>
      <c r="G41" s="15">
        <f>HYPERLINK("https://www.tradingview.com/chart/?symbol=NSE:OIL","Chart 📈")</f>
        <v/>
      </c>
    </row>
    <row r="42" ht="16" customHeight="1">
      <c r="A42" s="8" t="inlineStr">
        <is>
          <t>NIFTY ENERGY</t>
        </is>
      </c>
      <c r="B42" s="17" t="inlineStr">
        <is>
          <t>ABB</t>
        </is>
      </c>
      <c r="C42" s="18" t="n">
        <v>6804</v>
      </c>
      <c r="D42" s="18" t="n">
        <v>6709.08</v>
      </c>
      <c r="E42" s="18" t="n">
        <v>6587.27</v>
      </c>
      <c r="F42" s="18" t="n">
        <v>5950.65</v>
      </c>
      <c r="G42" s="19">
        <f>HYPERLINK("https://www.tradingview.com/chart/?symbol=NSE:ABB","Chart 📈")</f>
        <v/>
      </c>
    </row>
    <row r="43" ht="16" customHeight="1">
      <c r="A43" s="20" t="inlineStr">
        <is>
          <t>NIFTY ENERGY</t>
        </is>
      </c>
      <c r="B43" s="17" t="inlineStr">
        <is>
          <t>ADANIENSOL</t>
        </is>
      </c>
      <c r="C43" s="18" t="n">
        <v>1463.3</v>
      </c>
      <c r="D43" s="18" t="n">
        <v>1343.68</v>
      </c>
      <c r="E43" s="18" t="n">
        <v>1243.93</v>
      </c>
      <c r="F43" s="18" t="n">
        <v>1050.75</v>
      </c>
      <c r="G43" s="19">
        <f>HYPERLINK("https://www.tradingview.com/chart/?symbol=NSE:ADANIENSOL","Chart 📈")</f>
        <v/>
      </c>
    </row>
    <row r="44" ht="16" customHeight="1">
      <c r="A44" s="20" t="inlineStr">
        <is>
          <t>NIFTY ENERGY</t>
        </is>
      </c>
      <c r="B44" s="17" t="inlineStr">
        <is>
          <t>ADANIGREEN</t>
        </is>
      </c>
      <c r="C44" s="18" t="n">
        <v>1457.4</v>
      </c>
      <c r="D44" s="18" t="n">
        <v>1334.49</v>
      </c>
      <c r="E44" s="18" t="n">
        <v>1202.43</v>
      </c>
      <c r="F44" s="18" t="n">
        <v>1055.86</v>
      </c>
      <c r="G44" s="19">
        <f>HYPERLINK("https://www.tradingview.com/chart/?symbol=NSE:ADANIGREEN","Chart 📈")</f>
        <v/>
      </c>
    </row>
    <row r="45" ht="16" customHeight="1">
      <c r="A45" s="20" t="inlineStr">
        <is>
          <t>NIFTY ENERGY</t>
        </is>
      </c>
      <c r="B45" s="17" t="inlineStr">
        <is>
          <t>ADANIPOWER</t>
        </is>
      </c>
      <c r="C45" s="18" t="n">
        <v>244.53</v>
      </c>
      <c r="D45" s="18" t="n">
        <v>220.19</v>
      </c>
      <c r="E45" s="18" t="n">
        <v>199.87</v>
      </c>
      <c r="F45" s="18" t="n">
        <v>160.66</v>
      </c>
      <c r="G45" s="19">
        <f>HYPERLINK("https://www.tradingview.com/chart/?symbol=NSE:ADANIPOWER","Chart 📈")</f>
        <v/>
      </c>
    </row>
    <row r="46" ht="16" customHeight="1">
      <c r="A46" s="20" t="inlineStr">
        <is>
          <t>NIFTY ENERGY</t>
        </is>
      </c>
      <c r="B46" s="17" t="inlineStr">
        <is>
          <t>BHEL</t>
        </is>
      </c>
      <c r="C46" s="18" t="n">
        <v>417.75</v>
      </c>
      <c r="D46" s="18" t="n">
        <v>389.49</v>
      </c>
      <c r="E46" s="18" t="n">
        <v>346.73</v>
      </c>
      <c r="F46" s="18" t="n">
        <v>289.86</v>
      </c>
      <c r="G46" s="19">
        <f>HYPERLINK("https://www.tradingview.com/chart/?symbol=NSE:BHEL","Chart 📈")</f>
        <v/>
      </c>
    </row>
    <row r="47" ht="16" customHeight="1">
      <c r="A47" s="20" t="inlineStr">
        <is>
          <t>NIFTY ENERGY</t>
        </is>
      </c>
      <c r="B47" s="17" t="inlineStr">
        <is>
          <t>CESC</t>
        </is>
      </c>
      <c r="C47" s="18" t="n">
        <v>182.84</v>
      </c>
      <c r="D47" s="18" t="n">
        <v>180.76</v>
      </c>
      <c r="E47" s="18" t="n">
        <v>174.16</v>
      </c>
      <c r="F47" s="18" t="n">
        <v>166.09</v>
      </c>
      <c r="G47" s="19">
        <f>HYPERLINK("https://www.tradingview.com/chart/?symbol=NSE:CESC","Chart 📈")</f>
        <v/>
      </c>
    </row>
    <row r="48" ht="16" customHeight="1">
      <c r="A48" s="20" t="inlineStr">
        <is>
          <t>NIFTY ENERGY</t>
        </is>
      </c>
      <c r="B48" s="17" t="inlineStr">
        <is>
          <t>CGPOWER</t>
        </is>
      </c>
      <c r="C48" s="18" t="n">
        <v>879.15</v>
      </c>
      <c r="D48" s="18" t="n">
        <v>838.28</v>
      </c>
      <c r="E48" s="18" t="n">
        <v>791.41</v>
      </c>
      <c r="F48" s="18" t="n">
        <v>723.14</v>
      </c>
      <c r="G48" s="19">
        <f>HYPERLINK("https://www.tradingview.com/chart/?symbol=NSE:CGPOWER","Chart 📈")</f>
        <v/>
      </c>
    </row>
    <row r="49" ht="16" customHeight="1">
      <c r="A49" s="20" t="inlineStr">
        <is>
          <t>NIFTY ENERGY</t>
        </is>
      </c>
      <c r="B49" s="17" t="inlineStr">
        <is>
          <t>GVT&amp;D</t>
        </is>
      </c>
      <c r="C49" s="18" t="n">
        <v>4848.3</v>
      </c>
      <c r="D49" s="18" t="n">
        <v>4541.7</v>
      </c>
      <c r="E49" s="18" t="n">
        <v>4247.42</v>
      </c>
      <c r="F49" s="18" t="n">
        <v>3450.84</v>
      </c>
      <c r="G49" s="19">
        <f>HYPERLINK("https://www.tradingview.com/chart/?symbol=NSE:GVT&amp;D","Chart 📈")</f>
        <v/>
      </c>
    </row>
    <row r="50" ht="16" customHeight="1">
      <c r="A50" s="20" t="inlineStr">
        <is>
          <t>NIFTY ENERGY</t>
        </is>
      </c>
      <c r="B50" s="17" t="inlineStr">
        <is>
          <t>JPPOWER</t>
        </is>
      </c>
      <c r="C50" s="18" t="n">
        <v>19.13</v>
      </c>
      <c r="D50" s="18" t="n">
        <v>18.69</v>
      </c>
      <c r="E50" s="18" t="n">
        <v>17.9</v>
      </c>
      <c r="F50" s="18" t="n">
        <v>17.21</v>
      </c>
      <c r="G50" s="19">
        <f>HYPERLINK("https://www.tradingview.com/chart/?symbol=NSE:JPPOWER","Chart 📈")</f>
        <v/>
      </c>
    </row>
    <row r="51" ht="16" customHeight="1">
      <c r="A51" s="20" t="inlineStr">
        <is>
          <t>NIFTY ENERGY</t>
        </is>
      </c>
      <c r="B51" s="17" t="inlineStr">
        <is>
          <t>JSWENERGY</t>
        </is>
      </c>
      <c r="C51" s="18" t="n">
        <v>576</v>
      </c>
      <c r="D51" s="18" t="n">
        <v>544.8</v>
      </c>
      <c r="E51" s="18" t="n">
        <v>530.92</v>
      </c>
      <c r="F51" s="18" t="n">
        <v>511.47</v>
      </c>
      <c r="G51" s="19">
        <f>HYPERLINK("https://www.tradingview.com/chart/?symbol=NSE:JSWENERGY","Chart 📈")</f>
        <v/>
      </c>
    </row>
    <row r="52" ht="16" customHeight="1">
      <c r="A52" s="20" t="inlineStr">
        <is>
          <t>NIFTY ENERGY</t>
        </is>
      </c>
      <c r="B52" s="17" t="inlineStr">
        <is>
          <t>NLCINDIA</t>
        </is>
      </c>
      <c r="C52" s="18" t="n">
        <v>343.4</v>
      </c>
      <c r="D52" s="18" t="n">
        <v>334.15</v>
      </c>
      <c r="E52" s="18" t="n">
        <v>309.43</v>
      </c>
      <c r="F52" s="18" t="n">
        <v>270.44</v>
      </c>
      <c r="G52" s="19">
        <f>HYPERLINK("https://www.tradingview.com/chart/?symbol=NSE:NLCINDIA","Chart 📈")</f>
        <v/>
      </c>
    </row>
    <row r="53" ht="16" customHeight="1">
      <c r="A53" s="20" t="inlineStr">
        <is>
          <t>NIFTY ENERGY</t>
        </is>
      </c>
      <c r="B53" s="17" t="inlineStr">
        <is>
          <t>POWERINDIA</t>
        </is>
      </c>
      <c r="C53" s="18" t="n">
        <v>35995</v>
      </c>
      <c r="D53" s="18" t="n">
        <v>33597.28</v>
      </c>
      <c r="E53" s="18" t="n">
        <v>30493.66</v>
      </c>
      <c r="F53" s="18" t="n">
        <v>23879.01</v>
      </c>
      <c r="G53" s="19">
        <f>HYPERLINK("https://www.tradingview.com/chart/?symbol=NSE:POWERINDIA","Chart 📈")</f>
        <v/>
      </c>
    </row>
    <row r="54" ht="16" customHeight="1">
      <c r="A54" s="20" t="inlineStr">
        <is>
          <t>NIFTY ENERGY</t>
        </is>
      </c>
      <c r="B54" s="17" t="inlineStr">
        <is>
          <t>SCHNEIDER</t>
        </is>
      </c>
      <c r="C54" s="18" t="n">
        <v>1376.8</v>
      </c>
      <c r="D54" s="18" t="n">
        <v>1269.17</v>
      </c>
      <c r="E54" s="18" t="n">
        <v>1138.92</v>
      </c>
      <c r="F54" s="18" t="n">
        <v>914.34</v>
      </c>
      <c r="G54" s="19">
        <f>HYPERLINK("https://www.tradingview.com/chart/?symbol=NSE:SCHNEIDER","Chart 📈")</f>
        <v/>
      </c>
    </row>
    <row r="55" ht="16" customHeight="1">
      <c r="A55" s="20" t="inlineStr">
        <is>
          <t>NIFTY ENERGY</t>
        </is>
      </c>
      <c r="B55" s="17" t="inlineStr">
        <is>
          <t>SIEMENS</t>
        </is>
      </c>
      <c r="C55" s="18" t="n">
        <v>3677.2</v>
      </c>
      <c r="D55" s="18" t="n">
        <v>3669.75</v>
      </c>
      <c r="E55" s="18" t="n">
        <v>3546.22</v>
      </c>
      <c r="F55" s="18" t="n">
        <v>3308.96</v>
      </c>
      <c r="G55" s="19">
        <f>HYPERLINK("https://www.tradingview.com/chart/?symbol=NSE:SIEMENS","Chart 📈")</f>
        <v/>
      </c>
    </row>
    <row r="56" ht="16" customHeight="1">
      <c r="A56" s="20" t="inlineStr">
        <is>
          <t>NIFTY ENERGY</t>
        </is>
      </c>
      <c r="B56" s="17" t="inlineStr">
        <is>
          <t>SUZLON</t>
        </is>
      </c>
      <c r="C56" s="18" t="n">
        <v>54.58</v>
      </c>
      <c r="D56" s="18" t="n">
        <v>53.24</v>
      </c>
      <c r="E56" s="18" t="n">
        <v>50.92</v>
      </c>
      <c r="F56" s="18" t="n">
        <v>52.42</v>
      </c>
      <c r="G56" s="19">
        <f>HYPERLINK("https://www.tradingview.com/chart/?symbol=NSE:SUZLON","Chart 📈")</f>
        <v/>
      </c>
    </row>
    <row r="57" ht="16" customHeight="1">
      <c r="A57" s="20" t="inlineStr">
        <is>
          <t>NIFTY ENERGY</t>
        </is>
      </c>
      <c r="B57" s="17" t="inlineStr">
        <is>
          <t>TATAPOWER</t>
        </is>
      </c>
      <c r="C57" s="18" t="n">
        <v>420.95</v>
      </c>
      <c r="D57" s="18" t="n">
        <v>418.93</v>
      </c>
      <c r="E57" s="18" t="n">
        <v>413.04</v>
      </c>
      <c r="F57" s="18" t="n">
        <v>396.71</v>
      </c>
      <c r="G57" s="19">
        <f>HYPERLINK("https://www.tradingview.com/chart/?symbol=NSE:TATAPOWER","Chart 📈")</f>
        <v/>
      </c>
    </row>
    <row r="58" ht="16" customHeight="1">
      <c r="A58" s="20" t="inlineStr">
        <is>
          <t>NIFTY ENERGY</t>
        </is>
      </c>
      <c r="B58" s="17" t="inlineStr">
        <is>
          <t>THERMAX</t>
        </is>
      </c>
      <c r="C58" s="18" t="n">
        <v>4435.8</v>
      </c>
      <c r="D58" s="18" t="n">
        <v>4339.68</v>
      </c>
      <c r="E58" s="18" t="n">
        <v>3985.69</v>
      </c>
      <c r="F58" s="18" t="n">
        <v>3469.56</v>
      </c>
      <c r="G58" s="19">
        <f>HYPERLINK("https://www.tradingview.com/chart/?symbol=NSE:THERMAX","Chart 📈")</f>
        <v/>
      </c>
    </row>
    <row r="59" ht="16" customHeight="1">
      <c r="A59" s="20" t="inlineStr">
        <is>
          <t>NIFTY ENERGY</t>
        </is>
      </c>
      <c r="B59" s="17" t="inlineStr">
        <is>
          <t>TRITURBINE</t>
        </is>
      </c>
      <c r="C59" s="18" t="n">
        <v>690.45</v>
      </c>
      <c r="D59" s="18" t="n">
        <v>619.17</v>
      </c>
      <c r="E59" s="18" t="n">
        <v>565.13</v>
      </c>
      <c r="F59" s="18" t="n">
        <v>536.49</v>
      </c>
      <c r="G59" s="19">
        <f>HYPERLINK("https://www.tradingview.com/chart/?symbol=NSE:TRITURBINE","Chart 📈")</f>
        <v/>
      </c>
    </row>
    <row r="60" ht="16" customHeight="1">
      <c r="A60" s="12" t="inlineStr">
        <is>
          <t>NIFTY AUTO</t>
        </is>
      </c>
      <c r="B60" s="13" t="inlineStr">
        <is>
          <t>BAJAJ-AUTO</t>
        </is>
      </c>
      <c r="C60" s="14" t="n">
        <v>10593</v>
      </c>
      <c r="D60" s="14" t="n">
        <v>10296.13</v>
      </c>
      <c r="E60" s="14" t="n">
        <v>9957.18</v>
      </c>
      <c r="F60" s="14" t="n">
        <v>9390.07</v>
      </c>
      <c r="G60" s="15">
        <f>HYPERLINK("https://www.tradingview.com/chart/?symbol=NSE:BAJAJ-AUTO","Chart 📈")</f>
        <v/>
      </c>
    </row>
    <row r="61" ht="16" customHeight="1">
      <c r="A61" s="16" t="inlineStr">
        <is>
          <t>NIFTY AUTO</t>
        </is>
      </c>
      <c r="B61" s="13" t="inlineStr">
        <is>
          <t>BHARATFORG</t>
        </is>
      </c>
      <c r="C61" s="14" t="n">
        <v>1930.4</v>
      </c>
      <c r="D61" s="14" t="n">
        <v>1900.34</v>
      </c>
      <c r="E61" s="14" t="n">
        <v>1840.91</v>
      </c>
      <c r="F61" s="14" t="n">
        <v>1586.7</v>
      </c>
      <c r="G61" s="15">
        <f>HYPERLINK("https://www.tradingview.com/chart/?symbol=NSE:BHARATFORG","Chart 📈")</f>
        <v/>
      </c>
    </row>
    <row r="62" ht="16" customHeight="1">
      <c r="A62" s="16" t="inlineStr">
        <is>
          <t>NIFTY AUTO</t>
        </is>
      </c>
      <c r="B62" s="13" t="inlineStr">
        <is>
          <t>EICHERMOT</t>
        </is>
      </c>
      <c r="C62" s="14" t="n">
        <v>7376</v>
      </c>
      <c r="D62" s="14" t="n">
        <v>7111.06</v>
      </c>
      <c r="E62" s="14" t="n">
        <v>7142.14</v>
      </c>
      <c r="F62" s="14" t="n">
        <v>6897.04</v>
      </c>
      <c r="G62" s="15">
        <f>HYPERLINK("https://www.tradingview.com/chart/?symbol=NSE:EICHERMOT","Chart 📈")</f>
        <v/>
      </c>
    </row>
    <row r="63" ht="16" customHeight="1">
      <c r="A63" s="16" t="inlineStr">
        <is>
          <t>NIFTY AUTO</t>
        </is>
      </c>
      <c r="B63" s="13" t="inlineStr">
        <is>
          <t>EXIDEIND</t>
        </is>
      </c>
      <c r="C63" s="14" t="n">
        <v>366.25</v>
      </c>
      <c r="D63" s="14" t="n">
        <v>347.43</v>
      </c>
      <c r="E63" s="14" t="n">
        <v>340.35</v>
      </c>
      <c r="F63" s="14" t="n">
        <v>353</v>
      </c>
      <c r="G63" s="15">
        <f>HYPERLINK("https://www.tradingview.com/chart/?symbol=NSE:EXIDEIND","Chart 📈")</f>
        <v/>
      </c>
    </row>
    <row r="64" ht="16" customHeight="1">
      <c r="A64" s="16" t="inlineStr">
        <is>
          <t>NIFTY AUTO</t>
        </is>
      </c>
      <c r="B64" s="13" t="inlineStr">
        <is>
          <t>MOTHERSON</t>
        </is>
      </c>
      <c r="C64" s="14" t="n">
        <v>135.82</v>
      </c>
      <c r="D64" s="14" t="n">
        <v>129.84</v>
      </c>
      <c r="E64" s="14" t="n">
        <v>125.26</v>
      </c>
      <c r="F64" s="14" t="n">
        <v>116.08</v>
      </c>
      <c r="G64" s="15">
        <f>HYPERLINK("https://www.tradingview.com/chart/?symbol=NSE:MOTHERSON","Chart 📈")</f>
        <v/>
      </c>
    </row>
    <row r="65" ht="16" customHeight="1">
      <c r="A65" s="8" t="inlineStr">
        <is>
          <t>NIFTY FINANCIAL SERVICES</t>
        </is>
      </c>
      <c r="B65" s="17" t="inlineStr">
        <is>
          <t>AXISBANK</t>
        </is>
      </c>
      <c r="C65" s="18" t="n">
        <v>1299.3</v>
      </c>
      <c r="D65" s="18" t="n">
        <v>1276.94</v>
      </c>
      <c r="E65" s="18" t="n">
        <v>1284.46</v>
      </c>
      <c r="F65" s="18" t="n">
        <v>1258.7</v>
      </c>
      <c r="G65" s="19">
        <f>HYPERLINK("https://www.tradingview.com/chart/?symbol=NSE:AXISBANK","Chart 📈")</f>
        <v/>
      </c>
    </row>
    <row r="66" ht="16" customHeight="1">
      <c r="A66" s="20" t="inlineStr">
        <is>
          <t>NIFTY FINANCIAL SERVICES</t>
        </is>
      </c>
      <c r="B66" s="17" t="inlineStr">
        <is>
          <t>HDFCAMC</t>
        </is>
      </c>
      <c r="C66" s="18" t="n">
        <v>2739.8</v>
      </c>
      <c r="D66" s="18" t="n">
        <v>2710.58</v>
      </c>
      <c r="E66" s="18" t="n">
        <v>2665.41</v>
      </c>
      <c r="F66" s="18" t="n">
        <v>2629.44</v>
      </c>
      <c r="G66" s="19">
        <f>HYPERLINK("https://www.tradingview.com/chart/?symbol=NSE:HDFCAMC","Chart 📈")</f>
        <v/>
      </c>
    </row>
    <row r="67" ht="16" customHeight="1">
      <c r="A67" s="20" t="inlineStr">
        <is>
          <t>NIFTY FINANCIAL SERVICES</t>
        </is>
      </c>
      <c r="B67" s="17" t="inlineStr">
        <is>
          <t>MCX</t>
        </is>
      </c>
      <c r="C67" s="18" t="n">
        <v>3307.3</v>
      </c>
      <c r="D67" s="18" t="n">
        <v>3183.75</v>
      </c>
      <c r="E67" s="18" t="n">
        <v>2928.86</v>
      </c>
      <c r="F67" s="18" t="n">
        <v>2329.14</v>
      </c>
      <c r="G67" s="19">
        <f>HYPERLINK("https://www.tradingview.com/chart/?symbol=NSE:MCX","Chart 📈")</f>
        <v/>
      </c>
    </row>
    <row r="68" ht="16" customHeight="1">
      <c r="A68" s="12" t="inlineStr">
        <is>
          <t>NIFTY FMCG</t>
        </is>
      </c>
      <c r="B68" s="13" t="inlineStr">
        <is>
          <t>MARICO</t>
        </is>
      </c>
      <c r="C68" s="14" t="n">
        <v>830</v>
      </c>
      <c r="D68" s="14" t="n">
        <v>818.29</v>
      </c>
      <c r="E68" s="14" t="n">
        <v>795.08</v>
      </c>
      <c r="F68" s="14" t="n">
        <v>756</v>
      </c>
      <c r="G68" s="15">
        <f>HYPERLINK("https://www.tradingview.com/chart/?symbol=NSE:MARICO","Chart 📈")</f>
        <v/>
      </c>
    </row>
    <row r="69" ht="16" customHeight="1">
      <c r="A69" s="16" t="inlineStr">
        <is>
          <t>NIFTY FMCG</t>
        </is>
      </c>
      <c r="B69" s="13" t="inlineStr">
        <is>
          <t>NESTLEIND</t>
        </is>
      </c>
      <c r="C69" s="14" t="n">
        <v>1428.6</v>
      </c>
      <c r="D69" s="14" t="n">
        <v>1423.26</v>
      </c>
      <c r="E69" s="14" t="n">
        <v>1371.63</v>
      </c>
      <c r="F69" s="14" t="n">
        <v>1284.79</v>
      </c>
      <c r="G69" s="15">
        <f>HYPERLINK("https://www.tradingview.com/chart/?symbol=NSE:NESTLEIND","Chart 📈")</f>
        <v/>
      </c>
    </row>
    <row r="70" ht="16" customHeight="1">
      <c r="A70" s="16" t="inlineStr">
        <is>
          <t>NIFTY FMCG</t>
        </is>
      </c>
      <c r="B70" s="13" t="inlineStr">
        <is>
          <t>RADICO</t>
        </is>
      </c>
      <c r="C70" s="14" t="n">
        <v>3578.4</v>
      </c>
      <c r="D70" s="14" t="n">
        <v>3445.94</v>
      </c>
      <c r="E70" s="14" t="n">
        <v>3230.97</v>
      </c>
      <c r="F70" s="14" t="n">
        <v>2983.14</v>
      </c>
      <c r="G70" s="15">
        <f>HYPERLINK("https://www.tradingview.com/chart/?symbol=NSE:RADICO","Chart 📈")</f>
        <v/>
      </c>
    </row>
    <row r="71" ht="16" customHeight="1">
      <c r="A71" s="16" t="inlineStr">
        <is>
          <t>NIFTY FMCG</t>
        </is>
      </c>
      <c r="B71" s="13" t="inlineStr">
        <is>
          <t>TATACONSUM</t>
        </is>
      </c>
      <c r="C71" s="14" t="n">
        <v>1187.6</v>
      </c>
      <c r="D71" s="14" t="n">
        <v>1181.74</v>
      </c>
      <c r="E71" s="14" t="n">
        <v>1151.27</v>
      </c>
      <c r="F71" s="14" t="n">
        <v>1131.4</v>
      </c>
      <c r="G71" s="15">
        <f>HYPERLINK("https://www.tradingview.com/chart/?symbol=NSE:TATACONSUM","Chart 📈")</f>
        <v/>
      </c>
    </row>
    <row r="72" ht="16" customHeight="1">
      <c r="A72" s="16" t="inlineStr">
        <is>
          <t>NIFTY FMCG</t>
        </is>
      </c>
      <c r="B72" s="13" t="inlineStr">
        <is>
          <t>VBL</t>
        </is>
      </c>
      <c r="C72" s="14" t="n">
        <v>531.3</v>
      </c>
      <c r="D72" s="14" t="n">
        <v>508.78</v>
      </c>
      <c r="E72" s="14" t="n">
        <v>484.22</v>
      </c>
      <c r="F72" s="14" t="n">
        <v>469.95</v>
      </c>
      <c r="G72" s="15">
        <f>HYPERLINK("https://www.tradingview.com/chart/?symbol=NSE:VBL","Chart 📈")</f>
        <v/>
      </c>
    </row>
    <row r="73" ht="16" customHeight="1">
      <c r="A73" s="8" t="inlineStr">
        <is>
          <t>NIFTY MEDIA</t>
        </is>
      </c>
      <c r="B73" s="17" t="inlineStr">
        <is>
          <t>NAZARA</t>
        </is>
      </c>
      <c r="C73" s="18" t="n">
        <v>290.55</v>
      </c>
      <c r="D73" s="18" t="n">
        <v>279.36</v>
      </c>
      <c r="E73" s="18" t="n">
        <v>269.17</v>
      </c>
      <c r="F73" s="18" t="n">
        <v>273.39</v>
      </c>
      <c r="G73" s="19">
        <f>HYPERLINK("https://www.tradingview.com/chart/?symbol=NSE:NAZARA","Chart 📈")</f>
        <v/>
      </c>
    </row>
    <row r="74" ht="16" customHeight="1">
      <c r="A74" s="20" t="inlineStr">
        <is>
          <t>NIFTY MEDIA</t>
        </is>
      </c>
      <c r="B74" s="17" t="inlineStr">
        <is>
          <t>SAREGAMA</t>
        </is>
      </c>
      <c r="C74" s="18" t="n">
        <v>396.05</v>
      </c>
      <c r="D74" s="18" t="n">
        <v>376.99</v>
      </c>
      <c r="E74" s="18" t="n">
        <v>359.59</v>
      </c>
      <c r="F74" s="18" t="n">
        <v>390.88</v>
      </c>
      <c r="G74" s="19">
        <f>HYPERLINK("https://www.tradingview.com/chart/?symbol=NSE:SAREGAMA","Chart 📈")</f>
        <v/>
      </c>
    </row>
    <row r="75" ht="16" customHeight="1">
      <c r="A75" s="20" t="inlineStr">
        <is>
          <t>NIFTY MEDIA</t>
        </is>
      </c>
      <c r="B75" s="17" t="inlineStr">
        <is>
          <t>TIPSMUSIC</t>
        </is>
      </c>
      <c r="C75" s="18" t="n">
        <v>655.15</v>
      </c>
      <c r="D75" s="18" t="n">
        <v>643.1799999999999</v>
      </c>
      <c r="E75" s="18" t="n">
        <v>608.89</v>
      </c>
      <c r="F75" s="18" t="n">
        <v>577.4400000000001</v>
      </c>
      <c r="G75" s="19">
        <f>HYPERLINK("https://www.tradingview.com/chart/?symbol=NSE:TIPSMUSIC","Chart 📈")</f>
        <v/>
      </c>
    </row>
    <row r="76" ht="16" customHeight="1">
      <c r="A76" s="12" t="inlineStr">
        <is>
          <t>NIFTY PSU BANK</t>
        </is>
      </c>
      <c r="B76" s="13" t="inlineStr">
        <is>
          <t>MAHABANK</t>
        </is>
      </c>
      <c r="C76" s="14" t="n">
        <v>80.18000000000001</v>
      </c>
      <c r="D76" s="14" t="n">
        <v>79.03</v>
      </c>
      <c r="E76" s="14" t="n">
        <v>75.31</v>
      </c>
      <c r="F76" s="14" t="n">
        <v>65.26000000000001</v>
      </c>
      <c r="G76" s="15">
        <f>HYPERLINK("https://www.tradingview.com/chart/?symbol=NSE:MAHABANK","Chart 📈")</f>
        <v/>
      </c>
    </row>
    <row r="77" ht="16" customHeight="1">
      <c r="A77" s="8" t="inlineStr">
        <is>
          <t>NIFTY CONSUMER DURABLES</t>
        </is>
      </c>
      <c r="B77" s="17" t="inlineStr">
        <is>
          <t>CERA</t>
        </is>
      </c>
      <c r="C77" s="18" t="n">
        <v>5743</v>
      </c>
      <c r="D77" s="18" t="n">
        <v>5616.34</v>
      </c>
      <c r="E77" s="18" t="n">
        <v>5383.38</v>
      </c>
      <c r="F77" s="18" t="n">
        <v>5527.74</v>
      </c>
      <c r="G77" s="19">
        <f>HYPERLINK("https://www.tradingview.com/chart/?symbol=NSE:CERA","Chart 📈")</f>
        <v/>
      </c>
    </row>
    <row r="78" ht="16" customHeight="1">
      <c r="A78" s="20" t="inlineStr">
        <is>
          <t>NIFTY CONSUMER DURABLES</t>
        </is>
      </c>
      <c r="B78" s="17" t="inlineStr">
        <is>
          <t>CROMPTON</t>
        </is>
      </c>
      <c r="C78" s="18" t="n">
        <v>289.05</v>
      </c>
      <c r="D78" s="18" t="n">
        <v>284.7</v>
      </c>
      <c r="E78" s="18" t="n">
        <v>271.06</v>
      </c>
      <c r="F78" s="18" t="n">
        <v>277.51</v>
      </c>
      <c r="G78" s="19">
        <f>HYPERLINK("https://www.tradingview.com/chart/?symbol=NSE:CROMPTON","Chart 📈")</f>
        <v/>
      </c>
    </row>
    <row r="79" ht="16" customHeight="1">
      <c r="A79" s="12" t="inlineStr">
        <is>
          <t>NIFTY BANK</t>
        </is>
      </c>
      <c r="B79" s="13" t="inlineStr">
        <is>
          <t>AUBANK</t>
        </is>
      </c>
      <c r="C79" s="14" t="n">
        <v>1011.8</v>
      </c>
      <c r="D79" s="14" t="n">
        <v>994.99</v>
      </c>
      <c r="E79" s="14" t="n">
        <v>984.59</v>
      </c>
      <c r="F79" s="14" t="n">
        <v>915.75</v>
      </c>
      <c r="G79" s="15">
        <f>HYPERLINK("https://www.tradingview.com/chart/?symbol=NSE:AUBANK","Chart 📈")</f>
        <v/>
      </c>
    </row>
    <row r="80" ht="16" customHeight="1">
      <c r="A80" s="16" t="inlineStr">
        <is>
          <t>NIFTY BANK</t>
        </is>
      </c>
      <c r="B80" s="13" t="inlineStr">
        <is>
          <t>FEDERALBNK</t>
        </is>
      </c>
      <c r="C80" s="14" t="n">
        <v>290.2</v>
      </c>
      <c r="D80" s="14" t="n">
        <v>287.34</v>
      </c>
      <c r="E80" s="14" t="n">
        <v>284.59</v>
      </c>
      <c r="F80" s="14" t="n">
        <v>259.14</v>
      </c>
      <c r="G80" s="15">
        <f>HYPERLINK("https://www.tradingview.com/chart/?symbol=NSE:FEDERALBNK","Chart 📈")</f>
        <v/>
      </c>
    </row>
    <row r="81" ht="16" customHeight="1">
      <c r="A81" s="16" t="inlineStr">
        <is>
          <t>NIFTY BANK</t>
        </is>
      </c>
      <c r="B81" s="13" t="inlineStr">
        <is>
          <t>INDUSINDBK</t>
        </is>
      </c>
      <c r="C81" s="14" t="n">
        <v>932.3</v>
      </c>
      <c r="D81" s="14" t="n">
        <v>903.24</v>
      </c>
      <c r="E81" s="14" t="n">
        <v>886.79</v>
      </c>
      <c r="F81" s="14" t="n">
        <v>856.26</v>
      </c>
      <c r="G81" s="15">
        <f>HYPERLINK("https://www.tradingview.com/chart/?symbol=NSE:INDUSINDBK","Chart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2026-05-26T14:03:58Z</dcterms:created>
  <dcterms:modified xsi:type="dcterms:W3CDTF">2026-05-26T14:03:58Z</dcterms:modified>
</cp:coreProperties>
</file>