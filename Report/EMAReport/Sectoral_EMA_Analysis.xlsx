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05-Aug-2026  13:00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15</v>
      </c>
      <c r="D4" s="5" t="n">
        <v>15</v>
      </c>
      <c r="E4" s="5" t="n">
        <v>13</v>
      </c>
      <c r="F4" s="6" t="n">
        <v>1</v>
      </c>
      <c r="G4" s="6" t="n">
        <v>1</v>
      </c>
      <c r="H4" s="6" t="n">
        <v>0.867</v>
      </c>
      <c r="I4" s="7" t="n">
        <v>0.9556999999999999</v>
      </c>
    </row>
    <row r="5" ht="17" customHeight="1">
      <c r="A5" s="8" t="inlineStr">
        <is>
          <t>NIFTY METAL</t>
        </is>
      </c>
      <c r="B5" s="9" t="n">
        <v>15</v>
      </c>
      <c r="C5" s="9" t="n">
        <v>13</v>
      </c>
      <c r="D5" s="9" t="n">
        <v>13</v>
      </c>
      <c r="E5" s="9" t="n">
        <v>13</v>
      </c>
      <c r="F5" s="10" t="n">
        <v>0.867</v>
      </c>
      <c r="G5" s="10" t="n">
        <v>0.867</v>
      </c>
      <c r="H5" s="10" t="n">
        <v>0.867</v>
      </c>
      <c r="I5" s="11" t="n">
        <v>0.867</v>
      </c>
    </row>
    <row r="6" ht="17" customHeight="1">
      <c r="A6" s="4" t="inlineStr">
        <is>
          <t>NIFTY PHARMA</t>
        </is>
      </c>
      <c r="B6" s="5" t="n">
        <v>20</v>
      </c>
      <c r="C6" s="5" t="n">
        <v>13</v>
      </c>
      <c r="D6" s="5" t="n">
        <v>17</v>
      </c>
      <c r="E6" s="5" t="n">
        <v>18</v>
      </c>
      <c r="F6" s="6" t="n">
        <v>0.65</v>
      </c>
      <c r="G6" s="6" t="n">
        <v>0.85</v>
      </c>
      <c r="H6" s="6" t="n">
        <v>0.9</v>
      </c>
      <c r="I6" s="7" t="n">
        <v>0.8</v>
      </c>
    </row>
    <row r="7" ht="17" customHeight="1">
      <c r="A7" s="8" t="inlineStr">
        <is>
          <t>NIFTY REALTY</t>
        </is>
      </c>
      <c r="B7" s="9" t="n">
        <v>10</v>
      </c>
      <c r="C7" s="9" t="n">
        <v>5</v>
      </c>
      <c r="D7" s="9" t="n">
        <v>8</v>
      </c>
      <c r="E7" s="9" t="n">
        <v>8</v>
      </c>
      <c r="F7" s="10" t="n">
        <v>0.5</v>
      </c>
      <c r="G7" s="10" t="n">
        <v>0.8</v>
      </c>
      <c r="H7" s="10" t="n">
        <v>0.8</v>
      </c>
      <c r="I7" s="11" t="n">
        <v>0.7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15</v>
      </c>
      <c r="D8" s="5" t="n">
        <v>13</v>
      </c>
      <c r="E8" s="5" t="n">
        <v>12</v>
      </c>
      <c r="F8" s="6" t="n">
        <v>0.75</v>
      </c>
      <c r="G8" s="6" t="n">
        <v>0.65</v>
      </c>
      <c r="H8" s="6" t="n">
        <v>0.6</v>
      </c>
      <c r="I8" s="7" t="n">
        <v>0.6667000000000001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10</v>
      </c>
      <c r="D9" s="9" t="n">
        <v>11</v>
      </c>
      <c r="E9" s="9" t="n">
        <v>7</v>
      </c>
      <c r="F9" s="10" t="n">
        <v>0.667</v>
      </c>
      <c r="G9" s="10" t="n">
        <v>0.733</v>
      </c>
      <c r="H9" s="10" t="n">
        <v>0.467</v>
      </c>
      <c r="I9" s="11" t="n">
        <v>0.6223</v>
      </c>
    </row>
    <row r="10" ht="17" customHeight="1">
      <c r="A10" s="4" t="inlineStr">
        <is>
          <t>NIFTY PSU BANK</t>
        </is>
      </c>
      <c r="B10" s="5" t="n">
        <v>12</v>
      </c>
      <c r="C10" s="5" t="n">
        <v>8</v>
      </c>
      <c r="D10" s="5" t="n">
        <v>7</v>
      </c>
      <c r="E10" s="5" t="n">
        <v>6</v>
      </c>
      <c r="F10" s="6" t="n">
        <v>0.667</v>
      </c>
      <c r="G10" s="6" t="n">
        <v>0.583</v>
      </c>
      <c r="H10" s="6" t="n">
        <v>0.5</v>
      </c>
      <c r="I10" s="7" t="n">
        <v>0.5832999999999999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11</v>
      </c>
      <c r="D11" s="9" t="n">
        <v>11</v>
      </c>
      <c r="E11" s="9" t="n">
        <v>10</v>
      </c>
      <c r="F11" s="10" t="n">
        <v>0.55</v>
      </c>
      <c r="G11" s="10" t="n">
        <v>0.55</v>
      </c>
      <c r="H11" s="10" t="n">
        <v>0.5</v>
      </c>
      <c r="I11" s="11" t="n">
        <v>0.5333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9</v>
      </c>
      <c r="D12" s="5" t="n">
        <v>8</v>
      </c>
      <c r="E12" s="5" t="n">
        <v>6</v>
      </c>
      <c r="F12" s="6" t="n">
        <v>0.6</v>
      </c>
      <c r="G12" s="6" t="n">
        <v>0.5329999999999999</v>
      </c>
      <c r="H12" s="6" t="n">
        <v>0.4</v>
      </c>
      <c r="I12" s="7" t="n">
        <v>0.511</v>
      </c>
    </row>
    <row r="13" ht="17" customHeight="1">
      <c r="A13" s="8" t="inlineStr">
        <is>
          <t>NIFTY FMCG</t>
        </is>
      </c>
      <c r="B13" s="9" t="n">
        <v>15</v>
      </c>
      <c r="C13" s="9" t="n">
        <v>8</v>
      </c>
      <c r="D13" s="9" t="n">
        <v>9</v>
      </c>
      <c r="E13" s="9" t="n">
        <v>5</v>
      </c>
      <c r="F13" s="10" t="n">
        <v>0.5329999999999999</v>
      </c>
      <c r="G13" s="10" t="n">
        <v>0.6</v>
      </c>
      <c r="H13" s="10" t="n">
        <v>0.333</v>
      </c>
      <c r="I13" s="11" t="n">
        <v>0.4887</v>
      </c>
    </row>
    <row r="14" ht="17" customHeight="1">
      <c r="A14" s="4" t="inlineStr">
        <is>
          <t>NIFTY IT</t>
        </is>
      </c>
      <c r="B14" s="5" t="n">
        <v>10</v>
      </c>
      <c r="C14" s="5" t="n">
        <v>5</v>
      </c>
      <c r="D14" s="5" t="n">
        <v>5</v>
      </c>
      <c r="E14" s="5" t="n">
        <v>2</v>
      </c>
      <c r="F14" s="6" t="n">
        <v>0.5</v>
      </c>
      <c r="G14" s="6" t="n">
        <v>0.5</v>
      </c>
      <c r="H14" s="6" t="n">
        <v>0.2</v>
      </c>
      <c r="I14" s="7" t="n">
        <v>0.4</v>
      </c>
    </row>
    <row r="15" ht="17" customHeight="1">
      <c r="A15" s="8" t="inlineStr">
        <is>
          <t>NIFTY MEDIA</t>
        </is>
      </c>
      <c r="B15" s="9" t="n">
        <v>10</v>
      </c>
      <c r="C15" s="9" t="n">
        <v>3</v>
      </c>
      <c r="D15" s="9" t="n">
        <v>4</v>
      </c>
      <c r="E15" s="9" t="n">
        <v>4</v>
      </c>
      <c r="F15" s="10" t="n">
        <v>0.3</v>
      </c>
      <c r="G15" s="10" t="n">
        <v>0.4</v>
      </c>
      <c r="H15" s="10" t="n">
        <v>0.4</v>
      </c>
      <c r="I15" s="11" t="n">
        <v>0.3667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13</v>
      </c>
      <c r="D17" s="9" t="n">
        <v>8</v>
      </c>
      <c r="E17" s="9" t="n">
        <v>15</v>
      </c>
      <c r="F17" s="10" t="n">
        <v>0.325</v>
      </c>
      <c r="G17" s="10" t="n">
        <v>0.2</v>
      </c>
      <c r="H17" s="10" t="n">
        <v>0.375</v>
      </c>
      <c r="I17" s="11" t="n">
        <v>0.3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444.9</v>
      </c>
      <c r="D3" s="14" t="n">
        <v>430.03</v>
      </c>
      <c r="E3" s="14" t="n">
        <v>424.46</v>
      </c>
      <c r="F3" s="14" t="n">
        <v>437.9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177</v>
      </c>
      <c r="D4" s="14" t="n">
        <v>161.55</v>
      </c>
      <c r="E4" s="14" t="n">
        <v>159.3</v>
      </c>
      <c r="F4" s="14" t="n">
        <v>158.36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11800</v>
      </c>
      <c r="D5" s="14" t="n">
        <v>11002.09</v>
      </c>
      <c r="E5" s="14" t="n">
        <v>10524.5</v>
      </c>
      <c r="F5" s="14" t="n">
        <v>9699.700000000001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2501.6</v>
      </c>
      <c r="D6" s="14" t="n">
        <v>2237.15</v>
      </c>
      <c r="E6" s="14" t="n">
        <v>2198.23</v>
      </c>
      <c r="F6" s="14" t="n">
        <v>2267.93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BHARATFORG</t>
        </is>
      </c>
      <c r="C7" s="14" t="n">
        <v>2197.1</v>
      </c>
      <c r="D7" s="14" t="n">
        <v>2164.75</v>
      </c>
      <c r="E7" s="14" t="n">
        <v>2090.55</v>
      </c>
      <c r="F7" s="14" t="n">
        <v>1779.43</v>
      </c>
      <c r="G7" s="15">
        <f>HYPERLINK("https://www.tradingview.com/chart/?symbol=NSE:BHARATFORG","Chart 📈")</f>
        <v/>
      </c>
    </row>
    <row r="8" ht="16" customHeight="1">
      <c r="A8" s="16" t="inlineStr">
        <is>
          <t>NIFTY AUTO</t>
        </is>
      </c>
      <c r="B8" s="13" t="inlineStr">
        <is>
          <t>BOSCHLTD</t>
        </is>
      </c>
      <c r="C8" s="14" t="n">
        <v>42920</v>
      </c>
      <c r="D8" s="14" t="n">
        <v>41142.76</v>
      </c>
      <c r="E8" s="14" t="n">
        <v>39915.71</v>
      </c>
      <c r="F8" s="14" t="n">
        <v>37857.81</v>
      </c>
      <c r="G8" s="15">
        <f>HYPERLINK("https://www.tradingview.com/chart/?symbol=NSE:BOSCHLTD","Chart 📈")</f>
        <v/>
      </c>
    </row>
    <row r="9" ht="16" customHeight="1">
      <c r="A9" s="16" t="inlineStr">
        <is>
          <t>NIFTY AUTO</t>
        </is>
      </c>
      <c r="B9" s="13" t="inlineStr">
        <is>
          <t>EICHERMOT</t>
        </is>
      </c>
      <c r="C9" s="14" t="n">
        <v>7986.5</v>
      </c>
      <c r="D9" s="14" t="n">
        <v>7667.61</v>
      </c>
      <c r="E9" s="14" t="n">
        <v>7461.7</v>
      </c>
      <c r="F9" s="14" t="n">
        <v>7090.81</v>
      </c>
      <c r="G9" s="15">
        <f>HYPERLINK("https://www.tradingview.com/chart/?symbol=NSE:EICHERMOT","Chart 📈")</f>
        <v/>
      </c>
    </row>
    <row r="10" ht="16" customHeight="1">
      <c r="A10" s="16" t="inlineStr">
        <is>
          <t>NIFTY AUTO</t>
        </is>
      </c>
      <c r="B10" s="13" t="inlineStr">
        <is>
          <t>EXIDEIND</t>
        </is>
      </c>
      <c r="C10" s="14" t="n">
        <v>467</v>
      </c>
      <c r="D10" s="14" t="n">
        <v>435.18</v>
      </c>
      <c r="E10" s="14" t="n">
        <v>410.69</v>
      </c>
      <c r="F10" s="14" t="n">
        <v>375.45</v>
      </c>
      <c r="G10" s="15">
        <f>HYPERLINK("https://www.tradingview.com/chart/?symbol=NSE:EXIDEIND","Chart 📈")</f>
        <v/>
      </c>
    </row>
    <row r="11" ht="16" customHeight="1">
      <c r="A11" s="16" t="inlineStr">
        <is>
          <t>NIFTY AUTO</t>
        </is>
      </c>
      <c r="B11" s="13" t="inlineStr">
        <is>
          <t>HEROMOTOCO</t>
        </is>
      </c>
      <c r="C11" s="14" t="n">
        <v>5690</v>
      </c>
      <c r="D11" s="14" t="n">
        <v>5172.31</v>
      </c>
      <c r="E11" s="14" t="n">
        <v>5036.75</v>
      </c>
      <c r="F11" s="14" t="n">
        <v>5078.97</v>
      </c>
      <c r="G11" s="15">
        <f>HYPERLINK("https://www.tradingview.com/chart/?symbol=NSE:HEROMOTOCO","Chart 📈")</f>
        <v/>
      </c>
    </row>
    <row r="12" ht="16" customHeight="1">
      <c r="A12" s="16" t="inlineStr">
        <is>
          <t>NIFTY AUTO</t>
        </is>
      </c>
      <c r="B12" s="13" t="inlineStr">
        <is>
          <t>M&amp;M</t>
        </is>
      </c>
      <c r="C12" s="14" t="n">
        <v>3455.4</v>
      </c>
      <c r="D12" s="14" t="n">
        <v>3261.86</v>
      </c>
      <c r="E12" s="14" t="n">
        <v>3180.93</v>
      </c>
      <c r="F12" s="14" t="n">
        <v>3235.78</v>
      </c>
      <c r="G12" s="15">
        <f>HYPERLINK("https://www.tradingview.com/chart/?symbol=NSE:M&amp;M","Chart 📈")</f>
        <v/>
      </c>
    </row>
    <row r="13" ht="16" customHeight="1">
      <c r="A13" s="16" t="inlineStr">
        <is>
          <t>NIFTY AUTO</t>
        </is>
      </c>
      <c r="B13" s="13" t="inlineStr">
        <is>
          <t>MARUTI</t>
        </is>
      </c>
      <c r="C13" s="14" t="n">
        <v>14190</v>
      </c>
      <c r="D13" s="14" t="n">
        <v>13863.87</v>
      </c>
      <c r="E13" s="14" t="n">
        <v>13715.04</v>
      </c>
      <c r="F13" s="14" t="n">
        <v>13966.85</v>
      </c>
      <c r="G13" s="15">
        <f>HYPERLINK("https://www.tradingview.com/chart/?symbol=NSE:MARUTI","Chart 📈")</f>
        <v/>
      </c>
    </row>
    <row r="14" ht="16" customHeight="1">
      <c r="A14" s="16" t="inlineStr">
        <is>
          <t>NIFTY AUTO</t>
        </is>
      </c>
      <c r="B14" s="13" t="inlineStr">
        <is>
          <t>MOTHERSON</t>
        </is>
      </c>
      <c r="C14" s="14" t="n">
        <v>154.35</v>
      </c>
      <c r="D14" s="14" t="n">
        <v>147.76</v>
      </c>
      <c r="E14" s="14" t="n">
        <v>143.6</v>
      </c>
      <c r="F14" s="14" t="n">
        <v>127.52</v>
      </c>
      <c r="G14" s="15">
        <f>HYPERLINK("https://www.tradingview.com/chart/?symbol=NSE:MOTHERSON","Chart 📈")</f>
        <v/>
      </c>
    </row>
    <row r="15" ht="16" customHeight="1">
      <c r="A15" s="16" t="inlineStr">
        <is>
          <t>NIFTY AUTO</t>
        </is>
      </c>
      <c r="B15" s="13" t="inlineStr">
        <is>
          <t>TVSMOTOR</t>
        </is>
      </c>
      <c r="C15" s="14" t="n">
        <v>4455.2</v>
      </c>
      <c r="D15" s="14" t="n">
        <v>3956.46</v>
      </c>
      <c r="E15" s="14" t="n">
        <v>3737.09</v>
      </c>
      <c r="F15" s="14" t="n">
        <v>3556.82</v>
      </c>
      <c r="G15" s="15">
        <f>HYPERLINK("https://www.tradingview.com/chart/?symbol=NSE:TVSMOTOR","Chart 📈")</f>
        <v/>
      </c>
    </row>
    <row r="16" ht="16" customHeight="1">
      <c r="A16" s="8" t="inlineStr">
        <is>
          <t>NIFTY METAL</t>
        </is>
      </c>
      <c r="B16" s="17" t="inlineStr">
        <is>
          <t>APLAPOLLO</t>
        </is>
      </c>
      <c r="C16" s="18" t="n">
        <v>1948.5</v>
      </c>
      <c r="D16" s="18" t="n">
        <v>1858.42</v>
      </c>
      <c r="E16" s="18" t="n">
        <v>1852.61</v>
      </c>
      <c r="F16" s="18" t="n">
        <v>1863.58</v>
      </c>
      <c r="G16" s="19">
        <f>HYPERLINK("https://www.tradingview.com/chart/?symbol=NSE:APLAPOLLO","Chart 📈")</f>
        <v/>
      </c>
    </row>
    <row r="17" ht="16" customHeight="1">
      <c r="A17" s="20" t="inlineStr">
        <is>
          <t>NIFTY METAL</t>
        </is>
      </c>
      <c r="B17" s="17" t="inlineStr">
        <is>
          <t>HINDALCO</t>
        </is>
      </c>
      <c r="C17" s="18" t="n">
        <v>1040</v>
      </c>
      <c r="D17" s="18" t="n">
        <v>975.5700000000001</v>
      </c>
      <c r="E17" s="18" t="n">
        <v>985.9400000000001</v>
      </c>
      <c r="F17" s="18" t="n">
        <v>932.96</v>
      </c>
      <c r="G17" s="19">
        <f>HYPERLINK("https://www.tradingview.com/chart/?symbol=NSE:HINDALCO","Chart 📈")</f>
        <v/>
      </c>
    </row>
    <row r="18" ht="16" customHeight="1">
      <c r="A18" s="20" t="inlineStr">
        <is>
          <t>NIFTY METAL</t>
        </is>
      </c>
      <c r="B18" s="17" t="inlineStr">
        <is>
          <t>HINDCOPPER</t>
        </is>
      </c>
      <c r="C18" s="18" t="n">
        <v>533.8</v>
      </c>
      <c r="D18" s="18" t="n">
        <v>494.11</v>
      </c>
      <c r="E18" s="18" t="n">
        <v>503.53</v>
      </c>
      <c r="F18" s="18" t="n">
        <v>475.26</v>
      </c>
      <c r="G18" s="19">
        <f>HYPERLINK("https://www.tradingview.com/chart/?symbol=NSE:HINDCOPPER","Chart 📈")</f>
        <v/>
      </c>
    </row>
    <row r="19" ht="16" customHeight="1">
      <c r="A19" s="20" t="inlineStr">
        <is>
          <t>NIFTY METAL</t>
        </is>
      </c>
      <c r="B19" s="17" t="inlineStr">
        <is>
          <t>HINDZINC</t>
        </is>
      </c>
      <c r="C19" s="18" t="n">
        <v>596.95</v>
      </c>
      <c r="D19" s="18" t="n">
        <v>543.83</v>
      </c>
      <c r="E19" s="18" t="n">
        <v>552.04</v>
      </c>
      <c r="F19" s="18" t="n">
        <v>546.98</v>
      </c>
      <c r="G19" s="19">
        <f>HYPERLINK("https://www.tradingview.com/chart/?symbol=NSE:HINDZINC","Chart 📈")</f>
        <v/>
      </c>
    </row>
    <row r="20" ht="16" customHeight="1">
      <c r="A20" s="20" t="inlineStr">
        <is>
          <t>NIFTY METAL</t>
        </is>
      </c>
      <c r="B20" s="17" t="inlineStr">
        <is>
          <t>JINDALSTEL</t>
        </is>
      </c>
      <c r="C20" s="18" t="n">
        <v>1113.4</v>
      </c>
      <c r="D20" s="18" t="n">
        <v>1074.12</v>
      </c>
      <c r="E20" s="18" t="n">
        <v>1096.73</v>
      </c>
      <c r="F20" s="18" t="n">
        <v>1112.05</v>
      </c>
      <c r="G20" s="19">
        <f>HYPERLINK("https://www.tradingview.com/chart/?symbol=NSE:JINDALSTEL","Chart 📈")</f>
        <v/>
      </c>
    </row>
    <row r="21" ht="16" customHeight="1">
      <c r="A21" s="20" t="inlineStr">
        <is>
          <t>NIFTY METAL</t>
        </is>
      </c>
      <c r="B21" s="17" t="inlineStr">
        <is>
          <t>JSL</t>
        </is>
      </c>
      <c r="C21" s="18" t="n">
        <v>744.5</v>
      </c>
      <c r="D21" s="18" t="n">
        <v>726.08</v>
      </c>
      <c r="E21" s="18" t="n">
        <v>720.99</v>
      </c>
      <c r="F21" s="18" t="n">
        <v>738.8200000000001</v>
      </c>
      <c r="G21" s="19">
        <f>HYPERLINK("https://www.tradingview.com/chart/?symbol=NSE:JSL","Chart 📈")</f>
        <v/>
      </c>
    </row>
    <row r="22" ht="16" customHeight="1">
      <c r="A22" s="20" t="inlineStr">
        <is>
          <t>NIFTY METAL</t>
        </is>
      </c>
      <c r="B22" s="17" t="inlineStr">
        <is>
          <t>JSWSTEEL</t>
        </is>
      </c>
      <c r="C22" s="18" t="n">
        <v>1330</v>
      </c>
      <c r="D22" s="18" t="n">
        <v>1266.57</v>
      </c>
      <c r="E22" s="18" t="n">
        <v>1256.01</v>
      </c>
      <c r="F22" s="18" t="n">
        <v>1207.01</v>
      </c>
      <c r="G22" s="19">
        <f>HYPERLINK("https://www.tradingview.com/chart/?symbol=NSE:JSWSTEEL","Chart 📈")</f>
        <v/>
      </c>
    </row>
    <row r="23" ht="16" customHeight="1">
      <c r="A23" s="20" t="inlineStr">
        <is>
          <t>NIFTY METAL</t>
        </is>
      </c>
      <c r="B23" s="17" t="inlineStr">
        <is>
          <t>NATIONALUM</t>
        </is>
      </c>
      <c r="C23" s="18" t="n">
        <v>381</v>
      </c>
      <c r="D23" s="18" t="n">
        <v>355.34</v>
      </c>
      <c r="E23" s="18" t="n">
        <v>362.95</v>
      </c>
      <c r="F23" s="18" t="n">
        <v>339.52</v>
      </c>
      <c r="G23" s="19">
        <f>HYPERLINK("https://www.tradingview.com/chart/?symbol=NSE:NATIONALUM","Chart 📈")</f>
        <v/>
      </c>
    </row>
    <row r="24" ht="16" customHeight="1">
      <c r="A24" s="20" t="inlineStr">
        <is>
          <t>NIFTY METAL</t>
        </is>
      </c>
      <c r="B24" s="17" t="inlineStr">
        <is>
          <t>NMDC</t>
        </is>
      </c>
      <c r="C24" s="18" t="n">
        <v>85.8</v>
      </c>
      <c r="D24" s="18" t="n">
        <v>84.64</v>
      </c>
      <c r="E24" s="18" t="n">
        <v>85.56999999999999</v>
      </c>
      <c r="F24" s="18" t="n">
        <v>82.14</v>
      </c>
      <c r="G24" s="19">
        <f>HYPERLINK("https://www.tradingview.com/chart/?symbol=NSE:NMDC","Chart 📈")</f>
        <v/>
      </c>
    </row>
    <row r="25" ht="16" customHeight="1">
      <c r="A25" s="20" t="inlineStr">
        <is>
          <t>NIFTY METAL</t>
        </is>
      </c>
      <c r="B25" s="17" t="inlineStr">
        <is>
          <t>SAIL</t>
        </is>
      </c>
      <c r="C25" s="18" t="n">
        <v>175.5</v>
      </c>
      <c r="D25" s="18" t="n">
        <v>168.28</v>
      </c>
      <c r="E25" s="18" t="n">
        <v>171.78</v>
      </c>
      <c r="F25" s="18" t="n">
        <v>161.9</v>
      </c>
      <c r="G25" s="19">
        <f>HYPERLINK("https://www.tradingview.com/chart/?symbol=NSE:SAIL","Chart 📈")</f>
        <v/>
      </c>
    </row>
    <row r="26" ht="16" customHeight="1">
      <c r="A26" s="20" t="inlineStr">
        <is>
          <t>NIFTY METAL</t>
        </is>
      </c>
      <c r="B26" s="17" t="inlineStr">
        <is>
          <t>TATASTEEL</t>
        </is>
      </c>
      <c r="C26" s="18" t="n">
        <v>192.99</v>
      </c>
      <c r="D26" s="18" t="n">
        <v>188.51</v>
      </c>
      <c r="E26" s="18" t="n">
        <v>191.72</v>
      </c>
      <c r="F26" s="18" t="n">
        <v>188.14</v>
      </c>
      <c r="G26" s="19">
        <f>HYPERLINK("https://www.tradingview.com/chart/?symbol=NSE:TATASTEEL","Chart 📈")</f>
        <v/>
      </c>
    </row>
    <row r="27" ht="16" customHeight="1">
      <c r="A27" s="20" t="inlineStr">
        <is>
          <t>NIFTY METAL</t>
        </is>
      </c>
      <c r="B27" s="17" t="inlineStr">
        <is>
          <t>WELCORP</t>
        </is>
      </c>
      <c r="C27" s="18" t="n">
        <v>1788.1</v>
      </c>
      <c r="D27" s="18" t="n">
        <v>1641.66</v>
      </c>
      <c r="E27" s="18" t="n">
        <v>1520.18</v>
      </c>
      <c r="F27" s="18" t="n">
        <v>1176.5</v>
      </c>
      <c r="G27" s="19">
        <f>HYPERLINK("https://www.tradingview.com/chart/?symbol=NSE:WELCORP","Chart 📈")</f>
        <v/>
      </c>
    </row>
    <row r="28" ht="16" customHeight="1">
      <c r="A28" s="12" t="inlineStr">
        <is>
          <t>NIFTY PHARMA</t>
        </is>
      </c>
      <c r="B28" s="13" t="inlineStr">
        <is>
          <t>ABBOTINDIA</t>
        </is>
      </c>
      <c r="C28" s="14" t="n">
        <v>27785</v>
      </c>
      <c r="D28" s="14" t="n">
        <v>27359.89</v>
      </c>
      <c r="E28" s="14" t="n">
        <v>26693.06</v>
      </c>
      <c r="F28" s="14" t="n">
        <v>27196.51</v>
      </c>
      <c r="G28" s="15">
        <f>HYPERLINK("https://www.tradingview.com/chart/?symbol=NSE:ABBOTINDIA","Chart 📈")</f>
        <v/>
      </c>
    </row>
    <row r="29" ht="16" customHeight="1">
      <c r="A29" s="16" t="inlineStr">
        <is>
          <t>NIFTY PHARMA</t>
        </is>
      </c>
      <c r="B29" s="13" t="inlineStr">
        <is>
          <t>AJANTPHARM</t>
        </is>
      </c>
      <c r="C29" s="14" t="n">
        <v>3437.5</v>
      </c>
      <c r="D29" s="14" t="n">
        <v>3387.27</v>
      </c>
      <c r="E29" s="14" t="n">
        <v>3266.48</v>
      </c>
      <c r="F29" s="14" t="n">
        <v>2954.62</v>
      </c>
      <c r="G29" s="15">
        <f>HYPERLINK("https://www.tradingview.com/chart/?symbol=NSE:AJANTPHARM","Chart 📈")</f>
        <v/>
      </c>
    </row>
    <row r="30" ht="16" customHeight="1">
      <c r="A30" s="16" t="inlineStr">
        <is>
          <t>NIFTY PHARMA</t>
        </is>
      </c>
      <c r="B30" s="13" t="inlineStr">
        <is>
          <t>ALKEM</t>
        </is>
      </c>
      <c r="C30" s="14" t="n">
        <v>5696.5</v>
      </c>
      <c r="D30" s="14" t="n">
        <v>5634.98</v>
      </c>
      <c r="E30" s="14" t="n">
        <v>5556.8</v>
      </c>
      <c r="F30" s="14" t="n">
        <v>5449.54</v>
      </c>
      <c r="G30" s="15">
        <f>HYPERLINK("https://www.tradingview.com/chart/?symbol=NSE:ALKEM","Chart 📈")</f>
        <v/>
      </c>
    </row>
    <row r="31" ht="16" customHeight="1">
      <c r="A31" s="16" t="inlineStr">
        <is>
          <t>NIFTY PHARMA</t>
        </is>
      </c>
      <c r="B31" s="13" t="inlineStr">
        <is>
          <t>AUROPHARMA</t>
        </is>
      </c>
      <c r="C31" s="14" t="n">
        <v>1613.4</v>
      </c>
      <c r="D31" s="14" t="n">
        <v>1560.63</v>
      </c>
      <c r="E31" s="14" t="n">
        <v>1523.07</v>
      </c>
      <c r="F31" s="14" t="n">
        <v>1356.13</v>
      </c>
      <c r="G31" s="15">
        <f>HYPERLINK("https://www.tradingview.com/chart/?symbol=NSE:AUROPHARMA","Chart 📈")</f>
        <v/>
      </c>
    </row>
    <row r="32" ht="16" customHeight="1">
      <c r="A32" s="16" t="inlineStr">
        <is>
          <t>NIFTY PHARMA</t>
        </is>
      </c>
      <c r="B32" s="13" t="inlineStr">
        <is>
          <t>CIPLA</t>
        </is>
      </c>
      <c r="C32" s="14" t="n">
        <v>1458.8</v>
      </c>
      <c r="D32" s="14" t="n">
        <v>1444.15</v>
      </c>
      <c r="E32" s="14" t="n">
        <v>1418.73</v>
      </c>
      <c r="F32" s="14" t="n">
        <v>1400.84</v>
      </c>
      <c r="G32" s="15">
        <f>HYPERLINK("https://www.tradingview.com/chart/?symbol=NSE:CIPLA","Chart 📈")</f>
        <v/>
      </c>
    </row>
    <row r="33" ht="16" customHeight="1">
      <c r="A33" s="16" t="inlineStr">
        <is>
          <t>NIFTY PHARMA</t>
        </is>
      </c>
      <c r="B33" s="13" t="inlineStr">
        <is>
          <t>DIVISLAB</t>
        </is>
      </c>
      <c r="C33" s="14" t="n">
        <v>8388</v>
      </c>
      <c r="D33" s="14" t="n">
        <v>7610.13</v>
      </c>
      <c r="E33" s="14" t="n">
        <v>7151.55</v>
      </c>
      <c r="F33" s="14" t="n">
        <v>6615.95</v>
      </c>
      <c r="G33" s="15">
        <f>HYPERLINK("https://www.tradingview.com/chart/?symbol=NSE:DIVISLAB","Chart 📈")</f>
        <v/>
      </c>
    </row>
    <row r="34" ht="16" customHeight="1">
      <c r="A34" s="16" t="inlineStr">
        <is>
          <t>NIFTY PHARMA</t>
        </is>
      </c>
      <c r="B34" s="13" t="inlineStr">
        <is>
          <t>GLAND</t>
        </is>
      </c>
      <c r="C34" s="14" t="n">
        <v>2545.1</v>
      </c>
      <c r="D34" s="14" t="n">
        <v>2475.78</v>
      </c>
      <c r="E34" s="14" t="n">
        <v>2358.06</v>
      </c>
      <c r="F34" s="14" t="n">
        <v>2057.22</v>
      </c>
      <c r="G34" s="15">
        <f>HYPERLINK("https://www.tradingview.com/chart/?symbol=NSE:GLAND","Chart 📈")</f>
        <v/>
      </c>
    </row>
    <row r="35" ht="16" customHeight="1">
      <c r="A35" s="16" t="inlineStr">
        <is>
          <t>NIFTY PHARMA</t>
        </is>
      </c>
      <c r="B35" s="13" t="inlineStr">
        <is>
          <t>GLENMARK</t>
        </is>
      </c>
      <c r="C35" s="14" t="n">
        <v>2259</v>
      </c>
      <c r="D35" s="14" t="n">
        <v>2228.22</v>
      </c>
      <c r="E35" s="14" t="n">
        <v>2228.21</v>
      </c>
      <c r="F35" s="14" t="n">
        <v>2152.11</v>
      </c>
      <c r="G35" s="15">
        <f>HYPERLINK("https://www.tradingview.com/chart/?symbol=NSE:GLENMARK","Chart 📈")</f>
        <v/>
      </c>
    </row>
    <row r="36" ht="16" customHeight="1">
      <c r="A36" s="16" t="inlineStr">
        <is>
          <t>NIFTY PHARMA</t>
        </is>
      </c>
      <c r="B36" s="13" t="inlineStr">
        <is>
          <t>GRANULES</t>
        </is>
      </c>
      <c r="C36" s="14" t="n">
        <v>845.1</v>
      </c>
      <c r="D36" s="14" t="n">
        <v>844.45</v>
      </c>
      <c r="E36" s="14" t="n">
        <v>813.4</v>
      </c>
      <c r="F36" s="14" t="n">
        <v>682.52</v>
      </c>
      <c r="G36" s="15">
        <f>HYPERLINK("https://www.tradingview.com/chart/?symbol=NSE:GRANULES","Chart 📈")</f>
        <v/>
      </c>
    </row>
    <row r="37" ht="16" customHeight="1">
      <c r="A37" s="16" t="inlineStr">
        <is>
          <t>NIFTY PHARMA</t>
        </is>
      </c>
      <c r="B37" s="13" t="inlineStr">
        <is>
          <t>IPCALAB</t>
        </is>
      </c>
      <c r="C37" s="14" t="n">
        <v>1765</v>
      </c>
      <c r="D37" s="14" t="n">
        <v>1762.43</v>
      </c>
      <c r="E37" s="14" t="n">
        <v>1708.39</v>
      </c>
      <c r="F37" s="14" t="n">
        <v>1562.41</v>
      </c>
      <c r="G37" s="15">
        <f>HYPERLINK("https://www.tradingview.com/chart/?symbol=NSE:IPCALAB","Chart 📈")</f>
        <v/>
      </c>
    </row>
    <row r="38" ht="16" customHeight="1">
      <c r="A38" s="16" t="inlineStr">
        <is>
          <t>NIFTY PHARMA</t>
        </is>
      </c>
      <c r="B38" s="13" t="inlineStr">
        <is>
          <t>JBCHEPHARM</t>
        </is>
      </c>
      <c r="C38" s="14" t="n">
        <v>2408.9</v>
      </c>
      <c r="D38" s="14" t="n">
        <v>2383.66</v>
      </c>
      <c r="E38" s="14" t="n">
        <v>2287.69</v>
      </c>
      <c r="F38" s="14" t="n">
        <v>2040.14</v>
      </c>
      <c r="G38" s="15">
        <f>HYPERLINK("https://www.tradingview.com/chart/?symbol=NSE:JBCHEPHARM","Chart 📈")</f>
        <v/>
      </c>
    </row>
    <row r="39" ht="16" customHeight="1">
      <c r="A39" s="16" t="inlineStr">
        <is>
          <t>NIFTY PHARMA</t>
        </is>
      </c>
      <c r="B39" s="13" t="inlineStr">
        <is>
          <t>LAURUSLABS</t>
        </is>
      </c>
      <c r="C39" s="14" t="n">
        <v>1835</v>
      </c>
      <c r="D39" s="14" t="n">
        <v>1681.54</v>
      </c>
      <c r="E39" s="14" t="n">
        <v>1539.97</v>
      </c>
      <c r="F39" s="14" t="n">
        <v>1236.88</v>
      </c>
      <c r="G39" s="15">
        <f>HYPERLINK("https://www.tradingview.com/chart/?symbol=NSE:LAURUSLABS","Chart 📈")</f>
        <v/>
      </c>
    </row>
    <row r="40" ht="16" customHeight="1">
      <c r="A40" s="16" t="inlineStr">
        <is>
          <t>NIFTY PHARMA</t>
        </is>
      </c>
      <c r="B40" s="13" t="inlineStr">
        <is>
          <t>TORNTPHARM</t>
        </is>
      </c>
      <c r="C40" s="14" t="n">
        <v>5000</v>
      </c>
      <c r="D40" s="14" t="n">
        <v>4938.25</v>
      </c>
      <c r="E40" s="14" t="n">
        <v>4758.57</v>
      </c>
      <c r="F40" s="14" t="n">
        <v>4285.49</v>
      </c>
      <c r="G40" s="15">
        <f>HYPERLINK("https://www.tradingview.com/chart/?symbol=NSE:TORNTPHARM","Chart 📈")</f>
        <v/>
      </c>
    </row>
    <row r="41" ht="16" customHeight="1">
      <c r="A41" s="8" t="inlineStr">
        <is>
          <t>NIFTY REALTY</t>
        </is>
      </c>
      <c r="B41" s="17" t="inlineStr">
        <is>
          <t>GODREJPROP</t>
        </is>
      </c>
      <c r="C41" s="18" t="n">
        <v>2099</v>
      </c>
      <c r="D41" s="18" t="n">
        <v>2061.9</v>
      </c>
      <c r="E41" s="18" t="n">
        <v>1962.71</v>
      </c>
      <c r="F41" s="18" t="n">
        <v>1892.23</v>
      </c>
      <c r="G41" s="19">
        <f>HYPERLINK("https://www.tradingview.com/chart/?symbol=NSE:GODREJPROP","Chart 📈")</f>
        <v/>
      </c>
    </row>
    <row r="42" ht="16" customHeight="1">
      <c r="A42" s="20" t="inlineStr">
        <is>
          <t>NIFTY REALTY</t>
        </is>
      </c>
      <c r="B42" s="17" t="inlineStr">
        <is>
          <t>LODHA</t>
        </is>
      </c>
      <c r="C42" s="18" t="n">
        <v>1250</v>
      </c>
      <c r="D42" s="18" t="n">
        <v>1193.79</v>
      </c>
      <c r="E42" s="18" t="n">
        <v>1092.34</v>
      </c>
      <c r="F42" s="18" t="n">
        <v>1035.21</v>
      </c>
      <c r="G42" s="19">
        <f>HYPERLINK("https://www.tradingview.com/chart/?symbol=NSE:LODHA","Chart 📈")</f>
        <v/>
      </c>
    </row>
    <row r="43" ht="16" customHeight="1">
      <c r="A43" s="20" t="inlineStr">
        <is>
          <t>NIFTY REALTY</t>
        </is>
      </c>
      <c r="B43" s="17" t="inlineStr">
        <is>
          <t>MAHLIFE</t>
        </is>
      </c>
      <c r="C43" s="18" t="n">
        <v>382.85</v>
      </c>
      <c r="D43" s="18" t="n">
        <v>379.88</v>
      </c>
      <c r="E43" s="18" t="n">
        <v>365.52</v>
      </c>
      <c r="F43" s="18" t="n">
        <v>356.57</v>
      </c>
      <c r="G43" s="19">
        <f>HYPERLINK("https://www.tradingview.com/chart/?symbol=NSE:MAHLIFE","Chart 📈")</f>
        <v/>
      </c>
    </row>
    <row r="44" ht="16" customHeight="1">
      <c r="A44" s="20" t="inlineStr">
        <is>
          <t>NIFTY REALTY</t>
        </is>
      </c>
      <c r="B44" s="17" t="inlineStr">
        <is>
          <t>RAYMOND</t>
        </is>
      </c>
      <c r="C44" s="18" t="n">
        <v>629.4</v>
      </c>
      <c r="D44" s="18" t="n">
        <v>599.6900000000001</v>
      </c>
      <c r="E44" s="18" t="n">
        <v>576.99</v>
      </c>
      <c r="F44" s="18" t="n">
        <v>522.17</v>
      </c>
      <c r="G44" s="19">
        <f>HYPERLINK("https://www.tradingview.com/chart/?symbol=NSE:RAYMOND","Chart 📈")</f>
        <v/>
      </c>
    </row>
    <row r="45" ht="16" customHeight="1">
      <c r="A45" s="12" t="inlineStr">
        <is>
          <t>NIFTY MIDSMALL IT &amp; TELECOM</t>
        </is>
      </c>
      <c r="B45" s="13" t="inlineStr">
        <is>
          <t>AFFLE</t>
        </is>
      </c>
      <c r="C45" s="14" t="n">
        <v>1662.6</v>
      </c>
      <c r="D45" s="14" t="n">
        <v>1567.09</v>
      </c>
      <c r="E45" s="14" t="n">
        <v>1518.09</v>
      </c>
      <c r="F45" s="14" t="n">
        <v>1580.74</v>
      </c>
      <c r="G45" s="15">
        <f>HYPERLINK("https://www.tradingview.com/chart/?symbol=NSE:AFFLE","Chart 📈")</f>
        <v/>
      </c>
    </row>
    <row r="46" ht="16" customHeight="1">
      <c r="A46" s="16" t="inlineStr">
        <is>
          <t>NIFTY MIDSMALL IT &amp; TELECOM</t>
        </is>
      </c>
      <c r="B46" s="13" t="inlineStr">
        <is>
          <t>COFORGE</t>
        </is>
      </c>
      <c r="C46" s="14" t="n">
        <v>1777</v>
      </c>
      <c r="D46" s="14" t="n">
        <v>1611.14</v>
      </c>
      <c r="E46" s="14" t="n">
        <v>1512.92</v>
      </c>
      <c r="F46" s="14" t="n">
        <v>1488.8</v>
      </c>
      <c r="G46" s="15">
        <f>HYPERLINK("https://www.tradingview.com/chart/?symbol=NSE:COFORGE","Chart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HFCL</t>
        </is>
      </c>
      <c r="C47" s="14" t="n">
        <v>212.23</v>
      </c>
      <c r="D47" s="14" t="n">
        <v>204.11</v>
      </c>
      <c r="E47" s="14" t="n">
        <v>192.08</v>
      </c>
      <c r="F47" s="14" t="n">
        <v>131.53</v>
      </c>
      <c r="G47" s="15">
        <f>HYPERLINK("https://www.tradingview.com/chart/?symbol=NSE:HFCL","Chart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MPHASIS</t>
        </is>
      </c>
      <c r="C48" s="14" t="n">
        <v>2460</v>
      </c>
      <c r="D48" s="14" t="n">
        <v>2344.75</v>
      </c>
      <c r="E48" s="14" t="n">
        <v>2292.64</v>
      </c>
      <c r="F48" s="14" t="n">
        <v>2380.15</v>
      </c>
      <c r="G48" s="15">
        <f>HYPERLINK("https://www.tradingview.com/chart/?symbol=NSE:MPHASIS","Chart 📈")</f>
        <v/>
      </c>
    </row>
    <row r="49" ht="16" customHeight="1">
      <c r="A49" s="16" t="inlineStr">
        <is>
          <t>NIFTY MIDSMALL IT &amp; TELECOM</t>
        </is>
      </c>
      <c r="B49" s="13" t="inlineStr">
        <is>
          <t>OFSS</t>
        </is>
      </c>
      <c r="C49" s="14" t="n">
        <v>11759</v>
      </c>
      <c r="D49" s="14" t="n">
        <v>11251.78</v>
      </c>
      <c r="E49" s="14" t="n">
        <v>10665.6</v>
      </c>
      <c r="F49" s="14" t="n">
        <v>9044.940000000001</v>
      </c>
      <c r="G49" s="15">
        <f>HYPERLINK("https://www.tradingview.com/chart/?symbol=NSE:OFSS","Chart 📈")</f>
        <v/>
      </c>
    </row>
    <row r="50" ht="16" customHeight="1">
      <c r="A50" s="16" t="inlineStr">
        <is>
          <t>NIFTY MIDSMALL IT &amp; TELECOM</t>
        </is>
      </c>
      <c r="B50" s="13" t="inlineStr">
        <is>
          <t>PERSISTENT</t>
        </is>
      </c>
      <c r="C50" s="14" t="n">
        <v>5520</v>
      </c>
      <c r="D50" s="14" t="n">
        <v>5239.59</v>
      </c>
      <c r="E50" s="14" t="n">
        <v>5085.77</v>
      </c>
      <c r="F50" s="14" t="n">
        <v>5222.34</v>
      </c>
      <c r="G50" s="15">
        <f>HYPERLINK("https://www.tradingview.com/chart/?symbol=NSE:PERSISTENT","Chart 📈")</f>
        <v/>
      </c>
    </row>
    <row r="51" ht="16" customHeight="1">
      <c r="A51" s="16" t="inlineStr">
        <is>
          <t>NIFTY MIDSMALL IT &amp; TELECOM</t>
        </is>
      </c>
      <c r="B51" s="13" t="inlineStr">
        <is>
          <t>SONATSOFTW</t>
        </is>
      </c>
      <c r="C51" s="14" t="n">
        <v>337.5</v>
      </c>
      <c r="D51" s="14" t="n">
        <v>307.75</v>
      </c>
      <c r="E51" s="14" t="n">
        <v>290.97</v>
      </c>
      <c r="F51" s="14" t="n">
        <v>295.31</v>
      </c>
      <c r="G51" s="15">
        <f>HYPERLINK("https://www.tradingview.com/chart/?symbol=NSE:SONATSOFTW","Chart 📈")</f>
        <v/>
      </c>
    </row>
    <row r="52" ht="16" customHeight="1">
      <c r="A52" s="16" t="inlineStr">
        <is>
          <t>NIFTY MIDSMALL IT &amp; TELECOM</t>
        </is>
      </c>
      <c r="B52" s="13" t="inlineStr">
        <is>
          <t>TANLA</t>
        </is>
      </c>
      <c r="C52" s="14" t="n">
        <v>614</v>
      </c>
      <c r="D52" s="14" t="n">
        <v>584.0599999999999</v>
      </c>
      <c r="E52" s="14" t="n">
        <v>555.08</v>
      </c>
      <c r="F52" s="14" t="n">
        <v>540.38</v>
      </c>
      <c r="G52" s="15">
        <f>HYPERLINK("https://www.tradingview.com/chart/?symbol=NSE:TANLA","Chart 📈")</f>
        <v/>
      </c>
    </row>
    <row r="53" ht="16" customHeight="1">
      <c r="A53" s="16" t="inlineStr">
        <is>
          <t>NIFTY MIDSMALL IT &amp; TELECOM</t>
        </is>
      </c>
      <c r="B53" s="13" t="inlineStr">
        <is>
          <t>TATATECH</t>
        </is>
      </c>
      <c r="C53" s="14" t="n">
        <v>754</v>
      </c>
      <c r="D53" s="14" t="n">
        <v>739.8099999999999</v>
      </c>
      <c r="E53" s="14" t="n">
        <v>718.96</v>
      </c>
      <c r="F53" s="14" t="n">
        <v>667.13</v>
      </c>
      <c r="G53" s="15">
        <f>HYPERLINK("https://www.tradingview.com/chart/?symbol=NSE:TATATECH","Chart 📈")</f>
        <v/>
      </c>
    </row>
    <row r="54" ht="16" customHeight="1">
      <c r="A54" s="8" t="inlineStr">
        <is>
          <t>NIFTY CONSUMER DURABLES</t>
        </is>
      </c>
      <c r="B54" s="17" t="inlineStr">
        <is>
          <t>CERA</t>
        </is>
      </c>
      <c r="C54" s="18" t="n">
        <v>6294.5</v>
      </c>
      <c r="D54" s="18" t="n">
        <v>6196.32</v>
      </c>
      <c r="E54" s="18" t="n">
        <v>6051.28</v>
      </c>
      <c r="F54" s="18" t="n">
        <v>5708.03</v>
      </c>
      <c r="G54" s="19">
        <f>HYPERLINK("https://www.tradingview.com/chart/?symbol=NSE:CERA","Chart 📈")</f>
        <v/>
      </c>
    </row>
    <row r="55" ht="16" customHeight="1">
      <c r="A55" s="20" t="inlineStr">
        <is>
          <t>NIFTY CONSUMER DURABLES</t>
        </is>
      </c>
      <c r="B55" s="17" t="inlineStr">
        <is>
          <t>DIXON</t>
        </is>
      </c>
      <c r="C55" s="18" t="n">
        <v>14310</v>
      </c>
      <c r="D55" s="18" t="n">
        <v>13796.21</v>
      </c>
      <c r="E55" s="18" t="n">
        <v>13020.62</v>
      </c>
      <c r="F55" s="18" t="n">
        <v>12831.11</v>
      </c>
      <c r="G55" s="19">
        <f>HYPERLINK("https://www.tradingview.com/chart/?symbol=NSE:DIXON","Chart 📈")</f>
        <v/>
      </c>
    </row>
    <row r="56" ht="16" customHeight="1">
      <c r="A56" s="20" t="inlineStr">
        <is>
          <t>NIFTY CONSUMER DURABLES</t>
        </is>
      </c>
      <c r="B56" s="17" t="inlineStr">
        <is>
          <t>KALYANKJIL</t>
        </is>
      </c>
      <c r="C56" s="18" t="n">
        <v>569.5</v>
      </c>
      <c r="D56" s="18" t="n">
        <v>556.46</v>
      </c>
      <c r="E56" s="18" t="n">
        <v>486.33</v>
      </c>
      <c r="F56" s="18" t="n">
        <v>455.1</v>
      </c>
      <c r="G56" s="19">
        <f>HYPERLINK("https://www.tradingview.com/chart/?symbol=NSE:KALYANKJIL","Chart 📈")</f>
        <v/>
      </c>
    </row>
    <row r="57" ht="16" customHeight="1">
      <c r="A57" s="20" t="inlineStr">
        <is>
          <t>NIFTY CONSUMER DURABLES</t>
        </is>
      </c>
      <c r="B57" s="17" t="inlineStr">
        <is>
          <t>TITAN</t>
        </is>
      </c>
      <c r="C57" s="18" t="n">
        <v>4912.4</v>
      </c>
      <c r="D57" s="18" t="n">
        <v>4743.07</v>
      </c>
      <c r="E57" s="18" t="n">
        <v>4546.65</v>
      </c>
      <c r="F57" s="18" t="n">
        <v>4183.52</v>
      </c>
      <c r="G57" s="19">
        <f>HYPERLINK("https://www.tradingview.com/chart/?symbol=NSE:TITAN","Chart 📈")</f>
        <v/>
      </c>
    </row>
    <row r="58" ht="16" customHeight="1">
      <c r="A58" s="12" t="inlineStr">
        <is>
          <t>NIFTY PSU BANK</t>
        </is>
      </c>
      <c r="B58" s="13" t="inlineStr">
        <is>
          <t>INDIANB</t>
        </is>
      </c>
      <c r="C58" s="14" t="n">
        <v>854</v>
      </c>
      <c r="D58" s="14" t="n">
        <v>834.55</v>
      </c>
      <c r="E58" s="14" t="n">
        <v>834.29</v>
      </c>
      <c r="F58" s="14" t="n">
        <v>817.22</v>
      </c>
      <c r="G58" s="15">
        <f>HYPERLINK("https://www.tradingview.com/chart/?symbol=NSE:INDIANB","Chart 📈")</f>
        <v/>
      </c>
    </row>
    <row r="59" ht="16" customHeight="1">
      <c r="A59" s="16" t="inlineStr">
        <is>
          <t>NIFTY PSU BANK</t>
        </is>
      </c>
      <c r="B59" s="13" t="inlineStr">
        <is>
          <t>PNB</t>
        </is>
      </c>
      <c r="C59" s="14" t="n">
        <v>113.55</v>
      </c>
      <c r="D59" s="14" t="n">
        <v>110.37</v>
      </c>
      <c r="E59" s="14" t="n">
        <v>108.29</v>
      </c>
      <c r="F59" s="14" t="n">
        <v>109.04</v>
      </c>
      <c r="G59" s="15">
        <f>HYPERLINK("https://www.tradingview.com/chart/?symbol=NSE:PNB","Chart 📈")</f>
        <v/>
      </c>
    </row>
    <row r="60" ht="16" customHeight="1">
      <c r="A60" s="16" t="inlineStr">
        <is>
          <t>NIFTY PSU BANK</t>
        </is>
      </c>
      <c r="B60" s="13" t="inlineStr">
        <is>
          <t>SBIN</t>
        </is>
      </c>
      <c r="C60" s="14" t="n">
        <v>1055</v>
      </c>
      <c r="D60" s="14" t="n">
        <v>1031.62</v>
      </c>
      <c r="E60" s="14" t="n">
        <v>1026.25</v>
      </c>
      <c r="F60" s="14" t="n">
        <v>994.05</v>
      </c>
      <c r="G60" s="15">
        <f>HYPERLINK("https://www.tradingview.com/chart/?symbol=NSE:SBIN","Chart 📈")</f>
        <v/>
      </c>
    </row>
    <row r="61" ht="16" customHeight="1">
      <c r="A61" s="16" t="inlineStr">
        <is>
          <t>NIFTY PSU BANK</t>
        </is>
      </c>
      <c r="B61" s="13" t="inlineStr">
        <is>
          <t>UNIONBANK</t>
        </is>
      </c>
      <c r="C61" s="14" t="n">
        <v>175.8</v>
      </c>
      <c r="D61" s="14" t="n">
        <v>170.54</v>
      </c>
      <c r="E61" s="14" t="n">
        <v>168.39</v>
      </c>
      <c r="F61" s="14" t="n">
        <v>161.19</v>
      </c>
      <c r="G61" s="15">
        <f>HYPERLINK("https://www.tradingview.com/chart/?symbol=NSE:UNIONBANK","Chart 📈")</f>
        <v/>
      </c>
    </row>
    <row r="62" ht="16" customHeight="1">
      <c r="A62" s="8" t="inlineStr">
        <is>
          <t>NIFTY FINANCIAL SERVICES</t>
        </is>
      </c>
      <c r="B62" s="17" t="inlineStr">
        <is>
          <t>BAJAJFINSV</t>
        </is>
      </c>
      <c r="C62" s="18" t="n">
        <v>2086</v>
      </c>
      <c r="D62" s="18" t="n">
        <v>1943.55</v>
      </c>
      <c r="E62" s="18" t="n">
        <v>1871.55</v>
      </c>
      <c r="F62" s="18" t="n">
        <v>1880.21</v>
      </c>
      <c r="G62" s="19">
        <f>HYPERLINK("https://www.tradingview.com/chart/?symbol=NSE:BAJAJFINSV","Chart 📈")</f>
        <v/>
      </c>
    </row>
    <row r="63" ht="16" customHeight="1">
      <c r="A63" s="20" t="inlineStr">
        <is>
          <t>NIFTY FINANCIAL SERVICES</t>
        </is>
      </c>
      <c r="B63" s="17" t="inlineStr">
        <is>
          <t>BAJFINANCE</t>
        </is>
      </c>
      <c r="C63" s="18" t="n">
        <v>1158.8</v>
      </c>
      <c r="D63" s="18" t="n">
        <v>1070.77</v>
      </c>
      <c r="E63" s="18" t="n">
        <v>1016.05</v>
      </c>
      <c r="F63" s="18" t="n">
        <v>961.61</v>
      </c>
      <c r="G63" s="19">
        <f>HYPERLINK("https://www.tradingview.com/chart/?symbol=NSE:BAJFINANCE","Chart 📈")</f>
        <v/>
      </c>
    </row>
    <row r="64" ht="16" customHeight="1">
      <c r="A64" s="20" t="inlineStr">
        <is>
          <t>NIFTY FINANCIAL SERVICES</t>
        </is>
      </c>
      <c r="B64" s="17" t="inlineStr">
        <is>
          <t>CHOLAFIN</t>
        </is>
      </c>
      <c r="C64" s="18" t="n">
        <v>1880</v>
      </c>
      <c r="D64" s="18" t="n">
        <v>1800.12</v>
      </c>
      <c r="E64" s="18" t="n">
        <v>1736.29</v>
      </c>
      <c r="F64" s="18" t="n">
        <v>1642.75</v>
      </c>
      <c r="G64" s="19">
        <f>HYPERLINK("https://www.tradingview.com/chart/?symbol=NSE:CHOLAFIN","Chart 📈")</f>
        <v/>
      </c>
    </row>
    <row r="65" ht="16" customHeight="1">
      <c r="A65" s="20" t="inlineStr">
        <is>
          <t>NIFTY FINANCIAL SERVICES</t>
        </is>
      </c>
      <c r="B65" s="17" t="inlineStr">
        <is>
          <t>ICICIBANK</t>
        </is>
      </c>
      <c r="C65" s="18" t="n">
        <v>1450.1</v>
      </c>
      <c r="D65" s="18" t="n">
        <v>1421.35</v>
      </c>
      <c r="E65" s="18" t="n">
        <v>1378.59</v>
      </c>
      <c r="F65" s="18" t="n">
        <v>1348.76</v>
      </c>
      <c r="G65" s="19">
        <f>HYPERLINK("https://www.tradingview.com/chart/?symbol=NSE:ICICIBANK","Chart 📈")</f>
        <v/>
      </c>
    </row>
    <row r="66" ht="16" customHeight="1">
      <c r="A66" s="20" t="inlineStr">
        <is>
          <t>NIFTY FINANCIAL SERVICES</t>
        </is>
      </c>
      <c r="B66" s="17" t="inlineStr">
        <is>
          <t>KOTAKBANK</t>
        </is>
      </c>
      <c r="C66" s="18" t="n">
        <v>400</v>
      </c>
      <c r="D66" s="18" t="n">
        <v>389.17</v>
      </c>
      <c r="E66" s="18" t="n">
        <v>388.21</v>
      </c>
      <c r="F66" s="18" t="n">
        <v>395.14</v>
      </c>
      <c r="G66" s="19">
        <f>HYPERLINK("https://www.tradingview.com/chart/?symbol=NSE:KOTAKBANK","Chart 📈")</f>
        <v/>
      </c>
    </row>
    <row r="67" ht="16" customHeight="1">
      <c r="A67" s="20" t="inlineStr">
        <is>
          <t>NIFTY FINANCIAL SERVICES</t>
        </is>
      </c>
      <c r="B67" s="17" t="inlineStr">
        <is>
          <t>PFC</t>
        </is>
      </c>
      <c r="C67" s="18" t="n">
        <v>418</v>
      </c>
      <c r="D67" s="18" t="n">
        <v>415.77</v>
      </c>
      <c r="E67" s="18" t="n">
        <v>417.88</v>
      </c>
      <c r="F67" s="18" t="n">
        <v>407.59</v>
      </c>
      <c r="G67" s="19">
        <f>HYPERLINK("https://www.tradingview.com/chart/?symbol=NSE:PFC","Chart 📈")</f>
        <v/>
      </c>
    </row>
    <row r="68" ht="16" customHeight="1">
      <c r="A68" s="20" t="inlineStr">
        <is>
          <t>NIFTY FINANCIAL SERVICES</t>
        </is>
      </c>
      <c r="B68" s="17" t="inlineStr">
        <is>
          <t>RECLTD</t>
        </is>
      </c>
      <c r="C68" s="18" t="n">
        <v>366</v>
      </c>
      <c r="D68" s="18" t="n">
        <v>361.55</v>
      </c>
      <c r="E68" s="18" t="n">
        <v>355.34</v>
      </c>
      <c r="F68" s="18" t="n">
        <v>351.64</v>
      </c>
      <c r="G68" s="19">
        <f>HYPERLINK("https://www.tradingview.com/chart/?symbol=NSE:RECLTD","Chart 📈")</f>
        <v/>
      </c>
    </row>
    <row r="69" ht="16" customHeight="1">
      <c r="A69" s="20" t="inlineStr">
        <is>
          <t>NIFTY FINANCIAL SERVICES</t>
        </is>
      </c>
      <c r="B69" s="17" t="inlineStr">
        <is>
          <t>SBILIFE</t>
        </is>
      </c>
      <c r="C69" s="18" t="n">
        <v>1879.9</v>
      </c>
      <c r="D69" s="18" t="n">
        <v>1856.64</v>
      </c>
      <c r="E69" s="18" t="n">
        <v>1838.37</v>
      </c>
      <c r="F69" s="18" t="n">
        <v>1877.17</v>
      </c>
      <c r="G69" s="19">
        <f>HYPERLINK("https://www.tradingview.com/chart/?symbol=NSE:SBILIFE","Chart 📈")</f>
        <v/>
      </c>
    </row>
    <row r="70" ht="16" customHeight="1">
      <c r="A70" s="20" t="inlineStr">
        <is>
          <t>NIFTY FINANCIAL SERVICES</t>
        </is>
      </c>
      <c r="B70" s="17" t="inlineStr">
        <is>
          <t>SHRIRAMFIN</t>
        </is>
      </c>
      <c r="C70" s="18" t="n">
        <v>1122.4</v>
      </c>
      <c r="D70" s="18" t="n">
        <v>1050.45</v>
      </c>
      <c r="E70" s="18" t="n">
        <v>1021.21</v>
      </c>
      <c r="F70" s="18" t="n">
        <v>932.39</v>
      </c>
      <c r="G70" s="19">
        <f>HYPERLINK("https://www.tradingview.com/chart/?symbol=NSE:SHRIRAMFIN","Chart 📈")</f>
        <v/>
      </c>
    </row>
    <row r="71" ht="16" customHeight="1">
      <c r="A71" s="12" t="inlineStr">
        <is>
          <t>NIFTY OIL &amp; GAS</t>
        </is>
      </c>
      <c r="B71" s="13" t="inlineStr">
        <is>
          <t>AEGISLOG</t>
        </is>
      </c>
      <c r="C71" s="14" t="n">
        <v>1395.8</v>
      </c>
      <c r="D71" s="14" t="n">
        <v>1299.66</v>
      </c>
      <c r="E71" s="14" t="n">
        <v>1155.47</v>
      </c>
      <c r="F71" s="14" t="n">
        <v>879.8099999999999</v>
      </c>
      <c r="G71" s="15">
        <f>HYPERLINK("https://www.tradingview.com/chart/?symbol=NSE:AEGISLOG","Chart 📈")</f>
        <v/>
      </c>
    </row>
    <row r="72" ht="16" customHeight="1">
      <c r="A72" s="16" t="inlineStr">
        <is>
          <t>NIFTY OIL &amp; GAS</t>
        </is>
      </c>
      <c r="B72" s="13" t="inlineStr">
        <is>
          <t>BPCL</t>
        </is>
      </c>
      <c r="C72" s="14" t="n">
        <v>326.25</v>
      </c>
      <c r="D72" s="14" t="n">
        <v>316.79</v>
      </c>
      <c r="E72" s="14" t="n">
        <v>311.64</v>
      </c>
      <c r="F72" s="14" t="n">
        <v>317.05</v>
      </c>
      <c r="G72" s="15">
        <f>HYPERLINK("https://www.tradingview.com/chart/?symbol=NSE:BPCL","Chart 📈")</f>
        <v/>
      </c>
    </row>
    <row r="73" ht="16" customHeight="1">
      <c r="A73" s="16" t="inlineStr">
        <is>
          <t>NIFTY OIL &amp; GAS</t>
        </is>
      </c>
      <c r="B73" s="13" t="inlineStr">
        <is>
          <t>CASTROLIND</t>
        </is>
      </c>
      <c r="C73" s="14" t="n">
        <v>191.54</v>
      </c>
      <c r="D73" s="14" t="n">
        <v>185.53</v>
      </c>
      <c r="E73" s="14" t="n">
        <v>184.6</v>
      </c>
      <c r="F73" s="14" t="n">
        <v>186.51</v>
      </c>
      <c r="G73" s="15">
        <f>HYPERLINK("https://www.tradingview.com/chart/?symbol=NSE:CASTROLIND","Chart 📈")</f>
        <v/>
      </c>
    </row>
    <row r="74" ht="16" customHeight="1">
      <c r="A74" s="16" t="inlineStr">
        <is>
          <t>NIFTY OIL &amp; GAS</t>
        </is>
      </c>
      <c r="B74" s="13" t="inlineStr">
        <is>
          <t>GAIL</t>
        </is>
      </c>
      <c r="C74" s="14" t="n">
        <v>176.96</v>
      </c>
      <c r="D74" s="14" t="n">
        <v>174.23</v>
      </c>
      <c r="E74" s="14" t="n">
        <v>171.51</v>
      </c>
      <c r="F74" s="14" t="n">
        <v>166.44</v>
      </c>
      <c r="G74" s="15">
        <f>HYPERLINK("https://www.tradingview.com/chart/?symbol=NSE:GAIL","Chart 📈")</f>
        <v/>
      </c>
    </row>
    <row r="75" ht="16" customHeight="1">
      <c r="A75" s="16" t="inlineStr">
        <is>
          <t>NIFTY OIL &amp; GAS</t>
        </is>
      </c>
      <c r="B75" s="13" t="inlineStr">
        <is>
          <t>PETRONET</t>
        </is>
      </c>
      <c r="C75" s="14" t="n">
        <v>280.8</v>
      </c>
      <c r="D75" s="14" t="n">
        <v>278.65</v>
      </c>
      <c r="E75" s="14" t="n">
        <v>277.13</v>
      </c>
      <c r="F75" s="14" t="n">
        <v>274.88</v>
      </c>
      <c r="G75" s="15">
        <f>HYPERLINK("https://www.tradingview.com/chart/?symbol=NSE:PETRONET","Chart 📈")</f>
        <v/>
      </c>
    </row>
    <row r="76" ht="16" customHeight="1">
      <c r="A76" s="8" t="inlineStr">
        <is>
          <t>NIFTY FMCG</t>
        </is>
      </c>
      <c r="B76" s="17" t="inlineStr">
        <is>
          <t>BALRAMCHIN</t>
        </is>
      </c>
      <c r="C76" s="18" t="n">
        <v>635.55</v>
      </c>
      <c r="D76" s="18" t="n">
        <v>606.6799999999999</v>
      </c>
      <c r="E76" s="18" t="n">
        <v>576.0700000000001</v>
      </c>
      <c r="F76" s="18" t="n">
        <v>525.33</v>
      </c>
      <c r="G76" s="19">
        <f>HYPERLINK("https://www.tradingview.com/chart/?symbol=NSE:BALRAMCHIN","Chart 📈")</f>
        <v/>
      </c>
    </row>
    <row r="77" ht="16" customHeight="1">
      <c r="A77" s="20" t="inlineStr">
        <is>
          <t>NIFTY FMCG</t>
        </is>
      </c>
      <c r="B77" s="17" t="inlineStr">
        <is>
          <t>NESTLEIND</t>
        </is>
      </c>
      <c r="C77" s="18" t="n">
        <v>1520</v>
      </c>
      <c r="D77" s="18" t="n">
        <v>1477.48</v>
      </c>
      <c r="E77" s="18" t="n">
        <v>1440.67</v>
      </c>
      <c r="F77" s="18" t="n">
        <v>1335.27</v>
      </c>
      <c r="G77" s="19">
        <f>HYPERLINK("https://www.tradingview.com/chart/?symbol=NSE:NESTLEIND","Chart 📈")</f>
        <v/>
      </c>
    </row>
    <row r="78" ht="16" customHeight="1">
      <c r="A78" s="20" t="inlineStr">
        <is>
          <t>NIFTY FMCG</t>
        </is>
      </c>
      <c r="B78" s="17" t="inlineStr">
        <is>
          <t>RADICO</t>
        </is>
      </c>
      <c r="C78" s="18" t="n">
        <v>4550</v>
      </c>
      <c r="D78" s="18" t="n">
        <v>4206.02</v>
      </c>
      <c r="E78" s="18" t="n">
        <v>3931.5</v>
      </c>
      <c r="F78" s="18" t="n">
        <v>3377.33</v>
      </c>
      <c r="G78" s="19">
        <f>HYPERLINK("https://www.tradingview.com/chart/?symbol=NSE:RADICO","Chart 📈")</f>
        <v/>
      </c>
    </row>
    <row r="79" ht="16" customHeight="1">
      <c r="A79" s="20" t="inlineStr">
        <is>
          <t>NIFTY FMCG</t>
        </is>
      </c>
      <c r="B79" s="17" t="inlineStr">
        <is>
          <t>UNITDSPR</t>
        </is>
      </c>
      <c r="C79" s="18" t="n">
        <v>1520</v>
      </c>
      <c r="D79" s="18" t="n">
        <v>1451.87</v>
      </c>
      <c r="E79" s="18" t="n">
        <v>1389.64</v>
      </c>
      <c r="F79" s="18" t="n">
        <v>1343.35</v>
      </c>
      <c r="G79" s="19">
        <f>HYPERLINK("https://www.tradingview.com/chart/?symbol=NSE:UNITDSPR","Chart 📈")</f>
        <v/>
      </c>
    </row>
    <row r="80" ht="16" customHeight="1">
      <c r="A80" s="12" t="inlineStr">
        <is>
          <t>NIFTY IT</t>
        </is>
      </c>
      <c r="B80" s="13" t="inlineStr">
        <is>
          <t>HCLTECH</t>
        </is>
      </c>
      <c r="C80" s="14" t="n">
        <v>1350</v>
      </c>
      <c r="D80" s="14" t="n">
        <v>1274.58</v>
      </c>
      <c r="E80" s="14" t="n">
        <v>1222.32</v>
      </c>
      <c r="F80" s="14" t="n">
        <v>1308.14</v>
      </c>
      <c r="G80" s="15">
        <f>HYPERLINK("https://www.tradingview.com/chart/?symbol=NSE:HCLTECH","Chart 📈")</f>
        <v/>
      </c>
    </row>
    <row r="81" ht="16" customHeight="1">
      <c r="A81" s="16" t="inlineStr">
        <is>
          <t>NIFTY IT</t>
        </is>
      </c>
      <c r="B81" s="13" t="inlineStr">
        <is>
          <t>TECHM</t>
        </is>
      </c>
      <c r="C81" s="14" t="n">
        <v>1650</v>
      </c>
      <c r="D81" s="14" t="n">
        <v>1578.02</v>
      </c>
      <c r="E81" s="14" t="n">
        <v>1506.63</v>
      </c>
      <c r="F81" s="14" t="n">
        <v>1459.26</v>
      </c>
      <c r="G81" s="15">
        <f>HYPERLINK("https://www.tradingview.com/chart/?symbol=NSE:TECHM","Chart 📈")</f>
        <v/>
      </c>
    </row>
    <row r="82" ht="16" customHeight="1">
      <c r="A82" s="8" t="inlineStr">
        <is>
          <t>NIFTY MEDIA</t>
        </is>
      </c>
      <c r="B82" s="17" t="inlineStr">
        <is>
          <t>NAZARA</t>
        </is>
      </c>
      <c r="C82" s="18" t="n">
        <v>348.8</v>
      </c>
      <c r="D82" s="18" t="n">
        <v>314.72</v>
      </c>
      <c r="E82" s="18" t="n">
        <v>301.31</v>
      </c>
      <c r="F82" s="18" t="n">
        <v>285.6</v>
      </c>
      <c r="G82" s="19">
        <f>HYPERLINK("https://www.tradingview.com/chart/?symbol=NSE:NAZARA","Chart 📈")</f>
        <v/>
      </c>
    </row>
    <row r="83" ht="16" customHeight="1">
      <c r="A83" s="20" t="inlineStr">
        <is>
          <t>NIFTY MEDIA</t>
        </is>
      </c>
      <c r="B83" s="17" t="inlineStr">
        <is>
          <t>PVRINOX</t>
        </is>
      </c>
      <c r="C83" s="18" t="n">
        <v>1161.9</v>
      </c>
      <c r="D83" s="18" t="n">
        <v>1075.76</v>
      </c>
      <c r="E83" s="18" t="n">
        <v>1030.97</v>
      </c>
      <c r="F83" s="18" t="n">
        <v>1023.04</v>
      </c>
      <c r="G83" s="19">
        <f>HYPERLINK("https://www.tradingview.com/chart/?symbol=NSE:PVRINOX","Chart 📈")</f>
        <v/>
      </c>
    </row>
    <row r="84" ht="16" customHeight="1">
      <c r="A84" s="20" t="inlineStr">
        <is>
          <t>NIFTY MEDIA</t>
        </is>
      </c>
      <c r="B84" s="17" t="inlineStr">
        <is>
          <t>SAREGAMA</t>
        </is>
      </c>
      <c r="C84" s="18" t="n">
        <v>557.25</v>
      </c>
      <c r="D84" s="18" t="n">
        <v>509.36</v>
      </c>
      <c r="E84" s="18" t="n">
        <v>476.03</v>
      </c>
      <c r="F84" s="18" t="n">
        <v>422.66</v>
      </c>
      <c r="G84" s="19">
        <f>HYPERLINK("https://www.tradingview.com/chart/?symbol=NSE:SAREGAMA","Chart 📈")</f>
        <v/>
      </c>
    </row>
    <row r="85" ht="16" customHeight="1">
      <c r="A85" s="12" t="inlineStr">
        <is>
          <t>NIFTY BANK</t>
        </is>
      </c>
      <c r="B85" s="13" t="inlineStr">
        <is>
          <t>AUBANK</t>
        </is>
      </c>
      <c r="C85" s="14" t="n">
        <v>1051.3</v>
      </c>
      <c r="D85" s="14" t="n">
        <v>1036.11</v>
      </c>
      <c r="E85" s="14" t="n">
        <v>1024.15</v>
      </c>
      <c r="F85" s="14" t="n">
        <v>959.7</v>
      </c>
      <c r="G85" s="15">
        <f>HYPERLINK("https://www.tradingview.com/chart/?symbol=NSE:AUBANK","Chart 📈")</f>
        <v/>
      </c>
    </row>
    <row r="86" ht="16" customHeight="1">
      <c r="A86" s="16" t="inlineStr">
        <is>
          <t>NIFTY BANK</t>
        </is>
      </c>
      <c r="B86" s="13" t="inlineStr">
        <is>
          <t>FEDERALBNK</t>
        </is>
      </c>
      <c r="C86" s="14" t="n">
        <v>356.45</v>
      </c>
      <c r="D86" s="14" t="n">
        <v>348.97</v>
      </c>
      <c r="E86" s="14" t="n">
        <v>331.12</v>
      </c>
      <c r="F86" s="14" t="n">
        <v>286.44</v>
      </c>
      <c r="G86" s="15">
        <f>HYPERLINK("https://www.tradingview.com/chart/?symbol=NSE:FEDERALBNK","Chart 📈")</f>
        <v/>
      </c>
    </row>
    <row r="87" ht="16" customHeight="1">
      <c r="A87" s="16" t="inlineStr">
        <is>
          <t>NIFTY BANK</t>
        </is>
      </c>
      <c r="B87" s="13" t="inlineStr">
        <is>
          <t>IDFCFIRSTB</t>
        </is>
      </c>
      <c r="C87" s="14" t="n">
        <v>85.3</v>
      </c>
      <c r="D87" s="14" t="n">
        <v>82.81999999999999</v>
      </c>
      <c r="E87" s="14" t="n">
        <v>79.29000000000001</v>
      </c>
      <c r="F87" s="14" t="n">
        <v>75.25</v>
      </c>
      <c r="G87" s="15">
        <f>HYPERLINK("https://www.tradingview.com/chart/?symbol=NSE:IDFCFIRSTB","Chart 📈")</f>
        <v/>
      </c>
    </row>
    <row r="88" ht="16" customHeight="1">
      <c r="A88" s="16" t="inlineStr">
        <is>
          <t>NIFTY BANK</t>
        </is>
      </c>
      <c r="B88" s="13" t="inlineStr">
        <is>
          <t>INDUSINDBK</t>
        </is>
      </c>
      <c r="C88" s="14" t="n">
        <v>1019</v>
      </c>
      <c r="D88" s="14" t="n">
        <v>1008.08</v>
      </c>
      <c r="E88" s="14" t="n">
        <v>973.4299999999999</v>
      </c>
      <c r="F88" s="14" t="n">
        <v>900.23</v>
      </c>
      <c r="G88" s="15">
        <f>HYPERLINK("https://www.tradingview.com/chart/?symbol=NSE:INDUSINDBK","Chart 📈")</f>
        <v/>
      </c>
    </row>
    <row r="89" ht="16" customHeight="1">
      <c r="A89" s="8" t="inlineStr">
        <is>
          <t>NIFTY ENERGY</t>
        </is>
      </c>
      <c r="B89" s="17" t="inlineStr">
        <is>
          <t>ABB</t>
        </is>
      </c>
      <c r="C89" s="18" t="n">
        <v>7690.5</v>
      </c>
      <c r="D89" s="18" t="n">
        <v>7361.86</v>
      </c>
      <c r="E89" s="18" t="n">
        <v>7151.42</v>
      </c>
      <c r="F89" s="18" t="n">
        <v>6361.34</v>
      </c>
      <c r="G89" s="19">
        <f>HYPERLINK("https://www.tradingview.com/chart/?symbol=NSE:ABB","Chart 📈")</f>
        <v/>
      </c>
    </row>
    <row r="90" ht="16" customHeight="1">
      <c r="A90" s="20" t="inlineStr">
        <is>
          <t>NIFTY ENERGY</t>
        </is>
      </c>
      <c r="B90" s="17" t="inlineStr">
        <is>
          <t>BHEL</t>
        </is>
      </c>
      <c r="C90" s="18" t="n">
        <v>412.4</v>
      </c>
      <c r="D90" s="18" t="n">
        <v>408.41</v>
      </c>
      <c r="E90" s="18" t="n">
        <v>397.34</v>
      </c>
      <c r="F90" s="18" t="n">
        <v>333.57</v>
      </c>
      <c r="G90" s="19">
        <f>HYPERLINK("https://www.tradingview.com/chart/?symbol=NSE:BHEL","Chart 📈")</f>
        <v/>
      </c>
    </row>
    <row r="91" ht="16" customHeight="1">
      <c r="A91" s="20" t="inlineStr">
        <is>
          <t>NIFTY ENERGY</t>
        </is>
      </c>
      <c r="B91" s="17" t="inlineStr">
        <is>
          <t>CGPOWER</t>
        </is>
      </c>
      <c r="C91" s="18" t="n">
        <v>889.5</v>
      </c>
      <c r="D91" s="18" t="n">
        <v>881.78</v>
      </c>
      <c r="E91" s="18" t="n">
        <v>886.17</v>
      </c>
      <c r="F91" s="18" t="n">
        <v>797.3200000000001</v>
      </c>
      <c r="G91" s="19">
        <f>HYPERLINK("https://www.tradingview.com/chart/?symbol=NSE:CGPOWER","Chart 📈")</f>
        <v/>
      </c>
    </row>
    <row r="92" ht="16" customHeight="1">
      <c r="A92" s="20" t="inlineStr">
        <is>
          <t>NIFTY ENERGY</t>
        </is>
      </c>
      <c r="B92" s="17" t="inlineStr">
        <is>
          <t>JPPOWER</t>
        </is>
      </c>
      <c r="C92" s="18" t="n">
        <v>18.32</v>
      </c>
      <c r="D92" s="18" t="n">
        <v>17.68</v>
      </c>
      <c r="E92" s="18" t="n">
        <v>17.76</v>
      </c>
      <c r="F92" s="18" t="n">
        <v>17.71</v>
      </c>
      <c r="G92" s="19">
        <f>HYPERLINK("https://www.tradingview.com/chart/?symbol=NSE:JPPOWER","Chart 📈")</f>
        <v/>
      </c>
    </row>
    <row r="93" ht="16" customHeight="1">
      <c r="A93" s="20" t="inlineStr">
        <is>
          <t>NIFTY ENERGY</t>
        </is>
      </c>
      <c r="B93" s="17" t="inlineStr">
        <is>
          <t>JSWENERGY</t>
        </is>
      </c>
      <c r="C93" s="18" t="n">
        <v>566</v>
      </c>
      <c r="D93" s="18" t="n">
        <v>556.9299999999999</v>
      </c>
      <c r="E93" s="18" t="n">
        <v>555.76</v>
      </c>
      <c r="F93" s="18" t="n">
        <v>533.3</v>
      </c>
      <c r="G93" s="19">
        <f>HYPERLINK("https://www.tradingview.com/chart/?symbol=NSE:JSWENERGY","Chart 📈")</f>
        <v/>
      </c>
    </row>
    <row r="94" ht="16" customHeight="1">
      <c r="A94" s="20" t="inlineStr">
        <is>
          <t>NIFTY ENERGY</t>
        </is>
      </c>
      <c r="B94" s="17" t="inlineStr">
        <is>
          <t>SCHNEIDER</t>
        </is>
      </c>
      <c r="C94" s="18" t="n">
        <v>1352.5</v>
      </c>
      <c r="D94" s="18" t="n">
        <v>1344.52</v>
      </c>
      <c r="E94" s="18" t="n">
        <v>1312.25</v>
      </c>
      <c r="F94" s="18" t="n">
        <v>1099.52</v>
      </c>
      <c r="G94" s="19">
        <f>HYPERLINK("https://www.tradingview.com/chart/?symbol=NSE:SCHNEIDER","Chart 📈")</f>
        <v/>
      </c>
    </row>
    <row r="95" ht="16" customHeight="1">
      <c r="A95" s="20" t="inlineStr">
        <is>
          <t>NIFTY ENERGY</t>
        </is>
      </c>
      <c r="B95" s="17" t="inlineStr">
        <is>
          <t>SIEMENS</t>
        </is>
      </c>
      <c r="C95" s="18" t="n">
        <v>3980</v>
      </c>
      <c r="D95" s="18" t="n">
        <v>3709.95</v>
      </c>
      <c r="E95" s="18" t="n">
        <v>3640.69</v>
      </c>
      <c r="F95" s="18" t="n">
        <v>3418.84</v>
      </c>
      <c r="G95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2026-08-05T13:00:25Z</dcterms:created>
  <dcterms:modified xsi:type="dcterms:W3CDTF">2026-08-05T13:00:25Z</dcterms:modified>
</cp:coreProperties>
</file>