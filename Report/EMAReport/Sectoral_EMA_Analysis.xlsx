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13-Jul-2026  13:32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9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PHARMA</t>
        </is>
      </c>
      <c r="B5" s="9" t="n">
        <v>20</v>
      </c>
      <c r="C5" s="9" t="n">
        <v>17</v>
      </c>
      <c r="D5" s="9" t="n">
        <v>19</v>
      </c>
      <c r="E5" s="9" t="n">
        <v>18</v>
      </c>
      <c r="F5" s="10" t="n">
        <v>0.85</v>
      </c>
      <c r="G5" s="10" t="n">
        <v>0.95</v>
      </c>
      <c r="H5" s="10" t="n">
        <v>0.9</v>
      </c>
      <c r="I5" s="11" t="n">
        <v>0.9</v>
      </c>
    </row>
    <row r="6" ht="17" customHeight="1">
      <c r="A6" s="4" t="inlineStr">
        <is>
          <t>NIFTY AUTO</t>
        </is>
      </c>
      <c r="B6" s="5" t="n">
        <v>15</v>
      </c>
      <c r="C6" s="5" t="n">
        <v>10</v>
      </c>
      <c r="D6" s="5" t="n">
        <v>12</v>
      </c>
      <c r="E6" s="5" t="n">
        <v>8</v>
      </c>
      <c r="F6" s="6" t="n">
        <v>0.667</v>
      </c>
      <c r="G6" s="6" t="n">
        <v>0.8</v>
      </c>
      <c r="H6" s="6" t="n">
        <v>0.5329999999999999</v>
      </c>
      <c r="I6" s="7" t="n">
        <v>0.6667000000000001</v>
      </c>
    </row>
    <row r="7" ht="17" customHeight="1">
      <c r="A7" s="8" t="inlineStr">
        <is>
          <t>NIFTY PSU BANK</t>
        </is>
      </c>
      <c r="B7" s="9" t="n">
        <v>12</v>
      </c>
      <c r="C7" s="9" t="n">
        <v>8</v>
      </c>
      <c r="D7" s="9" t="n">
        <v>10</v>
      </c>
      <c r="E7" s="9" t="n">
        <v>5</v>
      </c>
      <c r="F7" s="10" t="n">
        <v>0.667</v>
      </c>
      <c r="G7" s="10" t="n">
        <v>0.833</v>
      </c>
      <c r="H7" s="10" t="n">
        <v>0.417</v>
      </c>
      <c r="I7" s="11" t="n">
        <v>0.639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15</v>
      </c>
      <c r="D8" s="5" t="n">
        <v>14</v>
      </c>
      <c r="E8" s="5" t="n">
        <v>9</v>
      </c>
      <c r="F8" s="6" t="n">
        <v>0.75</v>
      </c>
      <c r="G8" s="6" t="n">
        <v>0.7</v>
      </c>
      <c r="H8" s="6" t="n">
        <v>0.45</v>
      </c>
      <c r="I8" s="7" t="n">
        <v>0.6333</v>
      </c>
    </row>
    <row r="9" ht="17" customHeight="1">
      <c r="A9" s="8" t="inlineStr">
        <is>
          <t>NIFTY MEDIA</t>
        </is>
      </c>
      <c r="B9" s="9" t="n">
        <v>10</v>
      </c>
      <c r="C9" s="9" t="n">
        <v>6</v>
      </c>
      <c r="D9" s="9" t="n">
        <v>7</v>
      </c>
      <c r="E9" s="9" t="n">
        <v>5</v>
      </c>
      <c r="F9" s="10" t="n">
        <v>0.6</v>
      </c>
      <c r="G9" s="10" t="n">
        <v>0.7</v>
      </c>
      <c r="H9" s="10" t="n">
        <v>0.5</v>
      </c>
      <c r="I9" s="11" t="n">
        <v>0.6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9</v>
      </c>
      <c r="D10" s="5" t="n">
        <v>9</v>
      </c>
      <c r="E10" s="5" t="n">
        <v>7</v>
      </c>
      <c r="F10" s="6" t="n">
        <v>0.6</v>
      </c>
      <c r="G10" s="6" t="n">
        <v>0.6</v>
      </c>
      <c r="H10" s="6" t="n">
        <v>0.467</v>
      </c>
      <c r="I10" s="7" t="n">
        <v>0.5557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12</v>
      </c>
      <c r="D11" s="9" t="n">
        <v>10</v>
      </c>
      <c r="E11" s="9" t="n">
        <v>9</v>
      </c>
      <c r="F11" s="10" t="n">
        <v>0.6</v>
      </c>
      <c r="G11" s="10" t="n">
        <v>0.5</v>
      </c>
      <c r="H11" s="10" t="n">
        <v>0.45</v>
      </c>
      <c r="I11" s="11" t="n">
        <v>0.5167</v>
      </c>
    </row>
    <row r="12" ht="17" customHeight="1">
      <c r="A12" s="4" t="inlineStr">
        <is>
          <t>NIFTY FMCG</t>
        </is>
      </c>
      <c r="B12" s="5" t="n">
        <v>15</v>
      </c>
      <c r="C12" s="5" t="n">
        <v>7</v>
      </c>
      <c r="D12" s="5" t="n">
        <v>7</v>
      </c>
      <c r="E12" s="5" t="n">
        <v>5</v>
      </c>
      <c r="F12" s="6" t="n">
        <v>0.467</v>
      </c>
      <c r="G12" s="6" t="n">
        <v>0.467</v>
      </c>
      <c r="H12" s="6" t="n">
        <v>0.333</v>
      </c>
      <c r="I12" s="7" t="n">
        <v>0.4223</v>
      </c>
    </row>
    <row r="13" ht="17" customHeight="1">
      <c r="A13" s="8" t="inlineStr">
        <is>
          <t>NIFTY METAL</t>
        </is>
      </c>
      <c r="B13" s="9" t="n">
        <v>15</v>
      </c>
      <c r="C13" s="9" t="n">
        <v>5</v>
      </c>
      <c r="D13" s="9" t="n">
        <v>3</v>
      </c>
      <c r="E13" s="9" t="n">
        <v>9</v>
      </c>
      <c r="F13" s="10" t="n">
        <v>0.333</v>
      </c>
      <c r="G13" s="10" t="n">
        <v>0.2</v>
      </c>
      <c r="H13" s="10" t="n">
        <v>0.6</v>
      </c>
      <c r="I13" s="11" t="n">
        <v>0.3777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7</v>
      </c>
      <c r="D14" s="5" t="n">
        <v>5</v>
      </c>
      <c r="E14" s="5" t="n">
        <v>4</v>
      </c>
      <c r="F14" s="6" t="n">
        <v>0.467</v>
      </c>
      <c r="G14" s="6" t="n">
        <v>0.333</v>
      </c>
      <c r="H14" s="6" t="n">
        <v>0.267</v>
      </c>
      <c r="I14" s="7" t="n">
        <v>0.3557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4</v>
      </c>
      <c r="E15" s="9" t="n">
        <v>4</v>
      </c>
      <c r="F15" s="10" t="n">
        <v>0.333</v>
      </c>
      <c r="G15" s="10" t="n">
        <v>0.333</v>
      </c>
      <c r="H15" s="10" t="n">
        <v>0.333</v>
      </c>
      <c r="I15" s="11" t="n">
        <v>0.333</v>
      </c>
    </row>
    <row r="16" ht="17" customHeight="1">
      <c r="A16" s="4" t="inlineStr">
        <is>
          <t>NIFTY IT</t>
        </is>
      </c>
      <c r="B16" s="5" t="n">
        <v>10</v>
      </c>
      <c r="C16" s="5" t="n">
        <v>5</v>
      </c>
      <c r="D16" s="5" t="n">
        <v>2</v>
      </c>
      <c r="E16" s="5" t="n">
        <v>1</v>
      </c>
      <c r="F16" s="6" t="n">
        <v>0.5</v>
      </c>
      <c r="G16" s="6" t="n">
        <v>0.2</v>
      </c>
      <c r="H16" s="6" t="n">
        <v>0.1</v>
      </c>
      <c r="I16" s="7" t="n">
        <v>0.2667</v>
      </c>
    </row>
    <row r="17" ht="17" customHeight="1">
      <c r="A17" s="8" t="inlineStr">
        <is>
          <t>NIFTY ENERGY</t>
        </is>
      </c>
      <c r="B17" s="9" t="n">
        <v>40</v>
      </c>
      <c r="C17" s="9" t="n">
        <v>5</v>
      </c>
      <c r="D17" s="9" t="n">
        <v>7</v>
      </c>
      <c r="E17" s="9" t="n">
        <v>17</v>
      </c>
      <c r="F17" s="10" t="n">
        <v>0.125</v>
      </c>
      <c r="G17" s="10" t="n">
        <v>0.175</v>
      </c>
      <c r="H17" s="10" t="n">
        <v>0.425</v>
      </c>
      <c r="I17" s="11" t="n">
        <v>0.2417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682.35</v>
      </c>
      <c r="D3" s="14" t="n">
        <v>642.13</v>
      </c>
      <c r="E3" s="14" t="n">
        <v>618.27</v>
      </c>
      <c r="F3" s="14" t="n">
        <v>648.15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2162.6</v>
      </c>
      <c r="D4" s="14" t="n">
        <v>1943.73</v>
      </c>
      <c r="E4" s="14" t="n">
        <v>1846.84</v>
      </c>
      <c r="F4" s="14" t="n">
        <v>1877.87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1198.65</v>
      </c>
      <c r="D5" s="14" t="n">
        <v>1044.04</v>
      </c>
      <c r="E5" s="14" t="n">
        <v>970.22</v>
      </c>
      <c r="F5" s="14" t="n">
        <v>1019.11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378.6</v>
      </c>
      <c r="D6" s="14" t="n">
        <v>361.44</v>
      </c>
      <c r="E6" s="14" t="n">
        <v>349.56</v>
      </c>
      <c r="F6" s="14" t="n">
        <v>352.21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1925.2</v>
      </c>
      <c r="D7" s="14" t="n">
        <v>1818.93</v>
      </c>
      <c r="E7" s="14" t="n">
        <v>1735.32</v>
      </c>
      <c r="F7" s="14" t="n">
        <v>1665.39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2154</v>
      </c>
      <c r="D8" s="14" t="n">
        <v>1989.53</v>
      </c>
      <c r="E8" s="14" t="n">
        <v>1882.49</v>
      </c>
      <c r="F8" s="14" t="n">
        <v>1743.96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1724.3</v>
      </c>
      <c r="D9" s="14" t="n">
        <v>1603.13</v>
      </c>
      <c r="E9" s="14" t="n">
        <v>1508.59</v>
      </c>
      <c r="F9" s="14" t="n">
        <v>1502.88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625.5</v>
      </c>
      <c r="D10" s="14" t="n">
        <v>596.6900000000001</v>
      </c>
      <c r="E10" s="14" t="n">
        <v>553.8</v>
      </c>
      <c r="F10" s="14" t="n">
        <v>513.05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1517.6</v>
      </c>
      <c r="D11" s="14" t="n">
        <v>1431.25</v>
      </c>
      <c r="E11" s="14" t="n">
        <v>1401.19</v>
      </c>
      <c r="F11" s="14" t="n">
        <v>1426.1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AJANTPHARM</t>
        </is>
      </c>
      <c r="C12" s="18" t="n">
        <v>3421.4</v>
      </c>
      <c r="D12" s="18" t="n">
        <v>3269.14</v>
      </c>
      <c r="E12" s="18" t="n">
        <v>3148.96</v>
      </c>
      <c r="F12" s="18" t="n">
        <v>2898.07</v>
      </c>
      <c r="G12" s="19">
        <f>HYPERLINK("https://www.tradingview.com/chart/?symbol=NSE:AJANTPHARM","Chart 📈")</f>
        <v/>
      </c>
    </row>
    <row r="13" ht="16" customHeight="1">
      <c r="A13" s="20" t="inlineStr">
        <is>
          <t>NIFTY PHARMA</t>
        </is>
      </c>
      <c r="B13" s="17" t="inlineStr">
        <is>
          <t>ALKEM</t>
        </is>
      </c>
      <c r="C13" s="18" t="n">
        <v>5567</v>
      </c>
      <c r="D13" s="18" t="n">
        <v>5522.6</v>
      </c>
      <c r="E13" s="18" t="n">
        <v>5466.67</v>
      </c>
      <c r="F13" s="18" t="n">
        <v>5408.33</v>
      </c>
      <c r="G13" s="19">
        <f>HYPERLINK("https://www.tradingview.com/chart/?symbol=NSE:ALKEM","Chart 📈")</f>
        <v/>
      </c>
    </row>
    <row r="14" ht="16" customHeight="1">
      <c r="A14" s="20" t="inlineStr">
        <is>
          <t>NIFTY PHARMA</t>
        </is>
      </c>
      <c r="B14" s="17" t="inlineStr">
        <is>
          <t>AUROPHARMA</t>
        </is>
      </c>
      <c r="C14" s="18" t="n">
        <v>1549.3</v>
      </c>
      <c r="D14" s="18" t="n">
        <v>1542.53</v>
      </c>
      <c r="E14" s="18" t="n">
        <v>1489.17</v>
      </c>
      <c r="F14" s="18" t="n">
        <v>1326.62</v>
      </c>
      <c r="G14" s="19">
        <f>HYPERLINK("https://www.tradingview.com/chart/?symbol=NSE:AUROPHARMA","Chart 📈")</f>
        <v/>
      </c>
    </row>
    <row r="15" ht="16" customHeight="1">
      <c r="A15" s="20" t="inlineStr">
        <is>
          <t>NIFTY PHARMA</t>
        </is>
      </c>
      <c r="B15" s="17" t="inlineStr">
        <is>
          <t>DIVISLAB</t>
        </is>
      </c>
      <c r="C15" s="18" t="n">
        <v>6938.5</v>
      </c>
      <c r="D15" s="18" t="n">
        <v>6746.7</v>
      </c>
      <c r="E15" s="18" t="n">
        <v>6660.4</v>
      </c>
      <c r="F15" s="18" t="n">
        <v>6487.61</v>
      </c>
      <c r="G15" s="19">
        <f>HYPERLINK("https://www.tradingview.com/chart/?symbol=NSE:DIVISLAB","Chart 📈")</f>
        <v/>
      </c>
    </row>
    <row r="16" ht="16" customHeight="1">
      <c r="A16" s="20" t="inlineStr">
        <is>
          <t>NIFTY PHARMA</t>
        </is>
      </c>
      <c r="B16" s="17" t="inlineStr">
        <is>
          <t>GLAND</t>
        </is>
      </c>
      <c r="C16" s="18" t="n">
        <v>2461.2</v>
      </c>
      <c r="D16" s="18" t="n">
        <v>2396.12</v>
      </c>
      <c r="E16" s="18" t="n">
        <v>2243.16</v>
      </c>
      <c r="F16" s="18" t="n">
        <v>1977.86</v>
      </c>
      <c r="G16" s="19">
        <f>HYPERLINK("https://www.tradingview.com/chart/?symbol=NSE:GLAND","Chart 📈")</f>
        <v/>
      </c>
    </row>
    <row r="17" ht="16" customHeight="1">
      <c r="A17" s="20" t="inlineStr">
        <is>
          <t>NIFTY PHARMA</t>
        </is>
      </c>
      <c r="B17" s="17" t="inlineStr">
        <is>
          <t>GLENMARK</t>
        </is>
      </c>
      <c r="C17" s="18" t="n">
        <v>2301.3</v>
      </c>
      <c r="D17" s="18" t="n">
        <v>2227.79</v>
      </c>
      <c r="E17" s="18" t="n">
        <v>2225.46</v>
      </c>
      <c r="F17" s="18" t="n">
        <v>2153.32</v>
      </c>
      <c r="G17" s="19">
        <f>HYPERLINK("https://www.tradingview.com/chart/?symbol=NSE:GLENMARK","Chart 📈")</f>
        <v/>
      </c>
    </row>
    <row r="18" ht="16" customHeight="1">
      <c r="A18" s="20" t="inlineStr">
        <is>
          <t>NIFTY PHARMA</t>
        </is>
      </c>
      <c r="B18" s="17" t="inlineStr">
        <is>
          <t>GRANULES</t>
        </is>
      </c>
      <c r="C18" s="18" t="n">
        <v>897.65</v>
      </c>
      <c r="D18" s="18" t="n">
        <v>827.53</v>
      </c>
      <c r="E18" s="18" t="n">
        <v>778.5700000000001</v>
      </c>
      <c r="F18" s="18" t="n">
        <v>657.0599999999999</v>
      </c>
      <c r="G18" s="19">
        <f>HYPERLINK("https://www.tradingview.com/chart/?symbol=NSE:GRANULES","Chart 📈")</f>
        <v/>
      </c>
    </row>
    <row r="19" ht="16" customHeight="1">
      <c r="A19" s="20" t="inlineStr">
        <is>
          <t>NIFTY PHARMA</t>
        </is>
      </c>
      <c r="B19" s="17" t="inlineStr">
        <is>
          <t>IPCALAB</t>
        </is>
      </c>
      <c r="C19" s="18" t="n">
        <v>1823.3</v>
      </c>
      <c r="D19" s="18" t="n">
        <v>1707.37</v>
      </c>
      <c r="E19" s="18" t="n">
        <v>1636.68</v>
      </c>
      <c r="F19" s="18" t="n">
        <v>1525.09</v>
      </c>
      <c r="G19" s="19">
        <f>HYPERLINK("https://www.tradingview.com/chart/?symbol=NSE:IPCALAB","Chart 📈")</f>
        <v/>
      </c>
    </row>
    <row r="20" ht="16" customHeight="1">
      <c r="A20" s="20" t="inlineStr">
        <is>
          <t>NIFTY PHARMA</t>
        </is>
      </c>
      <c r="B20" s="17" t="inlineStr">
        <is>
          <t>JBCHEPHARM</t>
        </is>
      </c>
      <c r="C20" s="18" t="n">
        <v>2460</v>
      </c>
      <c r="D20" s="18" t="n">
        <v>2333.1</v>
      </c>
      <c r="E20" s="18" t="n">
        <v>2234.63</v>
      </c>
      <c r="F20" s="18" t="n">
        <v>2002.6</v>
      </c>
      <c r="G20" s="19">
        <f>HYPERLINK("https://www.tradingview.com/chart/?symbol=NSE:JBCHEPHARM","Chart 📈")</f>
        <v/>
      </c>
    </row>
    <row r="21" ht="16" customHeight="1">
      <c r="A21" s="20" t="inlineStr">
        <is>
          <t>NIFTY PHARMA</t>
        </is>
      </c>
      <c r="B21" s="17" t="inlineStr">
        <is>
          <t>LAURUSLABS</t>
        </is>
      </c>
      <c r="C21" s="18" t="n">
        <v>1558.6</v>
      </c>
      <c r="D21" s="18" t="n">
        <v>1479.8</v>
      </c>
      <c r="E21" s="18" t="n">
        <v>1388.75</v>
      </c>
      <c r="F21" s="18" t="n">
        <v>1152.03</v>
      </c>
      <c r="G21" s="19">
        <f>HYPERLINK("https://www.tradingview.com/chart/?symbol=NSE:LAURUSLABS","Chart 📈")</f>
        <v/>
      </c>
    </row>
    <row r="22" ht="16" customHeight="1">
      <c r="A22" s="20" t="inlineStr">
        <is>
          <t>NIFTY PHARMA</t>
        </is>
      </c>
      <c r="B22" s="17" t="inlineStr">
        <is>
          <t>LUPIN</t>
        </is>
      </c>
      <c r="C22" s="18" t="n">
        <v>2492.6</v>
      </c>
      <c r="D22" s="18" t="n">
        <v>2415.69</v>
      </c>
      <c r="E22" s="18" t="n">
        <v>2355.4</v>
      </c>
      <c r="F22" s="18" t="n">
        <v>2217.98</v>
      </c>
      <c r="G22" s="19">
        <f>HYPERLINK("https://www.tradingview.com/chart/?symbol=NSE:LUPIN","Chart 📈")</f>
        <v/>
      </c>
    </row>
    <row r="23" ht="16" customHeight="1">
      <c r="A23" s="20" t="inlineStr">
        <is>
          <t>NIFTY PHARMA</t>
        </is>
      </c>
      <c r="B23" s="17" t="inlineStr">
        <is>
          <t>MANKIND</t>
        </is>
      </c>
      <c r="C23" s="18" t="n">
        <v>2507.5</v>
      </c>
      <c r="D23" s="18" t="n">
        <v>2485.47</v>
      </c>
      <c r="E23" s="18" t="n">
        <v>2417.16</v>
      </c>
      <c r="F23" s="18" t="n">
        <v>2346.24</v>
      </c>
      <c r="G23" s="19">
        <f>HYPERLINK("https://www.tradingview.com/chart/?symbol=NSE:MANKIND","Chart 📈")</f>
        <v/>
      </c>
    </row>
    <row r="24" ht="16" customHeight="1">
      <c r="A24" s="20" t="inlineStr">
        <is>
          <t>NIFTY PHARMA</t>
        </is>
      </c>
      <c r="B24" s="17" t="inlineStr">
        <is>
          <t>NATCOPHARM</t>
        </is>
      </c>
      <c r="C24" s="18" t="n">
        <v>979.95</v>
      </c>
      <c r="D24" s="18" t="n">
        <v>944.58</v>
      </c>
      <c r="E24" s="18" t="n">
        <v>970.03</v>
      </c>
      <c r="F24" s="18" t="n">
        <v>961.6900000000001</v>
      </c>
      <c r="G24" s="19">
        <f>HYPERLINK("https://www.tradingview.com/chart/?symbol=NSE:NATCOPHARM","Chart 📈")</f>
        <v/>
      </c>
    </row>
    <row r="25" ht="16" customHeight="1">
      <c r="A25" s="20" t="inlineStr">
        <is>
          <t>NIFTY PHARMA</t>
        </is>
      </c>
      <c r="B25" s="17" t="inlineStr">
        <is>
          <t>SUNPHARMA</t>
        </is>
      </c>
      <c r="C25" s="18" t="n">
        <v>1921.4</v>
      </c>
      <c r="D25" s="18" t="n">
        <v>1878.1</v>
      </c>
      <c r="E25" s="18" t="n">
        <v>1838.73</v>
      </c>
      <c r="F25" s="18" t="n">
        <v>1758.81</v>
      </c>
      <c r="G25" s="19">
        <f>HYPERLINK("https://www.tradingview.com/chart/?symbol=NSE:SUNPHARMA","Chart 📈")</f>
        <v/>
      </c>
    </row>
    <row r="26" ht="16" customHeight="1">
      <c r="A26" s="20" t="inlineStr">
        <is>
          <t>NIFTY PHARMA</t>
        </is>
      </c>
      <c r="B26" s="17" t="inlineStr">
        <is>
          <t>TORNTPHARM</t>
        </is>
      </c>
      <c r="C26" s="18" t="n">
        <v>4951.1</v>
      </c>
      <c r="D26" s="18" t="n">
        <v>4702.64</v>
      </c>
      <c r="E26" s="18" t="n">
        <v>4536.76</v>
      </c>
      <c r="F26" s="18" t="n">
        <v>4140.72</v>
      </c>
      <c r="G26" s="19">
        <f>HYPERLINK("https://www.tradingview.com/chart/?symbol=NSE:TORNTPHARM","Chart 📈")</f>
        <v/>
      </c>
    </row>
    <row r="27" ht="16" customHeight="1">
      <c r="A27" s="20" t="inlineStr">
        <is>
          <t>NIFTY PHARMA</t>
        </is>
      </c>
      <c r="B27" s="17" t="inlineStr">
        <is>
          <t>ZYDUSLIFE</t>
        </is>
      </c>
      <c r="C27" s="18" t="n">
        <v>1131.3</v>
      </c>
      <c r="D27" s="18" t="n">
        <v>1119.01</v>
      </c>
      <c r="E27" s="18" t="n">
        <v>1070.61</v>
      </c>
      <c r="F27" s="18" t="n">
        <v>986.62</v>
      </c>
      <c r="G27" s="19">
        <f>HYPERLINK("https://www.tradingview.com/chart/?symbol=NSE:ZYDUSLIFE","Chart 📈")</f>
        <v/>
      </c>
    </row>
    <row r="28" ht="16" customHeight="1">
      <c r="A28" s="12" t="inlineStr">
        <is>
          <t>NIFTY AUTO</t>
        </is>
      </c>
      <c r="B28" s="13" t="inlineStr">
        <is>
          <t>ASHOKLEY</t>
        </is>
      </c>
      <c r="C28" s="14" t="n">
        <v>159.22</v>
      </c>
      <c r="D28" s="14" t="n">
        <v>158.25</v>
      </c>
      <c r="E28" s="14" t="n">
        <v>158.38</v>
      </c>
      <c r="F28" s="14" t="n">
        <v>158.56</v>
      </c>
      <c r="G28" s="15">
        <f>HYPERLINK("https://www.tradingview.com/chart/?symbol=NSE:ASHOKLEY","Chart 📈")</f>
        <v/>
      </c>
    </row>
    <row r="29" ht="16" customHeight="1">
      <c r="A29" s="16" t="inlineStr">
        <is>
          <t>NIFTY AUTO</t>
        </is>
      </c>
      <c r="B29" s="13" t="inlineStr">
        <is>
          <t>BAJAJ-AUTO</t>
        </is>
      </c>
      <c r="C29" s="14" t="n">
        <v>10381</v>
      </c>
      <c r="D29" s="14" t="n">
        <v>10052.25</v>
      </c>
      <c r="E29" s="14" t="n">
        <v>10001.62</v>
      </c>
      <c r="F29" s="14" t="n">
        <v>9455.84</v>
      </c>
      <c r="G29" s="15">
        <f>HYPERLINK("https://www.tradingview.com/chart/?symbol=NSE:BAJAJ-AUTO","Chart 📈")</f>
        <v/>
      </c>
    </row>
    <row r="30" ht="16" customHeight="1">
      <c r="A30" s="16" t="inlineStr">
        <is>
          <t>NIFTY AUTO</t>
        </is>
      </c>
      <c r="B30" s="13" t="inlineStr">
        <is>
          <t>BHARATFORG</t>
        </is>
      </c>
      <c r="C30" s="14" t="n">
        <v>2145.6</v>
      </c>
      <c r="D30" s="14" t="n">
        <v>2094.19</v>
      </c>
      <c r="E30" s="14" t="n">
        <v>2007.71</v>
      </c>
      <c r="F30" s="14" t="n">
        <v>1711.21</v>
      </c>
      <c r="G30" s="15">
        <f>HYPERLINK("https://www.tradingview.com/chart/?symbol=NSE:BHARATFORG","Chart 📈")</f>
        <v/>
      </c>
    </row>
    <row r="31" ht="16" customHeight="1">
      <c r="A31" s="16" t="inlineStr">
        <is>
          <t>NIFTY AUTO</t>
        </is>
      </c>
      <c r="B31" s="13" t="inlineStr">
        <is>
          <t>BOSCHLTD</t>
        </is>
      </c>
      <c r="C31" s="14" t="n">
        <v>41695</v>
      </c>
      <c r="D31" s="14" t="n">
        <v>40714.33</v>
      </c>
      <c r="E31" s="14" t="n">
        <v>38983.51</v>
      </c>
      <c r="F31" s="14" t="n">
        <v>37220.01</v>
      </c>
      <c r="G31" s="15">
        <f>HYPERLINK("https://www.tradingview.com/chart/?symbol=NSE:BOSCHLTD","Chart 📈")</f>
        <v/>
      </c>
    </row>
    <row r="32" ht="16" customHeight="1">
      <c r="A32" s="16" t="inlineStr">
        <is>
          <t>NIFTY AUTO</t>
        </is>
      </c>
      <c r="B32" s="13" t="inlineStr">
        <is>
          <t>EXIDEIND</t>
        </is>
      </c>
      <c r="C32" s="14" t="n">
        <v>423.4</v>
      </c>
      <c r="D32" s="14" t="n">
        <v>404.19</v>
      </c>
      <c r="E32" s="14" t="n">
        <v>384.18</v>
      </c>
      <c r="F32" s="14" t="n">
        <v>364.19</v>
      </c>
      <c r="G32" s="15">
        <f>HYPERLINK("https://www.tradingview.com/chart/?symbol=NSE:EXIDEIND","Chart 📈")</f>
        <v/>
      </c>
    </row>
    <row r="33" ht="16" customHeight="1">
      <c r="A33" s="16" t="inlineStr">
        <is>
          <t>NIFTY AUTO</t>
        </is>
      </c>
      <c r="B33" s="13" t="inlineStr">
        <is>
          <t>TVSMOTOR</t>
        </is>
      </c>
      <c r="C33" s="14" t="n">
        <v>3676.9</v>
      </c>
      <c r="D33" s="14" t="n">
        <v>3564.23</v>
      </c>
      <c r="E33" s="14" t="n">
        <v>3519.88</v>
      </c>
      <c r="F33" s="14" t="n">
        <v>3473.14</v>
      </c>
      <c r="G33" s="15">
        <f>HYPERLINK("https://www.tradingview.com/chart/?symbol=NSE:TVSMOTOR","Chart 📈")</f>
        <v/>
      </c>
    </row>
    <row r="34" ht="16" customHeight="1">
      <c r="A34" s="8" t="inlineStr">
        <is>
          <t>NIFTY PSU BANK</t>
        </is>
      </c>
      <c r="B34" s="17" t="inlineStr">
        <is>
          <t>BANKINDIA</t>
        </is>
      </c>
      <c r="C34" s="18" t="n">
        <v>145.59</v>
      </c>
      <c r="D34" s="18" t="n">
        <v>142.53</v>
      </c>
      <c r="E34" s="18" t="n">
        <v>142.39</v>
      </c>
      <c r="F34" s="18" t="n">
        <v>138.85</v>
      </c>
      <c r="G34" s="19">
        <f>HYPERLINK("https://www.tradingview.com/chart/?symbol=NSE:BANKINDIA","Chart 📈")</f>
        <v/>
      </c>
    </row>
    <row r="35" ht="16" customHeight="1">
      <c r="A35" s="20" t="inlineStr">
        <is>
          <t>NIFTY PSU BANK</t>
        </is>
      </c>
      <c r="B35" s="17" t="inlineStr">
        <is>
          <t>INDIANB</t>
        </is>
      </c>
      <c r="C35" s="18" t="n">
        <v>842.55</v>
      </c>
      <c r="D35" s="18" t="n">
        <v>822.76</v>
      </c>
      <c r="E35" s="18" t="n">
        <v>832.28</v>
      </c>
      <c r="F35" s="18" t="n">
        <v>813.9299999999999</v>
      </c>
      <c r="G35" s="19">
        <f>HYPERLINK("https://www.tradingview.com/chart/?symbol=NSE:INDIANB","Chart 📈")</f>
        <v/>
      </c>
    </row>
    <row r="36" ht="16" customHeight="1">
      <c r="A36" s="20" t="inlineStr">
        <is>
          <t>NIFTY PSU BANK</t>
        </is>
      </c>
      <c r="B36" s="17" t="inlineStr">
        <is>
          <t>SBIN</t>
        </is>
      </c>
      <c r="C36" s="18" t="n">
        <v>1037</v>
      </c>
      <c r="D36" s="18" t="n">
        <v>1028.77</v>
      </c>
      <c r="E36" s="18" t="n">
        <v>1021.51</v>
      </c>
      <c r="F36" s="18" t="n">
        <v>988.0599999999999</v>
      </c>
      <c r="G36" s="19">
        <f>HYPERLINK("https://www.tradingview.com/chart/?symbol=NSE:SBIN","Chart 📈")</f>
        <v/>
      </c>
    </row>
    <row r="37" ht="16" customHeight="1">
      <c r="A37" s="20" t="inlineStr">
        <is>
          <t>NIFTY PSU BANK</t>
        </is>
      </c>
      <c r="B37" s="17" t="inlineStr">
        <is>
          <t>UNIONBANK</t>
        </is>
      </c>
      <c r="C37" s="18" t="n">
        <v>170.39</v>
      </c>
      <c r="D37" s="18" t="n">
        <v>164.79</v>
      </c>
      <c r="E37" s="18" t="n">
        <v>165.39</v>
      </c>
      <c r="F37" s="18" t="n">
        <v>160.64</v>
      </c>
      <c r="G37" s="19">
        <f>HYPERLINK("https://www.tradingview.com/chart/?symbol=NSE:UNIONBANK","Chart 📈")</f>
        <v/>
      </c>
    </row>
    <row r="38" ht="16" customHeight="1">
      <c r="A38" s="12" t="inlineStr">
        <is>
          <t>NIFTY MIDSMALL IT &amp; TELECOM</t>
        </is>
      </c>
      <c r="B38" s="13" t="inlineStr">
        <is>
          <t>COFORGE</t>
        </is>
      </c>
      <c r="C38" s="14" t="n">
        <v>1540.9</v>
      </c>
      <c r="D38" s="14" t="n">
        <v>1468.4</v>
      </c>
      <c r="E38" s="14" t="n">
        <v>1420.96</v>
      </c>
      <c r="F38" s="14" t="n">
        <v>1489.9</v>
      </c>
      <c r="G38" s="15">
        <f>HYPERLINK("https://www.tradingview.com/chart/?symbol=NSE:COFORGE","Chart 📈")</f>
        <v/>
      </c>
    </row>
    <row r="39" ht="16" customHeight="1">
      <c r="A39" s="16" t="inlineStr">
        <is>
          <t>NIFTY MIDSMALL IT &amp; TELECOM</t>
        </is>
      </c>
      <c r="B39" s="13" t="inlineStr">
        <is>
          <t>HFCL</t>
        </is>
      </c>
      <c r="C39" s="14" t="n">
        <v>214.63</v>
      </c>
      <c r="D39" s="14" t="n">
        <v>207.49</v>
      </c>
      <c r="E39" s="14" t="n">
        <v>180.65</v>
      </c>
      <c r="F39" s="14" t="n">
        <v>119.4</v>
      </c>
      <c r="G39" s="15">
        <f>HYPERLINK("https://www.tradingview.com/chart/?symbol=NSE:HFCL","Chart 📈")</f>
        <v/>
      </c>
    </row>
    <row r="40" ht="16" customHeight="1">
      <c r="A40" s="16" t="inlineStr">
        <is>
          <t>NIFTY MIDSMALL IT &amp; TELECOM</t>
        </is>
      </c>
      <c r="B40" s="13" t="inlineStr">
        <is>
          <t>OFSS</t>
        </is>
      </c>
      <c r="C40" s="14" t="n">
        <v>11746</v>
      </c>
      <c r="D40" s="14" t="n">
        <v>10783.78</v>
      </c>
      <c r="E40" s="14" t="n">
        <v>9994.48</v>
      </c>
      <c r="F40" s="14" t="n">
        <v>8629.92</v>
      </c>
      <c r="G40" s="15">
        <f>HYPERLINK("https://www.tradingview.com/chart/?symbol=NSE:OFSS","Chart 📈")</f>
        <v/>
      </c>
    </row>
    <row r="41" ht="16" customHeight="1">
      <c r="A41" s="16" t="inlineStr">
        <is>
          <t>NIFTY MIDSMALL IT &amp; TELECOM</t>
        </is>
      </c>
      <c r="B41" s="13" t="inlineStr">
        <is>
          <t>SONATSOFTW</t>
        </is>
      </c>
      <c r="C41" s="14" t="n">
        <v>316.05</v>
      </c>
      <c r="D41" s="14" t="n">
        <v>281.82</v>
      </c>
      <c r="E41" s="14" t="n">
        <v>276.36</v>
      </c>
      <c r="F41" s="14" t="n">
        <v>303.63</v>
      </c>
      <c r="G41" s="15">
        <f>HYPERLINK("https://www.tradingview.com/chart/?symbol=NSE:SONATSOFTW","Chart 📈")</f>
        <v/>
      </c>
    </row>
    <row r="42" ht="16" customHeight="1">
      <c r="A42" s="16" t="inlineStr">
        <is>
          <t>NIFTY MIDSMALL IT &amp; TELECOM</t>
        </is>
      </c>
      <c r="B42" s="13" t="inlineStr">
        <is>
          <t>TANLA</t>
        </is>
      </c>
      <c r="C42" s="14" t="n">
        <v>569.55</v>
      </c>
      <c r="D42" s="14" t="n">
        <v>533.73</v>
      </c>
      <c r="E42" s="14" t="n">
        <v>521.48</v>
      </c>
      <c r="F42" s="14" t="n">
        <v>528.33</v>
      </c>
      <c r="G42" s="15">
        <f>HYPERLINK("https://www.tradingview.com/chart/?symbol=NSE:TANLA","Chart 📈")</f>
        <v/>
      </c>
    </row>
    <row r="43" ht="16" customHeight="1">
      <c r="A43" s="16" t="inlineStr">
        <is>
          <t>NIFTY MIDSMALL IT &amp; TELECOM</t>
        </is>
      </c>
      <c r="B43" s="13" t="inlineStr">
        <is>
          <t>TATATECH</t>
        </is>
      </c>
      <c r="C43" s="14" t="n">
        <v>760.8</v>
      </c>
      <c r="D43" s="14" t="n">
        <v>722.5599999999999</v>
      </c>
      <c r="E43" s="14" t="n">
        <v>696.33</v>
      </c>
      <c r="F43" s="14" t="n">
        <v>655.97</v>
      </c>
      <c r="G43" s="15">
        <f>HYPERLINK("https://www.tradingview.com/chart/?symbol=NSE:TATATECH","Chart 📈")</f>
        <v/>
      </c>
    </row>
    <row r="44" ht="16" customHeight="1">
      <c r="A44" s="8" t="inlineStr">
        <is>
          <t>NIFTY MEDIA</t>
        </is>
      </c>
      <c r="B44" s="17" t="inlineStr">
        <is>
          <t>NAZARA</t>
        </is>
      </c>
      <c r="C44" s="18" t="n">
        <v>307.3</v>
      </c>
      <c r="D44" s="18" t="n">
        <v>298.84</v>
      </c>
      <c r="E44" s="18" t="n">
        <v>288.72</v>
      </c>
      <c r="F44" s="18" t="n">
        <v>279.96</v>
      </c>
      <c r="G44" s="19">
        <f>HYPERLINK("https://www.tradingview.com/chart/?symbol=NSE:NAZARA","Chart 📈")</f>
        <v/>
      </c>
    </row>
    <row r="45" ht="16" customHeight="1">
      <c r="A45" s="20" t="inlineStr">
        <is>
          <t>NIFTY MEDIA</t>
        </is>
      </c>
      <c r="B45" s="17" t="inlineStr">
        <is>
          <t>PVRINOX</t>
        </is>
      </c>
      <c r="C45" s="18" t="n">
        <v>1020.55</v>
      </c>
      <c r="D45" s="18" t="n">
        <v>987.15</v>
      </c>
      <c r="E45" s="18" t="n">
        <v>986.03</v>
      </c>
      <c r="F45" s="18" t="n">
        <v>1009.4</v>
      </c>
      <c r="G45" s="19">
        <f>HYPERLINK("https://www.tradingview.com/chart/?symbol=NSE:PVRINOX","Chart 📈")</f>
        <v/>
      </c>
    </row>
    <row r="46" ht="16" customHeight="1">
      <c r="A46" s="20" t="inlineStr">
        <is>
          <t>NIFTY MEDIA</t>
        </is>
      </c>
      <c r="B46" s="17" t="inlineStr">
        <is>
          <t>SAREGAMA</t>
        </is>
      </c>
      <c r="C46" s="18" t="n">
        <v>498.5</v>
      </c>
      <c r="D46" s="18" t="n">
        <v>472.92</v>
      </c>
      <c r="E46" s="18" t="n">
        <v>442.22</v>
      </c>
      <c r="F46" s="18" t="n">
        <v>407.61</v>
      </c>
      <c r="G46" s="19">
        <f>HYPERLINK("https://www.tradingview.com/chart/?symbol=NSE:SAREGAMA","Chart 📈")</f>
        <v/>
      </c>
    </row>
    <row r="47" ht="16" customHeight="1">
      <c r="A47" s="20" t="inlineStr">
        <is>
          <t>NIFTY MEDIA</t>
        </is>
      </c>
      <c r="B47" s="17" t="inlineStr">
        <is>
          <t>TIPSMUSIC</t>
        </is>
      </c>
      <c r="C47" s="18" t="n">
        <v>713.75</v>
      </c>
      <c r="D47" s="18" t="n">
        <v>672.23</v>
      </c>
      <c r="E47" s="18" t="n">
        <v>650.45</v>
      </c>
      <c r="F47" s="18" t="n">
        <v>599.97</v>
      </c>
      <c r="G47" s="19">
        <f>HYPERLINK("https://www.tradingview.com/chart/?symbol=NSE:TIPSMUSIC","Chart 📈")</f>
        <v/>
      </c>
    </row>
    <row r="48" ht="16" customHeight="1">
      <c r="A48" s="12" t="inlineStr">
        <is>
          <t>NIFTY CONSUMER DURABLES</t>
        </is>
      </c>
      <c r="B48" s="13" t="inlineStr">
        <is>
          <t>AMBER</t>
        </is>
      </c>
      <c r="C48" s="14" t="n">
        <v>7771</v>
      </c>
      <c r="D48" s="14" t="n">
        <v>7632.74</v>
      </c>
      <c r="E48" s="14" t="n">
        <v>7625.33</v>
      </c>
      <c r="F48" s="14" t="n">
        <v>7447.69</v>
      </c>
      <c r="G48" s="15">
        <f>HYPERLINK("https://www.tradingview.com/chart/?symbol=NSE:AMBER","Chart 📈")</f>
        <v/>
      </c>
    </row>
    <row r="49" ht="16" customHeight="1">
      <c r="A49" s="16" t="inlineStr">
        <is>
          <t>NIFTY CONSUMER DURABLES</t>
        </is>
      </c>
      <c r="B49" s="13" t="inlineStr">
        <is>
          <t>CENTURYPLY</t>
        </is>
      </c>
      <c r="C49" s="14" t="n">
        <v>789.45</v>
      </c>
      <c r="D49" s="14" t="n">
        <v>766.26</v>
      </c>
      <c r="E49" s="14" t="n">
        <v>761.45</v>
      </c>
      <c r="F49" s="14" t="n">
        <v>759.14</v>
      </c>
      <c r="G49" s="15">
        <f>HYPERLINK("https://www.tradingview.com/chart/?symbol=NSE:CENTURYPLY","Chart 📈")</f>
        <v/>
      </c>
    </row>
    <row r="50" ht="16" customHeight="1">
      <c r="A50" s="16" t="inlineStr">
        <is>
          <t>NIFTY CONSUMER DURABLES</t>
        </is>
      </c>
      <c r="B50" s="13" t="inlineStr">
        <is>
          <t>DIXON</t>
        </is>
      </c>
      <c r="C50" s="14" t="n">
        <v>13490</v>
      </c>
      <c r="D50" s="14" t="n">
        <v>12603.15</v>
      </c>
      <c r="E50" s="14" t="n">
        <v>12018.24</v>
      </c>
      <c r="F50" s="14" t="n">
        <v>12522.4</v>
      </c>
      <c r="G50" s="15">
        <f>HYPERLINK("https://www.tradingview.com/chart/?symbol=NSE:DIXON","Chart 📈")</f>
        <v/>
      </c>
    </row>
    <row r="51" ht="16" customHeight="1">
      <c r="A51" s="16" t="inlineStr">
        <is>
          <t>NIFTY CONSUMER DURABLES</t>
        </is>
      </c>
      <c r="B51" s="13" t="inlineStr">
        <is>
          <t>KAJARIACER</t>
        </is>
      </c>
      <c r="C51" s="14" t="n">
        <v>1236.4</v>
      </c>
      <c r="D51" s="14" t="n">
        <v>1189.38</v>
      </c>
      <c r="E51" s="14" t="n">
        <v>1144.88</v>
      </c>
      <c r="F51" s="14" t="n">
        <v>1098.55</v>
      </c>
      <c r="G51" s="15">
        <f>HYPERLINK("https://www.tradingview.com/chart/?symbol=NSE:KAJARIACER","Chart 📈")</f>
        <v/>
      </c>
    </row>
    <row r="52" ht="16" customHeight="1">
      <c r="A52" s="16" t="inlineStr">
        <is>
          <t>NIFTY CONSUMER DURABLES</t>
        </is>
      </c>
      <c r="B52" s="13" t="inlineStr">
        <is>
          <t>KALYANKJIL</t>
        </is>
      </c>
      <c r="C52" s="14" t="n">
        <v>510.65</v>
      </c>
      <c r="D52" s="14" t="n">
        <v>401.3</v>
      </c>
      <c r="E52" s="14" t="n">
        <v>388.31</v>
      </c>
      <c r="F52" s="14" t="n">
        <v>429.91</v>
      </c>
      <c r="G52" s="15">
        <f>HYPERLINK("https://www.tradingview.com/chart/?symbol=NSE:KALYANKJIL","Chart 📈")</f>
        <v/>
      </c>
    </row>
    <row r="53" ht="16" customHeight="1">
      <c r="A53" s="16" t="inlineStr">
        <is>
          <t>NIFTY CONSUMER DURABLES</t>
        </is>
      </c>
      <c r="B53" s="13" t="inlineStr">
        <is>
          <t>TITAN</t>
        </is>
      </c>
      <c r="C53" s="14" t="n">
        <v>4601.5</v>
      </c>
      <c r="D53" s="14" t="n">
        <v>4425.23</v>
      </c>
      <c r="E53" s="14" t="n">
        <v>4319.53</v>
      </c>
      <c r="F53" s="14" t="n">
        <v>4075.12</v>
      </c>
      <c r="G53" s="15">
        <f>HYPERLINK("https://www.tradingview.com/chart/?symbol=NSE:TITAN","Chart 📈")</f>
        <v/>
      </c>
    </row>
    <row r="54" ht="16" customHeight="1">
      <c r="A54" s="8" t="inlineStr">
        <is>
          <t>NIFTY FINANCIAL SERVICES</t>
        </is>
      </c>
      <c r="B54" s="17" t="inlineStr">
        <is>
          <t>BAJAJFINSV</t>
        </is>
      </c>
      <c r="C54" s="18" t="n">
        <v>1908.1</v>
      </c>
      <c r="D54" s="18" t="n">
        <v>1830.47</v>
      </c>
      <c r="E54" s="18" t="n">
        <v>1799.85</v>
      </c>
      <c r="F54" s="18" t="n">
        <v>1876.5</v>
      </c>
      <c r="G54" s="19">
        <f>HYPERLINK("https://www.tradingview.com/chart/?symbol=NSE:BAJAJFINSV","Chart 📈")</f>
        <v/>
      </c>
    </row>
    <row r="55" ht="16" customHeight="1">
      <c r="A55" s="20" t="inlineStr">
        <is>
          <t>NIFTY FINANCIAL SERVICES</t>
        </is>
      </c>
      <c r="B55" s="17" t="inlineStr">
        <is>
          <t>BAJFINANCE</t>
        </is>
      </c>
      <c r="C55" s="18" t="n">
        <v>1022.6</v>
      </c>
      <c r="D55" s="18" t="n">
        <v>991.28</v>
      </c>
      <c r="E55" s="18" t="n">
        <v>956.99</v>
      </c>
      <c r="F55" s="18" t="n">
        <v>943.91</v>
      </c>
      <c r="G55" s="19">
        <f>HYPERLINK("https://www.tradingview.com/chart/?symbol=NSE:BAJFINANCE","Chart 📈")</f>
        <v/>
      </c>
    </row>
    <row r="56" ht="16" customHeight="1">
      <c r="A56" s="20" t="inlineStr">
        <is>
          <t>NIFTY FINANCIAL SERVICES</t>
        </is>
      </c>
      <c r="B56" s="17" t="inlineStr">
        <is>
          <t>CHOLAFIN</t>
        </is>
      </c>
      <c r="C56" s="18" t="n">
        <v>1810.9</v>
      </c>
      <c r="D56" s="18" t="n">
        <v>1755.35</v>
      </c>
      <c r="E56" s="18" t="n">
        <v>1675.4</v>
      </c>
      <c r="F56" s="18" t="n">
        <v>1620.47</v>
      </c>
      <c r="G56" s="19">
        <f>HYPERLINK("https://www.tradingview.com/chart/?symbol=NSE:CHOLAFIN","Chart 📈")</f>
        <v/>
      </c>
    </row>
    <row r="57" ht="16" customHeight="1">
      <c r="A57" s="20" t="inlineStr">
        <is>
          <t>NIFTY FINANCIAL SERVICES</t>
        </is>
      </c>
      <c r="B57" s="17" t="inlineStr">
        <is>
          <t>HDFCAMC</t>
        </is>
      </c>
      <c r="C57" s="18" t="n">
        <v>2749</v>
      </c>
      <c r="D57" s="18" t="n">
        <v>2697.92</v>
      </c>
      <c r="E57" s="18" t="n">
        <v>2647.96</v>
      </c>
      <c r="F57" s="18" t="n">
        <v>2603.21</v>
      </c>
      <c r="G57" s="19">
        <f>HYPERLINK("https://www.tradingview.com/chart/?symbol=NSE:HDFCAMC","Chart 📈")</f>
        <v/>
      </c>
    </row>
    <row r="58" ht="16" customHeight="1">
      <c r="A58" s="20" t="inlineStr">
        <is>
          <t>NIFTY FINANCIAL SERVICES</t>
        </is>
      </c>
      <c r="B58" s="17" t="inlineStr">
        <is>
          <t>ICICIBANK</t>
        </is>
      </c>
      <c r="C58" s="18" t="n">
        <v>1409.5</v>
      </c>
      <c r="D58" s="18" t="n">
        <v>1374.88</v>
      </c>
      <c r="E58" s="18" t="n">
        <v>1338.38</v>
      </c>
      <c r="F58" s="18" t="n">
        <v>1343.49</v>
      </c>
      <c r="G58" s="19">
        <f>HYPERLINK("https://www.tradingview.com/chart/?symbol=NSE:ICICIBANK","Chart 📈")</f>
        <v/>
      </c>
    </row>
    <row r="59" ht="16" customHeight="1">
      <c r="A59" s="20" t="inlineStr">
        <is>
          <t>NIFTY FINANCIAL SERVICES</t>
        </is>
      </c>
      <c r="B59" s="17" t="inlineStr">
        <is>
          <t>LICHSGFIN</t>
        </is>
      </c>
      <c r="C59" s="18" t="n">
        <v>551.9</v>
      </c>
      <c r="D59" s="18" t="n">
        <v>548.39</v>
      </c>
      <c r="E59" s="18" t="n">
        <v>546.91</v>
      </c>
      <c r="F59" s="18" t="n">
        <v>547.25</v>
      </c>
      <c r="G59" s="19">
        <f>HYPERLINK("https://www.tradingview.com/chart/?symbol=NSE:LICHSGFIN","Chart 📈")</f>
        <v/>
      </c>
    </row>
    <row r="60" ht="16" customHeight="1">
      <c r="A60" s="20" t="inlineStr">
        <is>
          <t>NIFTY FINANCIAL SERVICES</t>
        </is>
      </c>
      <c r="B60" s="17" t="inlineStr">
        <is>
          <t>SHRIRAMFIN</t>
        </is>
      </c>
      <c r="C60" s="18" t="n">
        <v>1048.1</v>
      </c>
      <c r="D60" s="18" t="n">
        <v>1021.87</v>
      </c>
      <c r="E60" s="18" t="n">
        <v>992.71</v>
      </c>
      <c r="F60" s="18" t="n">
        <v>914.5</v>
      </c>
      <c r="G60" s="19">
        <f>HYPERLINK("https://www.tradingview.com/chart/?symbol=NSE:SHRIRAMFIN","Chart 📈")</f>
        <v/>
      </c>
    </row>
    <row r="61" ht="16" customHeight="1">
      <c r="A61" s="12" t="inlineStr">
        <is>
          <t>NIFTY FMCG</t>
        </is>
      </c>
      <c r="B61" s="13" t="inlineStr">
        <is>
          <t>BALRAMCHIN</t>
        </is>
      </c>
      <c r="C61" s="14" t="n">
        <v>584.85</v>
      </c>
      <c r="D61" s="14" t="n">
        <v>556.16</v>
      </c>
      <c r="E61" s="14" t="n">
        <v>540.4299999999999</v>
      </c>
      <c r="F61" s="14" t="n">
        <v>513.78</v>
      </c>
      <c r="G61" s="15">
        <f>HYPERLINK("https://www.tradingview.com/chart/?symbol=NSE:BALRAMCHIN","Chart 📈")</f>
        <v/>
      </c>
    </row>
    <row r="62" ht="16" customHeight="1">
      <c r="A62" s="16" t="inlineStr">
        <is>
          <t>NIFTY FMCG</t>
        </is>
      </c>
      <c r="B62" s="13" t="inlineStr">
        <is>
          <t>MARICO</t>
        </is>
      </c>
      <c r="C62" s="14" t="n">
        <v>846.75</v>
      </c>
      <c r="D62" s="14" t="n">
        <v>837.1900000000001</v>
      </c>
      <c r="E62" s="14" t="n">
        <v>821.76</v>
      </c>
      <c r="F62" s="14" t="n">
        <v>777.95</v>
      </c>
      <c r="G62" s="15">
        <f>HYPERLINK("https://www.tradingview.com/chart/?symbol=NSE:MARICO","Chart 📈")</f>
        <v/>
      </c>
    </row>
    <row r="63" ht="16" customHeight="1">
      <c r="A63" s="16" t="inlineStr">
        <is>
          <t>NIFTY FMCG</t>
        </is>
      </c>
      <c r="B63" s="13" t="inlineStr">
        <is>
          <t>RADICO</t>
        </is>
      </c>
      <c r="C63" s="14" t="n">
        <v>4045.4</v>
      </c>
      <c r="D63" s="14" t="n">
        <v>3900.58</v>
      </c>
      <c r="E63" s="14" t="n">
        <v>3660.58</v>
      </c>
      <c r="F63" s="14" t="n">
        <v>3223.86</v>
      </c>
      <c r="G63" s="15">
        <f>HYPERLINK("https://www.tradingview.com/chart/?symbol=NSE:RADICO","Chart 📈")</f>
        <v/>
      </c>
    </row>
    <row r="64" ht="16" customHeight="1">
      <c r="A64" s="16" t="inlineStr">
        <is>
          <t>NIFTY FMCG</t>
        </is>
      </c>
      <c r="B64" s="13" t="inlineStr">
        <is>
          <t>UNITDSPR</t>
        </is>
      </c>
      <c r="C64" s="14" t="n">
        <v>1373.4</v>
      </c>
      <c r="D64" s="14" t="n">
        <v>1357.58</v>
      </c>
      <c r="E64" s="14" t="n">
        <v>1326.16</v>
      </c>
      <c r="F64" s="14" t="n">
        <v>1327.25</v>
      </c>
      <c r="G64" s="15">
        <f>HYPERLINK("https://www.tradingview.com/chart/?symbol=NSE:UNITDSPR","Chart 📈")</f>
        <v/>
      </c>
    </row>
    <row r="65" ht="16" customHeight="1">
      <c r="A65" s="8" t="inlineStr">
        <is>
          <t>NIFTY METAL</t>
        </is>
      </c>
      <c r="B65" s="17" t="inlineStr">
        <is>
          <t>ADANIENT</t>
        </is>
      </c>
      <c r="C65" s="18" t="n">
        <v>3177.5</v>
      </c>
      <c r="D65" s="18" t="n">
        <v>3070.5</v>
      </c>
      <c r="E65" s="18" t="n">
        <v>2882.66</v>
      </c>
      <c r="F65" s="18" t="n">
        <v>2523.65</v>
      </c>
      <c r="G65" s="19">
        <f>HYPERLINK("https://www.tradingview.com/chart/?symbol=NSE:ADANIENT","Chart 📈")</f>
        <v/>
      </c>
    </row>
    <row r="66" ht="16" customHeight="1">
      <c r="A66" s="20" t="inlineStr">
        <is>
          <t>NIFTY METAL</t>
        </is>
      </c>
      <c r="B66" s="17" t="inlineStr">
        <is>
          <t>RATNAMANI</t>
        </is>
      </c>
      <c r="C66" s="18" t="n">
        <v>2656.8</v>
      </c>
      <c r="D66" s="18" t="n">
        <v>2608.87</v>
      </c>
      <c r="E66" s="18" t="n">
        <v>2585.14</v>
      </c>
      <c r="F66" s="18" t="n">
        <v>2502.11</v>
      </c>
      <c r="G66" s="19">
        <f>HYPERLINK("https://www.tradingview.com/chart/?symbol=NSE:RATNAMANI","Chart 📈")</f>
        <v/>
      </c>
    </row>
    <row r="67" ht="16" customHeight="1">
      <c r="A67" s="20" t="inlineStr">
        <is>
          <t>NIFTY METAL</t>
        </is>
      </c>
      <c r="B67" s="17" t="inlineStr">
        <is>
          <t>WELCORP</t>
        </is>
      </c>
      <c r="C67" s="18" t="n">
        <v>1619.9</v>
      </c>
      <c r="D67" s="18" t="n">
        <v>1496.53</v>
      </c>
      <c r="E67" s="18" t="n">
        <v>1380.61</v>
      </c>
      <c r="F67" s="18" t="n">
        <v>1090.91</v>
      </c>
      <c r="G67" s="19">
        <f>HYPERLINK("https://www.tradingview.com/chart/?symbol=NSE:WELCORP","Chart 📈")</f>
        <v/>
      </c>
    </row>
    <row r="68" ht="16" customHeight="1">
      <c r="A68" s="12" t="inlineStr">
        <is>
          <t>NIFTY OIL &amp; GAS</t>
        </is>
      </c>
      <c r="B68" s="13" t="inlineStr">
        <is>
          <t>AEGISLOG</t>
        </is>
      </c>
      <c r="C68" s="14" t="n">
        <v>1293.6</v>
      </c>
      <c r="D68" s="14" t="n">
        <v>1171.88</v>
      </c>
      <c r="E68" s="14" t="n">
        <v>990.99</v>
      </c>
      <c r="F68" s="14" t="n">
        <v>798.88</v>
      </c>
      <c r="G68" s="15">
        <f>HYPERLINK("https://www.tradingview.com/chart/?symbol=NSE:AEGISLOG","Chart 📈")</f>
        <v/>
      </c>
    </row>
    <row r="69" ht="16" customHeight="1">
      <c r="A69" s="16" t="inlineStr">
        <is>
          <t>NIFTY OIL &amp; GAS</t>
        </is>
      </c>
      <c r="B69" s="13" t="inlineStr">
        <is>
          <t>ATGL</t>
        </is>
      </c>
      <c r="C69" s="14" t="n">
        <v>720.95</v>
      </c>
      <c r="D69" s="14" t="n">
        <v>718.39</v>
      </c>
      <c r="E69" s="14" t="n">
        <v>694.9</v>
      </c>
      <c r="F69" s="14" t="n">
        <v>631.66</v>
      </c>
      <c r="G69" s="15">
        <f>HYPERLINK("https://www.tradingview.com/chart/?symbol=NSE:ATGL","Chart 📈")</f>
        <v/>
      </c>
    </row>
    <row r="70" ht="16" customHeight="1">
      <c r="A70" s="16" t="inlineStr">
        <is>
          <t>NIFTY OIL &amp; GAS</t>
        </is>
      </c>
      <c r="B70" s="13" t="inlineStr">
        <is>
          <t>GAIL</t>
        </is>
      </c>
      <c r="C70" s="14" t="n">
        <v>173.12</v>
      </c>
      <c r="D70" s="14" t="n">
        <v>172.4</v>
      </c>
      <c r="E70" s="14" t="n">
        <v>168.92</v>
      </c>
      <c r="F70" s="14" t="n">
        <v>166.1</v>
      </c>
      <c r="G70" s="15">
        <f>HYPERLINK("https://www.tradingview.com/chart/?symbol=NSE:GAIL","Chart 📈")</f>
        <v/>
      </c>
    </row>
    <row r="71" ht="16" customHeight="1">
      <c r="A71" s="16" t="inlineStr">
        <is>
          <t>NIFTY OIL &amp; GAS</t>
        </is>
      </c>
      <c r="B71" s="13" t="inlineStr">
        <is>
          <t>PETRONET</t>
        </is>
      </c>
      <c r="C71" s="14" t="n">
        <v>278.95</v>
      </c>
      <c r="D71" s="14" t="n">
        <v>278.17</v>
      </c>
      <c r="E71" s="14" t="n">
        <v>276.29</v>
      </c>
      <c r="F71" s="14" t="n">
        <v>276.89</v>
      </c>
      <c r="G71" s="15">
        <f>HYPERLINK("https://www.tradingview.com/chart/?symbol=NSE:PETRONET","Chart 📈")</f>
        <v/>
      </c>
    </row>
    <row r="72" ht="16" customHeight="1">
      <c r="A72" s="8" t="inlineStr">
        <is>
          <t>NIFTY BANK</t>
        </is>
      </c>
      <c r="B72" s="17" t="inlineStr">
        <is>
          <t>AUBANK</t>
        </is>
      </c>
      <c r="C72" s="18" t="n">
        <v>1060.5</v>
      </c>
      <c r="D72" s="18" t="n">
        <v>1041.99</v>
      </c>
      <c r="E72" s="18" t="n">
        <v>1018.67</v>
      </c>
      <c r="F72" s="18" t="n">
        <v>953.1900000000001</v>
      </c>
      <c r="G72" s="19">
        <f>HYPERLINK("https://www.tradingview.com/chart/?symbol=NSE:AUBANK","Chart 📈")</f>
        <v/>
      </c>
    </row>
    <row r="73" ht="16" customHeight="1">
      <c r="A73" s="20" t="inlineStr">
        <is>
          <t>NIFTY BANK</t>
        </is>
      </c>
      <c r="B73" s="17" t="inlineStr">
        <is>
          <t>FEDERALBNK</t>
        </is>
      </c>
      <c r="C73" s="18" t="n">
        <v>332.5</v>
      </c>
      <c r="D73" s="18" t="n">
        <v>324.41</v>
      </c>
      <c r="E73" s="18" t="n">
        <v>311.63</v>
      </c>
      <c r="F73" s="18" t="n">
        <v>276.51</v>
      </c>
      <c r="G73" s="19">
        <f>HYPERLINK("https://www.tradingview.com/chart/?symbol=NSE:FEDERALBNK","Chart 📈")</f>
        <v/>
      </c>
    </row>
    <row r="74" ht="16" customHeight="1">
      <c r="A74" s="20" t="inlineStr">
        <is>
          <t>NIFTY BANK</t>
        </is>
      </c>
      <c r="B74" s="17" t="inlineStr">
        <is>
          <t>IDFCFIRSTB</t>
        </is>
      </c>
      <c r="C74" s="18" t="n">
        <v>80.58</v>
      </c>
      <c r="D74" s="18" t="n">
        <v>78.64</v>
      </c>
      <c r="E74" s="18" t="n">
        <v>75.54000000000001</v>
      </c>
      <c r="F74" s="18" t="n">
        <v>74.3</v>
      </c>
      <c r="G74" s="19">
        <f>HYPERLINK("https://www.tradingview.com/chart/?symbol=NSE:IDFCFIRSTB","Chart 📈")</f>
        <v/>
      </c>
    </row>
    <row r="75" ht="16" customHeight="1">
      <c r="A75" s="20" t="inlineStr">
        <is>
          <t>NIFTY BANK</t>
        </is>
      </c>
      <c r="B75" s="17" t="inlineStr">
        <is>
          <t>INDUSINDBK</t>
        </is>
      </c>
      <c r="C75" s="18" t="n">
        <v>1012.9</v>
      </c>
      <c r="D75" s="18" t="n">
        <v>965.3200000000001</v>
      </c>
      <c r="E75" s="18" t="n">
        <v>932.36</v>
      </c>
      <c r="F75" s="18" t="n">
        <v>883.8</v>
      </c>
      <c r="G75" s="19">
        <f>HYPERLINK("https://www.tradingview.com/chart/?symbol=NSE:INDUSINDBK","Chart 📈")</f>
        <v/>
      </c>
    </row>
    <row r="76" ht="16" customHeight="1">
      <c r="A76" s="12" t="inlineStr">
        <is>
          <t>NIFTY IT</t>
        </is>
      </c>
      <c r="B76" s="13" t="inlineStr">
        <is>
          <t>TECHM</t>
        </is>
      </c>
      <c r="C76" s="14" t="n">
        <v>1504.5</v>
      </c>
      <c r="D76" s="14" t="n">
        <v>1421.62</v>
      </c>
      <c r="E76" s="14" t="n">
        <v>1416.41</v>
      </c>
      <c r="F76" s="14" t="n">
        <v>1442.36</v>
      </c>
      <c r="G76" s="15">
        <f>HYPERLINK("https://www.tradingview.com/chart/?symbol=NSE:TECHM","Chart 📈")</f>
        <v/>
      </c>
    </row>
    <row r="77" ht="16" customHeight="1">
      <c r="A77" s="8" t="inlineStr">
        <is>
          <t>NIFTY ENERGY</t>
        </is>
      </c>
      <c r="B77" s="17" t="inlineStr">
        <is>
          <t>ADANIENSOL</t>
        </is>
      </c>
      <c r="C77" s="18" t="n">
        <v>1644.6</v>
      </c>
      <c r="D77" s="18" t="n">
        <v>1568.68</v>
      </c>
      <c r="E77" s="18" t="n">
        <v>1475.13</v>
      </c>
      <c r="F77" s="18" t="n">
        <v>1195.15</v>
      </c>
      <c r="G77" s="19">
        <f>HYPERLINK("https://www.tradingview.com/chart/?symbol=NSE:ADANIENSOL","Chart 📈")</f>
        <v/>
      </c>
    </row>
    <row r="78" ht="16" customHeight="1">
      <c r="A78" s="20" t="inlineStr">
        <is>
          <t>NIFTY ENERGY</t>
        </is>
      </c>
      <c r="B78" s="17" t="inlineStr">
        <is>
          <t>ADANIGREEN</t>
        </is>
      </c>
      <c r="C78" s="18" t="n">
        <v>1546.5</v>
      </c>
      <c r="D78" s="18" t="n">
        <v>1512.94</v>
      </c>
      <c r="E78" s="18" t="n">
        <v>1430.86</v>
      </c>
      <c r="F78" s="18" t="n">
        <v>1186.3</v>
      </c>
      <c r="G78" s="19">
        <f>HYPERLINK("https://www.tradingview.com/chart/?symbol=NSE:ADANIGREEN","Chart 📈")</f>
        <v/>
      </c>
    </row>
    <row r="79" ht="16" customHeight="1">
      <c r="A79" s="20" t="inlineStr">
        <is>
          <t>NIFTY ENERGY</t>
        </is>
      </c>
      <c r="B79" s="17" t="inlineStr">
        <is>
          <t>BHEL</t>
        </is>
      </c>
      <c r="C79" s="18" t="n">
        <v>409.1</v>
      </c>
      <c r="D79" s="18" t="n">
        <v>395.31</v>
      </c>
      <c r="E79" s="18" t="n">
        <v>383.87</v>
      </c>
      <c r="F79" s="18" t="n">
        <v>320.58</v>
      </c>
      <c r="G79" s="19">
        <f>HYPERLINK("https://www.tradingview.com/chart/?symbol=NSE:BHEL","Chart 📈")</f>
        <v/>
      </c>
    </row>
    <row r="80" ht="16" customHeight="1">
      <c r="A80" s="20" t="inlineStr">
        <is>
          <t>NIFTY ENERGY</t>
        </is>
      </c>
      <c r="B80" s="17" t="inlineStr">
        <is>
          <t>NHPC</t>
        </is>
      </c>
      <c r="C80" s="18" t="n">
        <v>79.45999999999999</v>
      </c>
      <c r="D80" s="18" t="n">
        <v>78.79000000000001</v>
      </c>
      <c r="E80" s="18" t="n">
        <v>78.27</v>
      </c>
      <c r="F80" s="18" t="n">
        <v>79.06999999999999</v>
      </c>
      <c r="G80" s="19">
        <f>HYPERLINK("https://www.tradingview.com/chart/?symbol=NSE:NHPC","Chart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2026-07-13T13:32:25Z</dcterms:created>
  <dcterms:modified xsi:type="dcterms:W3CDTF">2026-07-13T13:32:25Z</dcterms:modified>
</cp:coreProperties>
</file>