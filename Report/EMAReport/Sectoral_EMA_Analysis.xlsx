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10-Jul-2026  13:21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19</v>
      </c>
      <c r="D5" s="9" t="n">
        <v>19</v>
      </c>
      <c r="E5" s="9" t="n">
        <v>18</v>
      </c>
      <c r="F5" s="10" t="n">
        <v>0.95</v>
      </c>
      <c r="G5" s="10" t="n">
        <v>0.95</v>
      </c>
      <c r="H5" s="10" t="n">
        <v>0.9</v>
      </c>
      <c r="I5" s="11" t="n">
        <v>0.9333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12</v>
      </c>
      <c r="E6" s="5" t="n">
        <v>7</v>
      </c>
      <c r="F6" s="6" t="n">
        <v>0.733</v>
      </c>
      <c r="G6" s="6" t="n">
        <v>0.8</v>
      </c>
      <c r="H6" s="6" t="n">
        <v>0.467</v>
      </c>
      <c r="I6" s="7" t="n">
        <v>0.6667000000000001</v>
      </c>
    </row>
    <row r="7" ht="17" customHeight="1">
      <c r="A7" s="8" t="inlineStr">
        <is>
          <t>NIFTY PSU BANK</t>
        </is>
      </c>
      <c r="B7" s="9" t="n">
        <v>12</v>
      </c>
      <c r="C7" s="9" t="n">
        <v>10</v>
      </c>
      <c r="D7" s="9" t="n">
        <v>7</v>
      </c>
      <c r="E7" s="9" t="n">
        <v>5</v>
      </c>
      <c r="F7" s="10" t="n">
        <v>0.833</v>
      </c>
      <c r="G7" s="10" t="n">
        <v>0.583</v>
      </c>
      <c r="H7" s="10" t="n">
        <v>0.417</v>
      </c>
      <c r="I7" s="11" t="n">
        <v>0.611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13</v>
      </c>
      <c r="D8" s="5" t="n">
        <v>14</v>
      </c>
      <c r="E8" s="5" t="n">
        <v>8</v>
      </c>
      <c r="F8" s="6" t="n">
        <v>0.65</v>
      </c>
      <c r="G8" s="6" t="n">
        <v>0.7</v>
      </c>
      <c r="H8" s="6" t="n">
        <v>0.4</v>
      </c>
      <c r="I8" s="7" t="n">
        <v>0.5832999999999999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13</v>
      </c>
      <c r="D9" s="9" t="n">
        <v>12</v>
      </c>
      <c r="E9" s="9" t="n">
        <v>9</v>
      </c>
      <c r="F9" s="10" t="n">
        <v>0.65</v>
      </c>
      <c r="G9" s="10" t="n">
        <v>0.6</v>
      </c>
      <c r="H9" s="10" t="n">
        <v>0.45</v>
      </c>
      <c r="I9" s="11" t="n">
        <v>0.5667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9</v>
      </c>
      <c r="D10" s="5" t="n">
        <v>8</v>
      </c>
      <c r="E10" s="5" t="n">
        <v>7</v>
      </c>
      <c r="F10" s="6" t="n">
        <v>0.6</v>
      </c>
      <c r="G10" s="6" t="n">
        <v>0.5329999999999999</v>
      </c>
      <c r="H10" s="6" t="n">
        <v>0.467</v>
      </c>
      <c r="I10" s="7" t="n">
        <v>0.5333</v>
      </c>
    </row>
    <row r="11" ht="17" customHeight="1">
      <c r="A11" s="8" t="inlineStr">
        <is>
          <t>NIFTY FMCG</t>
        </is>
      </c>
      <c r="B11" s="9" t="n">
        <v>15</v>
      </c>
      <c r="C11" s="9" t="n">
        <v>9</v>
      </c>
      <c r="D11" s="9" t="n">
        <v>9</v>
      </c>
      <c r="E11" s="9" t="n">
        <v>5</v>
      </c>
      <c r="F11" s="10" t="n">
        <v>0.6</v>
      </c>
      <c r="G11" s="10" t="n">
        <v>0.6</v>
      </c>
      <c r="H11" s="10" t="n">
        <v>0.333</v>
      </c>
      <c r="I11" s="11" t="n">
        <v>0.511</v>
      </c>
    </row>
    <row r="12" ht="17" customHeight="1">
      <c r="A12" s="4" t="inlineStr">
        <is>
          <t>NIFTY METAL</t>
        </is>
      </c>
      <c r="B12" s="5" t="n">
        <v>15</v>
      </c>
      <c r="C12" s="5" t="n">
        <v>6</v>
      </c>
      <c r="D12" s="5" t="n">
        <v>4</v>
      </c>
      <c r="E12" s="5" t="n">
        <v>10</v>
      </c>
      <c r="F12" s="6" t="n">
        <v>0.4</v>
      </c>
      <c r="G12" s="6" t="n">
        <v>0.267</v>
      </c>
      <c r="H12" s="6" t="n">
        <v>0.667</v>
      </c>
      <c r="I12" s="7" t="n">
        <v>0.4447</v>
      </c>
    </row>
    <row r="13" ht="17" customHeight="1">
      <c r="A13" s="8" t="inlineStr">
        <is>
          <t>NIFTY MEDIA</t>
        </is>
      </c>
      <c r="B13" s="9" t="n">
        <v>10</v>
      </c>
      <c r="C13" s="9" t="n">
        <v>4</v>
      </c>
      <c r="D13" s="9" t="n">
        <v>5</v>
      </c>
      <c r="E13" s="9" t="n">
        <v>3</v>
      </c>
      <c r="F13" s="10" t="n">
        <v>0.4</v>
      </c>
      <c r="G13" s="10" t="n">
        <v>0.5</v>
      </c>
      <c r="H13" s="10" t="n">
        <v>0.3</v>
      </c>
      <c r="I13" s="11" t="n">
        <v>0.4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6</v>
      </c>
      <c r="D14" s="5" t="n">
        <v>8</v>
      </c>
      <c r="E14" s="5" t="n">
        <v>4</v>
      </c>
      <c r="F14" s="6" t="n">
        <v>0.4</v>
      </c>
      <c r="G14" s="6" t="n">
        <v>0.5329999999999999</v>
      </c>
      <c r="H14" s="6" t="n">
        <v>0.267</v>
      </c>
      <c r="I14" s="7" t="n">
        <v>0.4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ENERGY</t>
        </is>
      </c>
      <c r="B16" s="5" t="n">
        <v>40</v>
      </c>
      <c r="C16" s="5" t="n">
        <v>7</v>
      </c>
      <c r="D16" s="5" t="n">
        <v>7</v>
      </c>
      <c r="E16" s="5" t="n">
        <v>17</v>
      </c>
      <c r="F16" s="6" t="n">
        <v>0.175</v>
      </c>
      <c r="G16" s="6" t="n">
        <v>0.175</v>
      </c>
      <c r="H16" s="6" t="n">
        <v>0.425</v>
      </c>
      <c r="I16" s="7" t="n">
        <v>0.2583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1</v>
      </c>
      <c r="E17" s="9" t="n">
        <v>1</v>
      </c>
      <c r="F17" s="10" t="n">
        <v>0.3</v>
      </c>
      <c r="G17" s="10" t="n">
        <v>0.1</v>
      </c>
      <c r="H17" s="10" t="n">
        <v>0.1</v>
      </c>
      <c r="I17" s="11" t="n">
        <v>0.1667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685.75</v>
      </c>
      <c r="D3" s="14" t="n">
        <v>637.9</v>
      </c>
      <c r="E3" s="14" t="n">
        <v>615.66</v>
      </c>
      <c r="F3" s="14" t="n">
        <v>648.1799999999999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2133</v>
      </c>
      <c r="D4" s="14" t="n">
        <v>1920.69</v>
      </c>
      <c r="E4" s="14" t="n">
        <v>1833.95</v>
      </c>
      <c r="F4" s="14" t="n">
        <v>1874.91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1220.75</v>
      </c>
      <c r="D5" s="14" t="n">
        <v>1027.76</v>
      </c>
      <c r="E5" s="14" t="n">
        <v>960.9</v>
      </c>
      <c r="F5" s="14" t="n">
        <v>1016.63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378.9</v>
      </c>
      <c r="D6" s="14" t="n">
        <v>359.64</v>
      </c>
      <c r="E6" s="14" t="n">
        <v>348.37</v>
      </c>
      <c r="F6" s="14" t="n">
        <v>352.09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1924.8</v>
      </c>
      <c r="D7" s="14" t="n">
        <v>1807.74</v>
      </c>
      <c r="E7" s="14" t="n">
        <v>1727.57</v>
      </c>
      <c r="F7" s="14" t="n">
        <v>1666.05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2138.9</v>
      </c>
      <c r="D8" s="14" t="n">
        <v>1972.22</v>
      </c>
      <c r="E8" s="14" t="n">
        <v>1871.4</v>
      </c>
      <c r="F8" s="14" t="n">
        <v>1739.71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1733.2</v>
      </c>
      <c r="D9" s="14" t="n">
        <v>1590.38</v>
      </c>
      <c r="E9" s="14" t="n">
        <v>1499.78</v>
      </c>
      <c r="F9" s="14" t="n">
        <v>1498.16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631.7</v>
      </c>
      <c r="D10" s="14" t="n">
        <v>593.66</v>
      </c>
      <c r="E10" s="14" t="n">
        <v>550.88</v>
      </c>
      <c r="F10" s="14" t="n">
        <v>512.49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1511.3</v>
      </c>
      <c r="D11" s="14" t="n">
        <v>1422.16</v>
      </c>
      <c r="E11" s="14" t="n">
        <v>1396.44</v>
      </c>
      <c r="F11" s="14" t="n">
        <v>1423.02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3348.6</v>
      </c>
      <c r="D12" s="18" t="n">
        <v>3253.11</v>
      </c>
      <c r="E12" s="18" t="n">
        <v>3137.84</v>
      </c>
      <c r="F12" s="18" t="n">
        <v>2888.23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5669.5</v>
      </c>
      <c r="D13" s="18" t="n">
        <v>5517.93</v>
      </c>
      <c r="E13" s="18" t="n">
        <v>5462.57</v>
      </c>
      <c r="F13" s="18" t="n">
        <v>5397.75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1564.7</v>
      </c>
      <c r="D14" s="18" t="n">
        <v>1541.82</v>
      </c>
      <c r="E14" s="18" t="n">
        <v>1486.71</v>
      </c>
      <c r="F14" s="18" t="n">
        <v>1323.64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418.5</v>
      </c>
      <c r="D15" s="18" t="n">
        <v>414.44</v>
      </c>
      <c r="E15" s="18" t="n">
        <v>408.67</v>
      </c>
      <c r="F15" s="18" t="n">
        <v>389.26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CIPLA</t>
        </is>
      </c>
      <c r="C16" s="18" t="n">
        <v>1439.4</v>
      </c>
      <c r="D16" s="18" t="n">
        <v>1430.32</v>
      </c>
      <c r="E16" s="18" t="n">
        <v>1394.04</v>
      </c>
      <c r="F16" s="18" t="n">
        <v>1391.46</v>
      </c>
      <c r="G16" s="19">
        <f>HYPERLINK("https://www.tradingview.com/chart/?symbol=NSE:CIPLA","Chart 📈")</f>
        <v/>
      </c>
    </row>
    <row r="17" ht="16" customHeight="1">
      <c r="A17" s="20" t="inlineStr">
        <is>
          <t>NIFTY PHARMA</t>
        </is>
      </c>
      <c r="B17" s="17" t="inlineStr">
        <is>
          <t>DIVISLAB</t>
        </is>
      </c>
      <c r="C17" s="18" t="n">
        <v>6836</v>
      </c>
      <c r="D17" s="18" t="n">
        <v>6726.52</v>
      </c>
      <c r="E17" s="18" t="n">
        <v>6649.05</v>
      </c>
      <c r="F17" s="18" t="n">
        <v>6488.63</v>
      </c>
      <c r="G17" s="19">
        <f>HYPERLINK("https://www.tradingview.com/chart/?symbol=NSE:DIVISLAB","Chart 📈")</f>
        <v/>
      </c>
    </row>
    <row r="18" ht="16" customHeight="1">
      <c r="A18" s="20" t="inlineStr">
        <is>
          <t>NIFTY PHARMA</t>
        </is>
      </c>
      <c r="B18" s="17" t="inlineStr">
        <is>
          <t>GLAND</t>
        </is>
      </c>
      <c r="C18" s="18" t="n">
        <v>2479.4</v>
      </c>
      <c r="D18" s="18" t="n">
        <v>2389.27</v>
      </c>
      <c r="E18" s="18" t="n">
        <v>2234.26</v>
      </c>
      <c r="F18" s="18" t="n">
        <v>1969.2</v>
      </c>
      <c r="G18" s="19">
        <f>HYPERLINK("https://www.tradingview.com/chart/?symbol=NSE:GLAND","Chart 📈")</f>
        <v/>
      </c>
    </row>
    <row r="19" ht="16" customHeight="1">
      <c r="A19" s="20" t="inlineStr">
        <is>
          <t>NIFTY PHARMA</t>
        </is>
      </c>
      <c r="B19" s="17" t="inlineStr">
        <is>
          <t>GLENMARK</t>
        </is>
      </c>
      <c r="C19" s="18" t="n">
        <v>2282.9</v>
      </c>
      <c r="D19" s="18" t="n">
        <v>2220.05</v>
      </c>
      <c r="E19" s="18" t="n">
        <v>2222.35</v>
      </c>
      <c r="F19" s="18" t="n">
        <v>2125.73</v>
      </c>
      <c r="G19" s="19">
        <f>HYPERLINK("https://www.tradingview.com/chart/?symbol=NSE:GLENMARK","Chart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889.85</v>
      </c>
      <c r="D20" s="18" t="n">
        <v>820.15</v>
      </c>
      <c r="E20" s="18" t="n">
        <v>773.71</v>
      </c>
      <c r="F20" s="18" t="n">
        <v>653.63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1787.9</v>
      </c>
      <c r="D21" s="18" t="n">
        <v>1695.16</v>
      </c>
      <c r="E21" s="18" t="n">
        <v>1629.06</v>
      </c>
      <c r="F21" s="18" t="n">
        <v>1521.05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2435.5</v>
      </c>
      <c r="D22" s="18" t="n">
        <v>2319.74</v>
      </c>
      <c r="E22" s="18" t="n">
        <v>2225.43</v>
      </c>
      <c r="F22" s="18" t="n">
        <v>1996.06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1537.8</v>
      </c>
      <c r="D23" s="18" t="n">
        <v>1471.51</v>
      </c>
      <c r="E23" s="18" t="n">
        <v>1381.82</v>
      </c>
      <c r="F23" s="18" t="n">
        <v>1145.41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2496.3</v>
      </c>
      <c r="D24" s="18" t="n">
        <v>2407.6</v>
      </c>
      <c r="E24" s="18" t="n">
        <v>2349.8</v>
      </c>
      <c r="F24" s="18" t="n">
        <v>2212.61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2525.1</v>
      </c>
      <c r="D25" s="18" t="n">
        <v>2483.15</v>
      </c>
      <c r="E25" s="18" t="n">
        <v>2413.46</v>
      </c>
      <c r="F25" s="18" t="n">
        <v>2331.75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NATCOPHARM</t>
        </is>
      </c>
      <c r="C26" s="18" t="n">
        <v>984.1</v>
      </c>
      <c r="D26" s="18" t="n">
        <v>940.86</v>
      </c>
      <c r="E26" s="18" t="n">
        <v>969.63</v>
      </c>
      <c r="F26" s="18" t="n">
        <v>963.26</v>
      </c>
      <c r="G26" s="19">
        <f>HYPERLINK("https://www.tradingview.com/chart/?symbol=NSE:NATCOPHARM","Chart 📈")</f>
        <v/>
      </c>
    </row>
    <row r="27" ht="16" customHeight="1">
      <c r="A27" s="20" t="inlineStr">
        <is>
          <t>NIFTY PHARMA</t>
        </is>
      </c>
      <c r="B27" s="17" t="inlineStr">
        <is>
          <t>SUNPHARMA</t>
        </is>
      </c>
      <c r="C27" s="18" t="n">
        <v>1935.5</v>
      </c>
      <c r="D27" s="18" t="n">
        <v>1873.54</v>
      </c>
      <c r="E27" s="18" t="n">
        <v>1835.35</v>
      </c>
      <c r="F27" s="18" t="n">
        <v>1755.52</v>
      </c>
      <c r="G27" s="19">
        <f>HYPERLINK("https://www.tradingview.com/chart/?symbol=NSE:SUNPHARMA","Chart 📈")</f>
        <v/>
      </c>
    </row>
    <row r="28" ht="16" customHeight="1">
      <c r="A28" s="20" t="inlineStr">
        <is>
          <t>NIFTY PHARMA</t>
        </is>
      </c>
      <c r="B28" s="17" t="inlineStr">
        <is>
          <t>TORNTPHARM</t>
        </is>
      </c>
      <c r="C28" s="18" t="n">
        <v>4901.5</v>
      </c>
      <c r="D28" s="18" t="n">
        <v>4676.49</v>
      </c>
      <c r="E28" s="18" t="n">
        <v>4519.84</v>
      </c>
      <c r="F28" s="18" t="n">
        <v>4127.12</v>
      </c>
      <c r="G28" s="19">
        <f>HYPERLINK("https://www.tradingview.com/chart/?symbol=NSE:TORNTPHARM","Chart 📈")</f>
        <v/>
      </c>
    </row>
    <row r="29" ht="16" customHeight="1">
      <c r="A29" s="20" t="inlineStr">
        <is>
          <t>NIFTY PHARMA</t>
        </is>
      </c>
      <c r="B29" s="17" t="inlineStr">
        <is>
          <t>ZYDUSLIFE</t>
        </is>
      </c>
      <c r="C29" s="18" t="n">
        <v>1150.8</v>
      </c>
      <c r="D29" s="18" t="n">
        <v>1117.72</v>
      </c>
      <c r="E29" s="18" t="n">
        <v>1068.13</v>
      </c>
      <c r="F29" s="18" t="n">
        <v>985.54</v>
      </c>
      <c r="G29" s="19">
        <f>HYPERLINK("https://www.tradingview.com/chart/?symbol=NSE:ZYDUSLIFE","Chart 📈")</f>
        <v/>
      </c>
    </row>
    <row r="30" ht="16" customHeight="1">
      <c r="A30" s="12" t="inlineStr">
        <is>
          <t>NIFTY AUTO</t>
        </is>
      </c>
      <c r="B30" s="13" t="inlineStr">
        <is>
          <t>BAJAJ-AUTO</t>
        </is>
      </c>
      <c r="C30" s="14" t="n">
        <v>10156</v>
      </c>
      <c r="D30" s="14" t="n">
        <v>10017.65</v>
      </c>
      <c r="E30" s="14" t="n">
        <v>9986.139999999999</v>
      </c>
      <c r="F30" s="14" t="n">
        <v>9462.67</v>
      </c>
      <c r="G30" s="15">
        <f>HYPERLINK("https://www.tradingview.com/chart/?symbol=NSE:BAJAJ-AUTO","Chart 📈")</f>
        <v/>
      </c>
    </row>
    <row r="31" ht="16" customHeight="1">
      <c r="A31" s="16" t="inlineStr">
        <is>
          <t>NIFTY AUTO</t>
        </is>
      </c>
      <c r="B31" s="13" t="inlineStr">
        <is>
          <t>BHARATFORG</t>
        </is>
      </c>
      <c r="C31" s="14" t="n">
        <v>2117</v>
      </c>
      <c r="D31" s="14" t="n">
        <v>2088.78</v>
      </c>
      <c r="E31" s="14" t="n">
        <v>2002.08</v>
      </c>
      <c r="F31" s="14" t="n">
        <v>1709</v>
      </c>
      <c r="G31" s="15">
        <f>HYPERLINK("https://www.tradingview.com/chart/?symbol=NSE:BHARATFORG","Chart 📈")</f>
        <v/>
      </c>
    </row>
    <row r="32" ht="16" customHeight="1">
      <c r="A32" s="16" t="inlineStr">
        <is>
          <t>NIFTY AUTO</t>
        </is>
      </c>
      <c r="B32" s="13" t="inlineStr">
        <is>
          <t>BOSCHLTD</t>
        </is>
      </c>
      <c r="C32" s="14" t="n">
        <v>41815</v>
      </c>
      <c r="D32" s="14" t="n">
        <v>40611.1</v>
      </c>
      <c r="E32" s="14" t="n">
        <v>38872.75</v>
      </c>
      <c r="F32" s="14" t="n">
        <v>37037.62</v>
      </c>
      <c r="G32" s="15">
        <f>HYPERLINK("https://www.tradingview.com/chart/?symbol=NSE:BOSCHLTD","Chart 📈")</f>
        <v/>
      </c>
    </row>
    <row r="33" ht="16" customHeight="1">
      <c r="A33" s="16" t="inlineStr">
        <is>
          <t>NIFTY AUTO</t>
        </is>
      </c>
      <c r="B33" s="13" t="inlineStr">
        <is>
          <t>EXIDEIND</t>
        </is>
      </c>
      <c r="C33" s="14" t="n">
        <v>424.4</v>
      </c>
      <c r="D33" s="14" t="n">
        <v>402.16</v>
      </c>
      <c r="E33" s="14" t="n">
        <v>382.57</v>
      </c>
      <c r="F33" s="14" t="n">
        <v>364.05</v>
      </c>
      <c r="G33" s="15">
        <f>HYPERLINK("https://www.tradingview.com/chart/?symbol=NSE:EXIDEIND","Chart 📈")</f>
        <v/>
      </c>
    </row>
    <row r="34" ht="16" customHeight="1">
      <c r="A34" s="16" t="inlineStr">
        <is>
          <t>NIFTY AUTO</t>
        </is>
      </c>
      <c r="B34" s="13" t="inlineStr">
        <is>
          <t>TVSMOTOR</t>
        </is>
      </c>
      <c r="C34" s="14" t="n">
        <v>3623.1</v>
      </c>
      <c r="D34" s="14" t="n">
        <v>3552.37</v>
      </c>
      <c r="E34" s="14" t="n">
        <v>3513.47</v>
      </c>
      <c r="F34" s="14" t="n">
        <v>3473.36</v>
      </c>
      <c r="G34" s="15">
        <f>HYPERLINK("https://www.tradingview.com/chart/?symbol=NSE:TVSMOTOR","Chart 📈")</f>
        <v/>
      </c>
    </row>
    <row r="35" ht="16" customHeight="1">
      <c r="A35" s="8" t="inlineStr">
        <is>
          <t>NIFTY PSU BANK</t>
        </is>
      </c>
      <c r="B35" s="17" t="inlineStr">
        <is>
          <t>BANKINDIA</t>
        </is>
      </c>
      <c r="C35" s="18" t="n">
        <v>144.9</v>
      </c>
      <c r="D35" s="18" t="n">
        <v>142.21</v>
      </c>
      <c r="E35" s="18" t="n">
        <v>142.26</v>
      </c>
      <c r="F35" s="18" t="n">
        <v>138.73</v>
      </c>
      <c r="G35" s="19">
        <f>HYPERLINK("https://www.tradingview.com/chart/?symbol=NSE:BANKINDIA","Chart 📈")</f>
        <v/>
      </c>
    </row>
    <row r="36" ht="16" customHeight="1">
      <c r="A36" s="20" t="inlineStr">
        <is>
          <t>NIFTY PSU BANK</t>
        </is>
      </c>
      <c r="B36" s="17" t="inlineStr">
        <is>
          <t>INDIANB</t>
        </is>
      </c>
      <c r="C36" s="18" t="n">
        <v>870.7</v>
      </c>
      <c r="D36" s="18" t="n">
        <v>820.6799999999999</v>
      </c>
      <c r="E36" s="18" t="n">
        <v>831.86</v>
      </c>
      <c r="F36" s="18" t="n">
        <v>813.33</v>
      </c>
      <c r="G36" s="19">
        <f>HYPERLINK("https://www.tradingview.com/chart/?symbol=NSE:INDIANB","Chart 📈")</f>
        <v/>
      </c>
    </row>
    <row r="37" ht="16" customHeight="1">
      <c r="A37" s="20" t="inlineStr">
        <is>
          <t>NIFTY PSU BANK</t>
        </is>
      </c>
      <c r="B37" s="17" t="inlineStr">
        <is>
          <t>SBIN</t>
        </is>
      </c>
      <c r="C37" s="18" t="n">
        <v>1036</v>
      </c>
      <c r="D37" s="18" t="n">
        <v>1027.9</v>
      </c>
      <c r="E37" s="18" t="n">
        <v>1020.88</v>
      </c>
      <c r="F37" s="18" t="n">
        <v>987.5</v>
      </c>
      <c r="G37" s="19">
        <f>HYPERLINK("https://www.tradingview.com/chart/?symbol=NSE:SBIN","Chart 📈")</f>
        <v/>
      </c>
    </row>
    <row r="38" ht="16" customHeight="1">
      <c r="A38" s="12" t="inlineStr">
        <is>
          <t>NIFTY MIDSMALL IT &amp; TELECOM</t>
        </is>
      </c>
      <c r="B38" s="13" t="inlineStr">
        <is>
          <t>COFORGE</t>
        </is>
      </c>
      <c r="C38" s="14" t="n">
        <v>1503.8</v>
      </c>
      <c r="D38" s="14" t="n">
        <v>1460.76</v>
      </c>
      <c r="E38" s="14" t="n">
        <v>1416.07</v>
      </c>
      <c r="F38" s="14" t="n">
        <v>1490.43</v>
      </c>
      <c r="G38" s="15">
        <f>HYPERLINK("https://www.tradingview.com/chart/?symbol=NSE:COFORGE","Chart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HFCL</t>
        </is>
      </c>
      <c r="C39" s="14" t="n">
        <v>217.25</v>
      </c>
      <c r="D39" s="14" t="n">
        <v>206.74</v>
      </c>
      <c r="E39" s="14" t="n">
        <v>179.27</v>
      </c>
      <c r="F39" s="14" t="n">
        <v>118.44</v>
      </c>
      <c r="G39" s="15">
        <f>HYPERLINK("https://www.tradingview.com/chart/?symbol=NSE:HFCL","Chart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OFSS</t>
        </is>
      </c>
      <c r="C40" s="14" t="n">
        <v>11651</v>
      </c>
      <c r="D40" s="14" t="n">
        <v>10682.5</v>
      </c>
      <c r="E40" s="14" t="n">
        <v>9922.99</v>
      </c>
      <c r="F40" s="14" t="n">
        <v>8601.98</v>
      </c>
      <c r="G40" s="15">
        <f>HYPERLINK("https://www.tradingview.com/chart/?symbol=NSE:OFSS","Chart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TANLA</t>
        </is>
      </c>
      <c r="C41" s="14" t="n">
        <v>550.2</v>
      </c>
      <c r="D41" s="14" t="n">
        <v>529.96</v>
      </c>
      <c r="E41" s="14" t="n">
        <v>519.52</v>
      </c>
      <c r="F41" s="14" t="n">
        <v>528.05</v>
      </c>
      <c r="G41" s="15">
        <f>HYPERLINK("https://www.tradingview.com/chart/?symbol=NSE:TANLA","Chart 📈")</f>
        <v/>
      </c>
    </row>
    <row r="42" ht="16" customHeight="1">
      <c r="A42" s="16" t="inlineStr">
        <is>
          <t>NIFTY MIDSMALL IT &amp; TELECOM</t>
        </is>
      </c>
      <c r="B42" s="13" t="inlineStr">
        <is>
          <t>TATATECH</t>
        </is>
      </c>
      <c r="C42" s="14" t="n">
        <v>718.55</v>
      </c>
      <c r="D42" s="14" t="n">
        <v>718.53</v>
      </c>
      <c r="E42" s="14" t="n">
        <v>693.7</v>
      </c>
      <c r="F42" s="14" t="n">
        <v>654.24</v>
      </c>
      <c r="G42" s="15">
        <f>HYPERLINK("https://www.tradingview.com/chart/?symbol=NSE:TATATECH","Chart 📈")</f>
        <v/>
      </c>
    </row>
    <row r="43" ht="16" customHeight="1">
      <c r="A43" s="8" t="inlineStr">
        <is>
          <t>NIFTY FINANCIAL SERVICES</t>
        </is>
      </c>
      <c r="B43" s="17" t="inlineStr">
        <is>
          <t>BAJAJFINSV</t>
        </is>
      </c>
      <c r="C43" s="18" t="n">
        <v>1916</v>
      </c>
      <c r="D43" s="18" t="n">
        <v>1822.3</v>
      </c>
      <c r="E43" s="18" t="n">
        <v>1795.43</v>
      </c>
      <c r="F43" s="18" t="n">
        <v>1879.15</v>
      </c>
      <c r="G43" s="19">
        <f>HYPERLINK("https://www.tradingview.com/chart/?symbol=NSE:BAJAJFINSV","Chart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BAJFINANCE</t>
        </is>
      </c>
      <c r="C44" s="18" t="n">
        <v>1020.5</v>
      </c>
      <c r="D44" s="18" t="n">
        <v>987.98</v>
      </c>
      <c r="E44" s="18" t="n">
        <v>954.3200000000001</v>
      </c>
      <c r="F44" s="18" t="n">
        <v>945.51</v>
      </c>
      <c r="G44" s="19">
        <f>HYPERLINK("https://www.tradingview.com/chart/?symbol=NSE:BAJFINANCE","Chart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CHOLAFIN</t>
        </is>
      </c>
      <c r="C45" s="18" t="n">
        <v>1807.8</v>
      </c>
      <c r="D45" s="18" t="n">
        <v>1749.51</v>
      </c>
      <c r="E45" s="18" t="n">
        <v>1669.88</v>
      </c>
      <c r="F45" s="18" t="n">
        <v>1620.08</v>
      </c>
      <c r="G45" s="19">
        <f>HYPERLINK("https://www.tradingview.com/chart/?symbol=NSE:CHOLAFIN","Chart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HDFCAMC</t>
        </is>
      </c>
      <c r="C46" s="18" t="n">
        <v>2761.2</v>
      </c>
      <c r="D46" s="18" t="n">
        <v>2692.54</v>
      </c>
      <c r="E46" s="18" t="n">
        <v>2643.84</v>
      </c>
      <c r="F46" s="18" t="n">
        <v>2606.46</v>
      </c>
      <c r="G46" s="19">
        <f>HYPERLINK("https://www.tradingview.com/chart/?symbol=NSE:HDFCAMC","Chart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ICICIBANK</t>
        </is>
      </c>
      <c r="C47" s="18" t="n">
        <v>1401.2</v>
      </c>
      <c r="D47" s="18" t="n">
        <v>1371.24</v>
      </c>
      <c r="E47" s="18" t="n">
        <v>1335.48</v>
      </c>
      <c r="F47" s="18" t="n">
        <v>1342.91</v>
      </c>
      <c r="G47" s="19">
        <f>HYPERLINK("https://www.tradingview.com/chart/?symbol=NSE:ICICIBANK","Chart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LICHSGFIN</t>
        </is>
      </c>
      <c r="C48" s="18" t="n">
        <v>549.15</v>
      </c>
      <c r="D48" s="18" t="n">
        <v>548.02</v>
      </c>
      <c r="E48" s="18" t="n">
        <v>546.71</v>
      </c>
      <c r="F48" s="18" t="n">
        <v>547.09</v>
      </c>
      <c r="G48" s="19">
        <f>HYPERLINK("https://www.tradingview.com/chart/?symbol=NSE:LICHSGFIN","Chart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SHRIRAMFIN</t>
        </is>
      </c>
      <c r="C49" s="18" t="n">
        <v>1044.1</v>
      </c>
      <c r="D49" s="18" t="n">
        <v>1019.11</v>
      </c>
      <c r="E49" s="18" t="n">
        <v>990.45</v>
      </c>
      <c r="F49" s="18" t="n">
        <v>913.0700000000001</v>
      </c>
      <c r="G49" s="19">
        <f>HYPERLINK("https://www.tradingview.com/chart/?symbol=NSE:SHRIRAMFIN","Chart 📈")</f>
        <v/>
      </c>
    </row>
    <row r="50" ht="16" customHeight="1">
      <c r="A50" s="12" t="inlineStr">
        <is>
          <t>NIFTY CONSUMER DURABLES</t>
        </is>
      </c>
      <c r="B50" s="13" t="inlineStr">
        <is>
          <t>AMBER</t>
        </is>
      </c>
      <c r="C50" s="14" t="n">
        <v>7779</v>
      </c>
      <c r="D50" s="14" t="n">
        <v>7618.18</v>
      </c>
      <c r="E50" s="14" t="n">
        <v>7619.39</v>
      </c>
      <c r="F50" s="14" t="n">
        <v>7454.92</v>
      </c>
      <c r="G50" s="15">
        <f>HYPERLINK("https://www.tradingview.com/chart/?symbol=NSE:AMBER","Chart 📈")</f>
        <v/>
      </c>
    </row>
    <row r="51" ht="16" customHeight="1">
      <c r="A51" s="16" t="inlineStr">
        <is>
          <t>NIFTY CONSUMER DURABLES</t>
        </is>
      </c>
      <c r="B51" s="13" t="inlineStr">
        <is>
          <t>CENTURYPLY</t>
        </is>
      </c>
      <c r="C51" s="14" t="n">
        <v>790</v>
      </c>
      <c r="D51" s="14" t="n">
        <v>763.8099999999999</v>
      </c>
      <c r="E51" s="14" t="n">
        <v>760.3099999999999</v>
      </c>
      <c r="F51" s="14" t="n">
        <v>758.87</v>
      </c>
      <c r="G51" s="15">
        <f>HYPERLINK("https://www.tradingview.com/chart/?symbol=NSE:CENTURYPLY","Chart 📈")</f>
        <v/>
      </c>
    </row>
    <row r="52" ht="16" customHeight="1">
      <c r="A52" s="16" t="inlineStr">
        <is>
          <t>NIFTY CONSUMER DURABLES</t>
        </is>
      </c>
      <c r="B52" s="13" t="inlineStr">
        <is>
          <t>CERA</t>
        </is>
      </c>
      <c r="C52" s="14" t="n">
        <v>6313.5</v>
      </c>
      <c r="D52" s="14" t="n">
        <v>6246</v>
      </c>
      <c r="E52" s="14" t="n">
        <v>5936.23</v>
      </c>
      <c r="F52" s="14" t="n">
        <v>5663.03</v>
      </c>
      <c r="G52" s="15">
        <f>HYPERLINK("https://www.tradingview.com/chart/?symbol=NSE:CERA","Chart 📈")</f>
        <v/>
      </c>
    </row>
    <row r="53" ht="16" customHeight="1">
      <c r="A53" s="16" t="inlineStr">
        <is>
          <t>NIFTY CONSUMER DURABLES</t>
        </is>
      </c>
      <c r="B53" s="13" t="inlineStr">
        <is>
          <t>DIXON</t>
        </is>
      </c>
      <c r="C53" s="14" t="n">
        <v>13421</v>
      </c>
      <c r="D53" s="14" t="n">
        <v>12509.8</v>
      </c>
      <c r="E53" s="14" t="n">
        <v>11958.16</v>
      </c>
      <c r="F53" s="14" t="n">
        <v>12508.52</v>
      </c>
      <c r="G53" s="15">
        <f>HYPERLINK("https://www.tradingview.com/chart/?symbol=NSE:DIXON","Chart 📈")</f>
        <v/>
      </c>
    </row>
    <row r="54" ht="16" customHeight="1">
      <c r="A54" s="16" t="inlineStr">
        <is>
          <t>NIFTY CONSUMER DURABLES</t>
        </is>
      </c>
      <c r="B54" s="13" t="inlineStr">
        <is>
          <t>KAJARIACER</t>
        </is>
      </c>
      <c r="C54" s="14" t="n">
        <v>1218</v>
      </c>
      <c r="D54" s="14" t="n">
        <v>1184.43</v>
      </c>
      <c r="E54" s="14" t="n">
        <v>1141.14</v>
      </c>
      <c r="F54" s="14" t="n">
        <v>1098.12</v>
      </c>
      <c r="G54" s="15">
        <f>HYPERLINK("https://www.tradingview.com/chart/?symbol=NSE:KAJARIACER","Chart 📈")</f>
        <v/>
      </c>
    </row>
    <row r="55" ht="16" customHeight="1">
      <c r="A55" s="16" t="inlineStr">
        <is>
          <t>NIFTY CONSUMER DURABLES</t>
        </is>
      </c>
      <c r="B55" s="13" t="inlineStr">
        <is>
          <t>KALYANKJIL</t>
        </is>
      </c>
      <c r="C55" s="14" t="n">
        <v>476.15</v>
      </c>
      <c r="D55" s="14" t="n">
        <v>389.79</v>
      </c>
      <c r="E55" s="14" t="n">
        <v>383.31</v>
      </c>
      <c r="F55" s="14" t="n">
        <v>429.26</v>
      </c>
      <c r="G55" s="15">
        <f>HYPERLINK("https://www.tradingview.com/chart/?symbol=NSE:KALYANKJIL","Chart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TITAN</t>
        </is>
      </c>
      <c r="C56" s="14" t="n">
        <v>4584.4</v>
      </c>
      <c r="D56" s="14" t="n">
        <v>4406.68</v>
      </c>
      <c r="E56" s="14" t="n">
        <v>4308.02</v>
      </c>
      <c r="F56" s="14" t="n">
        <v>4071.04</v>
      </c>
      <c r="G56" s="15">
        <f>HYPERLINK("https://www.tradingview.com/chart/?symbol=NSE:TITAN","Chart 📈")</f>
        <v/>
      </c>
    </row>
    <row r="57" ht="16" customHeight="1">
      <c r="A57" s="8" t="inlineStr">
        <is>
          <t>NIFTY FMCG</t>
        </is>
      </c>
      <c r="B57" s="17" t="inlineStr">
        <is>
          <t>BALRAMCHIN</t>
        </is>
      </c>
      <c r="C57" s="18" t="n">
        <v>566.9</v>
      </c>
      <c r="D57" s="18" t="n">
        <v>553.14</v>
      </c>
      <c r="E57" s="18" t="n">
        <v>538.61</v>
      </c>
      <c r="F57" s="18" t="n">
        <v>513.23</v>
      </c>
      <c r="G57" s="19">
        <f>HYPERLINK("https://www.tradingview.com/chart/?symbol=NSE:BALRAMCHIN","Chart 📈")</f>
        <v/>
      </c>
    </row>
    <row r="58" ht="16" customHeight="1">
      <c r="A58" s="20" t="inlineStr">
        <is>
          <t>NIFTY FMCG</t>
        </is>
      </c>
      <c r="B58" s="17" t="inlineStr">
        <is>
          <t>MARICO</t>
        </is>
      </c>
      <c r="C58" s="18" t="n">
        <v>852.5</v>
      </c>
      <c r="D58" s="18" t="n">
        <v>836.1900000000001</v>
      </c>
      <c r="E58" s="18" t="n">
        <v>820.74</v>
      </c>
      <c r="F58" s="18" t="n">
        <v>777.17</v>
      </c>
      <c r="G58" s="19">
        <f>HYPERLINK("https://www.tradingview.com/chart/?symbol=NSE:MARICO","Chart 📈")</f>
        <v/>
      </c>
    </row>
    <row r="59" ht="16" customHeight="1">
      <c r="A59" s="20" t="inlineStr">
        <is>
          <t>NIFTY FMCG</t>
        </is>
      </c>
      <c r="B59" s="17" t="inlineStr">
        <is>
          <t>NESTLEIND</t>
        </is>
      </c>
      <c r="C59" s="18" t="n">
        <v>1455.2</v>
      </c>
      <c r="D59" s="18" t="n">
        <v>1427.12</v>
      </c>
      <c r="E59" s="18" t="n">
        <v>1402.37</v>
      </c>
      <c r="F59" s="18" t="n">
        <v>1314.55</v>
      </c>
      <c r="G59" s="19">
        <f>HYPERLINK("https://www.tradingview.com/chart/?symbol=NSE:NESTLEIND","Chart 📈")</f>
        <v/>
      </c>
    </row>
    <row r="60" ht="16" customHeight="1">
      <c r="A60" s="20" t="inlineStr">
        <is>
          <t>NIFTY FMCG</t>
        </is>
      </c>
      <c r="B60" s="17" t="inlineStr">
        <is>
          <t>RADICO</t>
        </is>
      </c>
      <c r="C60" s="18" t="n">
        <v>4073.7</v>
      </c>
      <c r="D60" s="18" t="n">
        <v>3885.34</v>
      </c>
      <c r="E60" s="18" t="n">
        <v>3644.87</v>
      </c>
      <c r="F60" s="18" t="n">
        <v>3211.41</v>
      </c>
      <c r="G60" s="19">
        <f>HYPERLINK("https://www.tradingview.com/chart/?symbol=NSE:RADICO","Chart 📈")</f>
        <v/>
      </c>
    </row>
    <row r="61" ht="16" customHeight="1">
      <c r="A61" s="20" t="inlineStr">
        <is>
          <t>NIFTY FMCG</t>
        </is>
      </c>
      <c r="B61" s="17" t="inlineStr">
        <is>
          <t>UNITDSPR</t>
        </is>
      </c>
      <c r="C61" s="18" t="n">
        <v>1385.7</v>
      </c>
      <c r="D61" s="18" t="n">
        <v>1355.91</v>
      </c>
      <c r="E61" s="18" t="n">
        <v>1324.23</v>
      </c>
      <c r="F61" s="18" t="n">
        <v>1328.41</v>
      </c>
      <c r="G61" s="19">
        <f>HYPERLINK("https://www.tradingview.com/chart/?symbol=NSE:UNITDSPR","Chart 📈")</f>
        <v/>
      </c>
    </row>
    <row r="62" ht="16" customHeight="1">
      <c r="A62" s="12" t="inlineStr">
        <is>
          <t>NIFTY METAL</t>
        </is>
      </c>
      <c r="B62" s="13" t="inlineStr">
        <is>
          <t>ADANIENT</t>
        </is>
      </c>
      <c r="C62" s="14" t="n">
        <v>3157.3</v>
      </c>
      <c r="D62" s="14" t="n">
        <v>3059.23</v>
      </c>
      <c r="E62" s="14" t="n">
        <v>2870.63</v>
      </c>
      <c r="F62" s="14" t="n">
        <v>2517.03</v>
      </c>
      <c r="G62" s="15">
        <f>HYPERLINK("https://www.tradingview.com/chart/?symbol=NSE:ADANIENT","Chart 📈")</f>
        <v/>
      </c>
    </row>
    <row r="63" ht="16" customHeight="1">
      <c r="A63" s="16" t="inlineStr">
        <is>
          <t>NIFTY METAL</t>
        </is>
      </c>
      <c r="B63" s="13" t="inlineStr">
        <is>
          <t>RATNAMANI</t>
        </is>
      </c>
      <c r="C63" s="14" t="n">
        <v>2693.8</v>
      </c>
      <c r="D63" s="14" t="n">
        <v>2603.83</v>
      </c>
      <c r="E63" s="14" t="n">
        <v>2582.22</v>
      </c>
      <c r="F63" s="14" t="n">
        <v>2503.32</v>
      </c>
      <c r="G63" s="15">
        <f>HYPERLINK("https://www.tradingview.com/chart/?symbol=NSE:RATNAMANI","Chart 📈")</f>
        <v/>
      </c>
    </row>
    <row r="64" ht="16" customHeight="1">
      <c r="A64" s="16" t="inlineStr">
        <is>
          <t>NIFTY METAL</t>
        </is>
      </c>
      <c r="B64" s="13" t="inlineStr">
        <is>
          <t>WELCORP</t>
        </is>
      </c>
      <c r="C64" s="14" t="n">
        <v>1612.6</v>
      </c>
      <c r="D64" s="14" t="n">
        <v>1483.54</v>
      </c>
      <c r="E64" s="14" t="n">
        <v>1370.84</v>
      </c>
      <c r="F64" s="14" t="n">
        <v>1086.64</v>
      </c>
      <c r="G64" s="15">
        <f>HYPERLINK("https://www.tradingview.com/chart/?symbol=NSE:WELCORP","Chart 📈")</f>
        <v/>
      </c>
    </row>
    <row r="65" ht="16" customHeight="1">
      <c r="A65" s="8" t="inlineStr">
        <is>
          <t>NIFTY MEDIA</t>
        </is>
      </c>
      <c r="B65" s="17" t="inlineStr">
        <is>
          <t>NAZARA</t>
        </is>
      </c>
      <c r="C65" s="18" t="n">
        <v>304.3</v>
      </c>
      <c r="D65" s="18" t="n">
        <v>297.95</v>
      </c>
      <c r="E65" s="18" t="n">
        <v>287.97</v>
      </c>
      <c r="F65" s="18" t="n">
        <v>279.83</v>
      </c>
      <c r="G65" s="19">
        <f>HYPERLINK("https://www.tradingview.com/chart/?symbol=NSE:NAZARA","Chart 📈")</f>
        <v/>
      </c>
    </row>
    <row r="66" ht="16" customHeight="1">
      <c r="A66" s="20" t="inlineStr">
        <is>
          <t>NIFTY MEDIA</t>
        </is>
      </c>
      <c r="B66" s="17" t="inlineStr">
        <is>
          <t>SAREGAMA</t>
        </is>
      </c>
      <c r="C66" s="18" t="n">
        <v>479.2</v>
      </c>
      <c r="D66" s="18" t="n">
        <v>470.23</v>
      </c>
      <c r="E66" s="18" t="n">
        <v>439.93</v>
      </c>
      <c r="F66" s="18" t="n">
        <v>408.09</v>
      </c>
      <c r="G66" s="19">
        <f>HYPERLINK("https://www.tradingview.com/chart/?symbol=NSE:SAREGAMA","Chart 📈")</f>
        <v/>
      </c>
    </row>
    <row r="67" ht="16" customHeight="1">
      <c r="A67" s="20" t="inlineStr">
        <is>
          <t>NIFTY MEDIA</t>
        </is>
      </c>
      <c r="B67" s="17" t="inlineStr">
        <is>
          <t>TIPSMUSIC</t>
        </is>
      </c>
      <c r="C67" s="18" t="n">
        <v>711.55</v>
      </c>
      <c r="D67" s="18" t="n">
        <v>667.86</v>
      </c>
      <c r="E67" s="18" t="n">
        <v>647.87</v>
      </c>
      <c r="F67" s="18" t="n">
        <v>597.77</v>
      </c>
      <c r="G67" s="19">
        <f>HYPERLINK("https://www.tradingview.com/chart/?symbol=NSE:TIPSMUSIC","Chart 📈")</f>
        <v/>
      </c>
    </row>
    <row r="68" ht="16" customHeight="1">
      <c r="A68" s="12" t="inlineStr">
        <is>
          <t>NIFTY OIL &amp; GAS</t>
        </is>
      </c>
      <c r="B68" s="13" t="inlineStr">
        <is>
          <t>AEGISLOG</t>
        </is>
      </c>
      <c r="C68" s="14" t="n">
        <v>1246.1</v>
      </c>
      <c r="D68" s="14" t="n">
        <v>1159.06</v>
      </c>
      <c r="E68" s="14" t="n">
        <v>978.64</v>
      </c>
      <c r="F68" s="14" t="n">
        <v>794.73</v>
      </c>
      <c r="G68" s="15">
        <f>HYPERLINK("https://www.tradingview.com/chart/?symbol=NSE:AEGISLOG","Chart 📈")</f>
        <v/>
      </c>
    </row>
    <row r="69" ht="16" customHeight="1">
      <c r="A69" s="16" t="inlineStr">
        <is>
          <t>NIFTY OIL &amp; GAS</t>
        </is>
      </c>
      <c r="B69" s="13" t="inlineStr">
        <is>
          <t>ATGL</t>
        </is>
      </c>
      <c r="C69" s="14" t="n">
        <v>723.9</v>
      </c>
      <c r="D69" s="14" t="n">
        <v>718.12</v>
      </c>
      <c r="E69" s="14" t="n">
        <v>693.84</v>
      </c>
      <c r="F69" s="14" t="n">
        <v>631.2</v>
      </c>
      <c r="G69" s="15">
        <f>HYPERLINK("https://www.tradingview.com/chart/?symbol=NSE:ATGL","Chart 📈")</f>
        <v/>
      </c>
    </row>
    <row r="70" ht="16" customHeight="1">
      <c r="A70" s="16" t="inlineStr">
        <is>
          <t>NIFTY OIL &amp; GAS</t>
        </is>
      </c>
      <c r="B70" s="13" t="inlineStr">
        <is>
          <t>GAIL</t>
        </is>
      </c>
      <c r="C70" s="14" t="n">
        <v>173.73</v>
      </c>
      <c r="D70" s="14" t="n">
        <v>172.32</v>
      </c>
      <c r="E70" s="14" t="n">
        <v>168.75</v>
      </c>
      <c r="F70" s="14" t="n">
        <v>166.19</v>
      </c>
      <c r="G70" s="15">
        <f>HYPERLINK("https://www.tradingview.com/chart/?symbol=NSE:GAIL","Chart 📈")</f>
        <v/>
      </c>
    </row>
    <row r="71" ht="16" customHeight="1">
      <c r="A71" s="16" t="inlineStr">
        <is>
          <t>NIFTY OIL &amp; GAS</t>
        </is>
      </c>
      <c r="B71" s="13" t="inlineStr">
        <is>
          <t>PETRONET</t>
        </is>
      </c>
      <c r="C71" s="14" t="n">
        <v>278.95</v>
      </c>
      <c r="D71" s="14" t="n">
        <v>278.09</v>
      </c>
      <c r="E71" s="14" t="n">
        <v>276.18</v>
      </c>
      <c r="F71" s="14" t="n">
        <v>276.97</v>
      </c>
      <c r="G71" s="15">
        <f>HYPERLINK("https://www.tradingview.com/chart/?symbol=NSE:PETRONET","Chart 📈")</f>
        <v/>
      </c>
    </row>
    <row r="72" ht="16" customHeight="1">
      <c r="A72" s="8" t="inlineStr">
        <is>
          <t>NIFTY BANK</t>
        </is>
      </c>
      <c r="B72" s="17" t="inlineStr">
        <is>
          <t>AUBANK</t>
        </is>
      </c>
      <c r="C72" s="18" t="n">
        <v>1072.1</v>
      </c>
      <c r="D72" s="18" t="n">
        <v>1040.04</v>
      </c>
      <c r="E72" s="18" t="n">
        <v>1016.96</v>
      </c>
      <c r="F72" s="18" t="n">
        <v>954.05</v>
      </c>
      <c r="G72" s="19">
        <f>HYPERLINK("https://www.tradingview.com/chart/?symbol=NSE:AUBANK","Chart 📈")</f>
        <v/>
      </c>
    </row>
    <row r="73" ht="16" customHeight="1">
      <c r="A73" s="20" t="inlineStr">
        <is>
          <t>NIFTY BANK</t>
        </is>
      </c>
      <c r="B73" s="17" t="inlineStr">
        <is>
          <t>FEDERALBNK</t>
        </is>
      </c>
      <c r="C73" s="18" t="n">
        <v>329.85</v>
      </c>
      <c r="D73" s="18" t="n">
        <v>323.56</v>
      </c>
      <c r="E73" s="18" t="n">
        <v>310.78</v>
      </c>
      <c r="F73" s="18" t="n">
        <v>275.98</v>
      </c>
      <c r="G73" s="19">
        <f>HYPERLINK("https://www.tradingview.com/chart/?symbol=NSE:FEDERALBNK","Chart 📈")</f>
        <v/>
      </c>
    </row>
    <row r="74" ht="16" customHeight="1">
      <c r="A74" s="20" t="inlineStr">
        <is>
          <t>NIFTY BANK</t>
        </is>
      </c>
      <c r="B74" s="17" t="inlineStr">
        <is>
          <t>IDFCFIRSTB</t>
        </is>
      </c>
      <c r="C74" s="18" t="n">
        <v>80.83</v>
      </c>
      <c r="D74" s="18" t="n">
        <v>78.44</v>
      </c>
      <c r="E74" s="18" t="n">
        <v>75.34</v>
      </c>
      <c r="F74" s="18" t="n">
        <v>74.41</v>
      </c>
      <c r="G74" s="19">
        <f>HYPERLINK("https://www.tradingview.com/chart/?symbol=NSE:IDFCFIRSTB","Chart 📈")</f>
        <v/>
      </c>
    </row>
    <row r="75" ht="16" customHeight="1">
      <c r="A75" s="20" t="inlineStr">
        <is>
          <t>NIFTY BANK</t>
        </is>
      </c>
      <c r="B75" s="17" t="inlineStr">
        <is>
          <t>INDUSINDBK</t>
        </is>
      </c>
      <c r="C75" s="18" t="n">
        <v>1015.8</v>
      </c>
      <c r="D75" s="18" t="n">
        <v>960.3200000000001</v>
      </c>
      <c r="E75" s="18" t="n">
        <v>929.0700000000001</v>
      </c>
      <c r="F75" s="18" t="n">
        <v>881.27</v>
      </c>
      <c r="G75" s="19">
        <f>HYPERLINK("https://www.tradingview.com/chart/?symbol=NSE:INDUSINDBK","Chart 📈")</f>
        <v/>
      </c>
    </row>
    <row r="76" ht="16" customHeight="1">
      <c r="A76" s="12" t="inlineStr">
        <is>
          <t>NIFTY ENERGY</t>
        </is>
      </c>
      <c r="B76" s="13" t="inlineStr">
        <is>
          <t>ADANIENSOL</t>
        </is>
      </c>
      <c r="C76" s="14" t="n">
        <v>1654</v>
      </c>
      <c r="D76" s="14" t="n">
        <v>1560.69</v>
      </c>
      <c r="E76" s="14" t="n">
        <v>1468.21</v>
      </c>
      <c r="F76" s="14" t="n">
        <v>1191.51</v>
      </c>
      <c r="G76" s="15">
        <f>HYPERLINK("https://www.tradingview.com/chart/?symbol=NSE:ADANIENSOL","Chart 📈")</f>
        <v/>
      </c>
    </row>
    <row r="77" ht="16" customHeight="1">
      <c r="A77" s="16" t="inlineStr">
        <is>
          <t>NIFTY ENERGY</t>
        </is>
      </c>
      <c r="B77" s="13" t="inlineStr">
        <is>
          <t>ADANIGREEN</t>
        </is>
      </c>
      <c r="C77" s="14" t="n">
        <v>1536.6</v>
      </c>
      <c r="D77" s="14" t="n">
        <v>1509.4</v>
      </c>
      <c r="E77" s="14" t="n">
        <v>1426.14</v>
      </c>
      <c r="F77" s="14" t="n">
        <v>1180.16</v>
      </c>
      <c r="G77" s="15">
        <f>HYPERLINK("https://www.tradingview.com/chart/?symbol=NSE:ADANIGREEN","Chart 📈")</f>
        <v/>
      </c>
    </row>
    <row r="78" ht="16" customHeight="1">
      <c r="A78" s="16" t="inlineStr">
        <is>
          <t>NIFTY ENERGY</t>
        </is>
      </c>
      <c r="B78" s="13" t="inlineStr">
        <is>
          <t>BHEL</t>
        </is>
      </c>
      <c r="C78" s="14" t="n">
        <v>395.25</v>
      </c>
      <c r="D78" s="14" t="n">
        <v>393.86</v>
      </c>
      <c r="E78" s="14" t="n">
        <v>382.84</v>
      </c>
      <c r="F78" s="14" t="n">
        <v>320.02</v>
      </c>
      <c r="G78" s="15">
        <f>HYPERLINK("https://www.tradingview.com/chart/?symbol=NSE:BHEL","Chart 📈")</f>
        <v/>
      </c>
    </row>
    <row r="79" ht="16" customHeight="1">
      <c r="A79" s="16" t="inlineStr">
        <is>
          <t>NIFTY ENERGY</t>
        </is>
      </c>
      <c r="B79" s="13" t="inlineStr">
        <is>
          <t>NHPC</t>
        </is>
      </c>
      <c r="C79" s="14" t="n">
        <v>79.81999999999999</v>
      </c>
      <c r="D79" s="14" t="n">
        <v>78.72</v>
      </c>
      <c r="E79" s="14" t="n">
        <v>78.22</v>
      </c>
      <c r="F79" s="14" t="n">
        <v>78.95999999999999</v>
      </c>
      <c r="G79" s="15">
        <f>HYPERLINK("https://www.tradingview.com/chart/?symbol=NSE:NHPC","Chart 📈")</f>
        <v/>
      </c>
    </row>
    <row r="80" ht="16" customHeight="1">
      <c r="A80" s="16" t="inlineStr">
        <is>
          <t>NIFTY ENERGY</t>
        </is>
      </c>
      <c r="B80" s="13" t="inlineStr">
        <is>
          <t>SCHNEIDER</t>
        </is>
      </c>
      <c r="C80" s="14" t="n">
        <v>1414.2</v>
      </c>
      <c r="D80" s="14" t="n">
        <v>1391.74</v>
      </c>
      <c r="E80" s="14" t="n">
        <v>1290.07</v>
      </c>
      <c r="F80" s="14" t="n">
        <v>1037.87</v>
      </c>
      <c r="G80" s="15">
        <f>HYPERLINK("https://www.tradingview.com/chart/?symbol=NSE:SCHNEIDER","Chart 📈")</f>
        <v/>
      </c>
    </row>
    <row r="81" ht="16" customHeight="1">
      <c r="A81" s="16" t="inlineStr">
        <is>
          <t>NIFTY ENERGY</t>
        </is>
      </c>
      <c r="B81" s="13" t="inlineStr">
        <is>
          <t>THERMAX</t>
        </is>
      </c>
      <c r="C81" s="14" t="n">
        <v>4809</v>
      </c>
      <c r="D81" s="14" t="n">
        <v>4775.25</v>
      </c>
      <c r="E81" s="14" t="n">
        <v>4569.81</v>
      </c>
      <c r="F81" s="14" t="n">
        <v>3826.19</v>
      </c>
      <c r="G81" s="15">
        <f>HYPERLINK("https://www.tradingview.com/chart/?symbol=NSE:THERMAX","Chart 📈")</f>
        <v/>
      </c>
    </row>
    <row r="82" ht="16" customHeight="1">
      <c r="A82" s="8" t="inlineStr">
        <is>
          <t>NIFTY IT</t>
        </is>
      </c>
      <c r="B82" s="17" t="inlineStr">
        <is>
          <t>TECHM</t>
        </is>
      </c>
      <c r="C82" s="18" t="n">
        <v>1454.8</v>
      </c>
      <c r="D82" s="18" t="n">
        <v>1412.89</v>
      </c>
      <c r="E82" s="18" t="n">
        <v>1412.81</v>
      </c>
      <c r="F82" s="18" t="n">
        <v>1443.63</v>
      </c>
      <c r="G82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2026-07-10T13:21:51Z</dcterms:created>
  <dcterms:modified xsi:type="dcterms:W3CDTF">2026-07-10T13:21:51Z</dcterms:modified>
</cp:coreProperties>
</file>