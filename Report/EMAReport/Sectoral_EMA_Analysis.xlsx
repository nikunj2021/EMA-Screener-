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15-Jul-2026  12:25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19</v>
      </c>
      <c r="D5" s="9" t="n">
        <v>18</v>
      </c>
      <c r="E5" s="9" t="n">
        <v>18</v>
      </c>
      <c r="F5" s="10" t="n">
        <v>0.95</v>
      </c>
      <c r="G5" s="10" t="n">
        <v>0.9</v>
      </c>
      <c r="H5" s="10" t="n">
        <v>0.9</v>
      </c>
      <c r="I5" s="11" t="n">
        <v>0.9167000000000001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13</v>
      </c>
      <c r="D6" s="5" t="n">
        <v>15</v>
      </c>
      <c r="E6" s="5" t="n">
        <v>8</v>
      </c>
      <c r="F6" s="6" t="n">
        <v>0.65</v>
      </c>
      <c r="G6" s="6" t="n">
        <v>0.75</v>
      </c>
      <c r="H6" s="6" t="n">
        <v>0.4</v>
      </c>
      <c r="I6" s="7" t="n">
        <v>0.6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8</v>
      </c>
      <c r="D7" s="9" t="n">
        <v>9</v>
      </c>
      <c r="E7" s="9" t="n">
        <v>9</v>
      </c>
      <c r="F7" s="10" t="n">
        <v>0.5329999999999999</v>
      </c>
      <c r="G7" s="10" t="n">
        <v>0.6</v>
      </c>
      <c r="H7" s="10" t="n">
        <v>0.6</v>
      </c>
      <c r="I7" s="11" t="n">
        <v>0.5777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13</v>
      </c>
      <c r="D8" s="5" t="n">
        <v>13</v>
      </c>
      <c r="E8" s="5" t="n">
        <v>8</v>
      </c>
      <c r="F8" s="6" t="n">
        <v>0.65</v>
      </c>
      <c r="G8" s="6" t="n">
        <v>0.65</v>
      </c>
      <c r="H8" s="6" t="n">
        <v>0.4</v>
      </c>
      <c r="I8" s="7" t="n">
        <v>0.5667</v>
      </c>
    </row>
    <row r="9" ht="17" customHeight="1">
      <c r="A9" s="8" t="inlineStr">
        <is>
          <t>NIFTY AUTO</t>
        </is>
      </c>
      <c r="B9" s="9" t="n">
        <v>15</v>
      </c>
      <c r="C9" s="9" t="n">
        <v>7</v>
      </c>
      <c r="D9" s="9" t="n">
        <v>9</v>
      </c>
      <c r="E9" s="9" t="n">
        <v>7</v>
      </c>
      <c r="F9" s="10" t="n">
        <v>0.467</v>
      </c>
      <c r="G9" s="10" t="n">
        <v>0.6</v>
      </c>
      <c r="H9" s="10" t="n">
        <v>0.467</v>
      </c>
      <c r="I9" s="11" t="n">
        <v>0.5113</v>
      </c>
    </row>
    <row r="10" ht="17" customHeight="1">
      <c r="A10" s="4" t="inlineStr">
        <is>
          <t>NIFTY MEDIA</t>
        </is>
      </c>
      <c r="B10" s="5" t="n">
        <v>10</v>
      </c>
      <c r="C10" s="5" t="n">
        <v>4</v>
      </c>
      <c r="D10" s="5" t="n">
        <v>7</v>
      </c>
      <c r="E10" s="5" t="n">
        <v>4</v>
      </c>
      <c r="F10" s="6" t="n">
        <v>0.4</v>
      </c>
      <c r="G10" s="6" t="n">
        <v>0.7</v>
      </c>
      <c r="H10" s="6" t="n">
        <v>0.4</v>
      </c>
      <c r="I10" s="7" t="n">
        <v>0.5</v>
      </c>
    </row>
    <row r="11" ht="17" customHeight="1">
      <c r="A11" s="8" t="inlineStr">
        <is>
          <t>NIFTY PSU BANK</t>
        </is>
      </c>
      <c r="B11" s="9" t="n">
        <v>12</v>
      </c>
      <c r="C11" s="9" t="n">
        <v>6</v>
      </c>
      <c r="D11" s="9" t="n">
        <v>5</v>
      </c>
      <c r="E11" s="9" t="n">
        <v>5</v>
      </c>
      <c r="F11" s="10" t="n">
        <v>0.5</v>
      </c>
      <c r="G11" s="10" t="n">
        <v>0.417</v>
      </c>
      <c r="H11" s="10" t="n">
        <v>0.417</v>
      </c>
      <c r="I11" s="11" t="n">
        <v>0.4447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7</v>
      </c>
      <c r="D12" s="5" t="n">
        <v>7</v>
      </c>
      <c r="E12" s="5" t="n">
        <v>4</v>
      </c>
      <c r="F12" s="6" t="n">
        <v>0.467</v>
      </c>
      <c r="G12" s="6" t="n">
        <v>0.467</v>
      </c>
      <c r="H12" s="6" t="n">
        <v>0.267</v>
      </c>
      <c r="I12" s="7" t="n">
        <v>0.4003</v>
      </c>
    </row>
    <row r="13" ht="17" customHeight="1">
      <c r="A13" s="8" t="inlineStr">
        <is>
          <t>NIFTY METAL</t>
        </is>
      </c>
      <c r="B13" s="9" t="n">
        <v>15</v>
      </c>
      <c r="C13" s="9" t="n">
        <v>5</v>
      </c>
      <c r="D13" s="9" t="n">
        <v>4</v>
      </c>
      <c r="E13" s="9" t="n">
        <v>9</v>
      </c>
      <c r="F13" s="10" t="n">
        <v>0.333</v>
      </c>
      <c r="G13" s="10" t="n">
        <v>0.267</v>
      </c>
      <c r="H13" s="10" t="n">
        <v>0.6</v>
      </c>
      <c r="I13" s="11" t="n">
        <v>0.4</v>
      </c>
    </row>
    <row r="14" ht="17" customHeight="1">
      <c r="A14" s="4" t="inlineStr">
        <is>
          <t>NIFTY FMCG</t>
        </is>
      </c>
      <c r="B14" s="5" t="n">
        <v>15</v>
      </c>
      <c r="C14" s="5" t="n">
        <v>6</v>
      </c>
      <c r="D14" s="5" t="n">
        <v>6</v>
      </c>
      <c r="E14" s="5" t="n">
        <v>5</v>
      </c>
      <c r="F14" s="6" t="n">
        <v>0.4</v>
      </c>
      <c r="G14" s="6" t="n">
        <v>0.4</v>
      </c>
      <c r="H14" s="6" t="n">
        <v>0.333</v>
      </c>
      <c r="I14" s="7" t="n">
        <v>0.3777</v>
      </c>
    </row>
    <row r="15" ht="17" customHeight="1">
      <c r="A15" s="8" t="inlineStr">
        <is>
          <t>NIFTY BANK</t>
        </is>
      </c>
      <c r="B15" s="9" t="n">
        <v>12</v>
      </c>
      <c r="C15" s="9" t="n">
        <v>3</v>
      </c>
      <c r="D15" s="9" t="n">
        <v>4</v>
      </c>
      <c r="E15" s="9" t="n">
        <v>4</v>
      </c>
      <c r="F15" s="10" t="n">
        <v>0.25</v>
      </c>
      <c r="G15" s="10" t="n">
        <v>0.333</v>
      </c>
      <c r="H15" s="10" t="n">
        <v>0.333</v>
      </c>
      <c r="I15" s="11" t="n">
        <v>0.3053</v>
      </c>
    </row>
    <row r="16" ht="17" customHeight="1">
      <c r="A16" s="4" t="inlineStr">
        <is>
          <t>NIFTY ENERGY</t>
        </is>
      </c>
      <c r="B16" s="5" t="n">
        <v>40</v>
      </c>
      <c r="C16" s="5" t="n">
        <v>9</v>
      </c>
      <c r="D16" s="5" t="n">
        <v>10</v>
      </c>
      <c r="E16" s="5" t="n">
        <v>17</v>
      </c>
      <c r="F16" s="6" t="n">
        <v>0.225</v>
      </c>
      <c r="G16" s="6" t="n">
        <v>0.25</v>
      </c>
      <c r="H16" s="6" t="n">
        <v>0.425</v>
      </c>
      <c r="I16" s="7" t="n">
        <v>0.3</v>
      </c>
    </row>
    <row r="17" ht="17" customHeight="1">
      <c r="A17" s="8" t="inlineStr">
        <is>
          <t>NIFTY IT</t>
        </is>
      </c>
      <c r="B17" s="9" t="n">
        <v>10</v>
      </c>
      <c r="C17" s="9" t="n">
        <v>4</v>
      </c>
      <c r="D17" s="9" t="n">
        <v>1</v>
      </c>
      <c r="E17" s="9" t="n">
        <v>1</v>
      </c>
      <c r="F17" s="10" t="n">
        <v>0.4</v>
      </c>
      <c r="G17" s="10" t="n">
        <v>0.1</v>
      </c>
      <c r="H17" s="10" t="n">
        <v>0.1</v>
      </c>
      <c r="I17" s="11" t="n">
        <v>0.2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657.75</v>
      </c>
      <c r="D3" s="14" t="n">
        <v>646.15</v>
      </c>
      <c r="E3" s="14" t="n">
        <v>621.8200000000001</v>
      </c>
      <c r="F3" s="14" t="n">
        <v>649.01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2104.4</v>
      </c>
      <c r="D4" s="14" t="n">
        <v>1973.13</v>
      </c>
      <c r="E4" s="14" t="n">
        <v>1866.76</v>
      </c>
      <c r="F4" s="14" t="n">
        <v>1883.43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1162.4</v>
      </c>
      <c r="D5" s="14" t="n">
        <v>1064.2</v>
      </c>
      <c r="E5" s="14" t="n">
        <v>984.4299999999999</v>
      </c>
      <c r="F5" s="14" t="n">
        <v>1022.97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371.65</v>
      </c>
      <c r="D6" s="14" t="n">
        <v>363.36</v>
      </c>
      <c r="E6" s="14" t="n">
        <v>351.28</v>
      </c>
      <c r="F6" s="14" t="n">
        <v>352.76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1887.7</v>
      </c>
      <c r="D7" s="14" t="n">
        <v>1833.88</v>
      </c>
      <c r="E7" s="14" t="n">
        <v>1748.12</v>
      </c>
      <c r="F7" s="14" t="n">
        <v>1671.39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2132.4</v>
      </c>
      <c r="D8" s="14" t="n">
        <v>2015.46</v>
      </c>
      <c r="E8" s="14" t="n">
        <v>1901.7</v>
      </c>
      <c r="F8" s="14" t="n">
        <v>1750.04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1686</v>
      </c>
      <c r="D9" s="14" t="n">
        <v>1618.82</v>
      </c>
      <c r="E9" s="14" t="n">
        <v>1522.52</v>
      </c>
      <c r="F9" s="14" t="n">
        <v>1506.44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609.3</v>
      </c>
      <c r="D10" s="14" t="n">
        <v>599.8200000000001</v>
      </c>
      <c r="E10" s="14" t="n">
        <v>558.4400000000001</v>
      </c>
      <c r="F10" s="14" t="n">
        <v>515.86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1490.1</v>
      </c>
      <c r="D11" s="14" t="n">
        <v>1441.97</v>
      </c>
      <c r="E11" s="14" t="n">
        <v>1408.05</v>
      </c>
      <c r="F11" s="14" t="n">
        <v>1435.86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3454.2</v>
      </c>
      <c r="D12" s="18" t="n">
        <v>3298.8</v>
      </c>
      <c r="E12" s="18" t="n">
        <v>3170.72</v>
      </c>
      <c r="F12" s="18" t="n">
        <v>2912.84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5659</v>
      </c>
      <c r="D13" s="18" t="n">
        <v>5542.39</v>
      </c>
      <c r="E13" s="18" t="n">
        <v>5479.3</v>
      </c>
      <c r="F13" s="18" t="n">
        <v>5420.32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1550.2</v>
      </c>
      <c r="D14" s="18" t="n">
        <v>1544.15</v>
      </c>
      <c r="E14" s="18" t="n">
        <v>1493.96</v>
      </c>
      <c r="F14" s="18" t="n">
        <v>1332.18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434.6</v>
      </c>
      <c r="D15" s="18" t="n">
        <v>418.06</v>
      </c>
      <c r="E15" s="18" t="n">
        <v>410.85</v>
      </c>
      <c r="F15" s="18" t="n">
        <v>391.87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CIPLA</t>
        </is>
      </c>
      <c r="C16" s="18" t="n">
        <v>1438</v>
      </c>
      <c r="D16" s="18" t="n">
        <v>1431.44</v>
      </c>
      <c r="E16" s="18" t="n">
        <v>1398.61</v>
      </c>
      <c r="F16" s="18" t="n">
        <v>1393.78</v>
      </c>
      <c r="G16" s="19">
        <f>HYPERLINK("https://www.tradingview.com/chart/?symbol=NSE:CIPLA","Chart 📈")</f>
        <v/>
      </c>
    </row>
    <row r="17" ht="16" customHeight="1">
      <c r="A17" s="20" t="inlineStr">
        <is>
          <t>NIFTY PHARMA</t>
        </is>
      </c>
      <c r="B17" s="17" t="inlineStr">
        <is>
          <t>DIVISLAB</t>
        </is>
      </c>
      <c r="C17" s="18" t="n">
        <v>7273</v>
      </c>
      <c r="D17" s="18" t="n">
        <v>6834.9</v>
      </c>
      <c r="E17" s="18" t="n">
        <v>6704.32</v>
      </c>
      <c r="F17" s="18" t="n">
        <v>6503.28</v>
      </c>
      <c r="G17" s="19">
        <f>HYPERLINK("https://www.tradingview.com/chart/?symbol=NSE:DIVISLAB","Chart 📈")</f>
        <v/>
      </c>
    </row>
    <row r="18" ht="16" customHeight="1">
      <c r="A18" s="20" t="inlineStr">
        <is>
          <t>NIFTY PHARMA</t>
        </is>
      </c>
      <c r="B18" s="17" t="inlineStr">
        <is>
          <t>GLAND</t>
        </is>
      </c>
      <c r="C18" s="18" t="n">
        <v>2465.1</v>
      </c>
      <c r="D18" s="18" t="n">
        <v>2410.63</v>
      </c>
      <c r="E18" s="18" t="n">
        <v>2261.1</v>
      </c>
      <c r="F18" s="18" t="n">
        <v>1988.24</v>
      </c>
      <c r="G18" s="19">
        <f>HYPERLINK("https://www.tradingview.com/chart/?symbol=NSE:GLAND","Chart 📈")</f>
        <v/>
      </c>
    </row>
    <row r="19" ht="16" customHeight="1">
      <c r="A19" s="20" t="inlineStr">
        <is>
          <t>NIFTY PHARMA</t>
        </is>
      </c>
      <c r="B19" s="17" t="inlineStr">
        <is>
          <t>GLENMARK</t>
        </is>
      </c>
      <c r="C19" s="18" t="n">
        <v>2297.4</v>
      </c>
      <c r="D19" s="18" t="n">
        <v>2241.08</v>
      </c>
      <c r="E19" s="18" t="n">
        <v>2231.29</v>
      </c>
      <c r="F19" s="18" t="n">
        <v>2156.81</v>
      </c>
      <c r="G19" s="19">
        <f>HYPERLINK("https://www.tradingview.com/chart/?symbol=NSE:GLENMARK","Chart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898.05</v>
      </c>
      <c r="D20" s="18" t="n">
        <v>840.0700000000001</v>
      </c>
      <c r="E20" s="18" t="n">
        <v>787.65</v>
      </c>
      <c r="F20" s="18" t="n">
        <v>662.3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1878</v>
      </c>
      <c r="D21" s="18" t="n">
        <v>1735.08</v>
      </c>
      <c r="E21" s="18" t="n">
        <v>1653.82</v>
      </c>
      <c r="F21" s="18" t="n">
        <v>1532.88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2506</v>
      </c>
      <c r="D22" s="18" t="n">
        <v>2362.88</v>
      </c>
      <c r="E22" s="18" t="n">
        <v>2254.8</v>
      </c>
      <c r="F22" s="18" t="n">
        <v>2013.38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1554.3</v>
      </c>
      <c r="D23" s="18" t="n">
        <v>1493.87</v>
      </c>
      <c r="E23" s="18" t="n">
        <v>1401.72</v>
      </c>
      <c r="F23" s="18" t="n">
        <v>1160.32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2493</v>
      </c>
      <c r="D24" s="18" t="n">
        <v>2427.66</v>
      </c>
      <c r="E24" s="18" t="n">
        <v>2365.09</v>
      </c>
      <c r="F24" s="18" t="n">
        <v>2225.2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2543.1</v>
      </c>
      <c r="D25" s="18" t="n">
        <v>2494.89</v>
      </c>
      <c r="E25" s="18" t="n">
        <v>2426.39</v>
      </c>
      <c r="F25" s="18" t="n">
        <v>2346.25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SUNPHARMA</t>
        </is>
      </c>
      <c r="C26" s="18" t="n">
        <v>1951.5</v>
      </c>
      <c r="D26" s="18" t="n">
        <v>1890.65</v>
      </c>
      <c r="E26" s="18" t="n">
        <v>1847.07</v>
      </c>
      <c r="F26" s="18" t="n">
        <v>1766.19</v>
      </c>
      <c r="G26" s="19">
        <f>HYPERLINK("https://www.tradingview.com/chart/?symbol=NSE:SUNPHARMA","Chart 📈")</f>
        <v/>
      </c>
    </row>
    <row r="27" ht="16" customHeight="1">
      <c r="A27" s="20" t="inlineStr">
        <is>
          <t>NIFTY PHARMA</t>
        </is>
      </c>
      <c r="B27" s="17" t="inlineStr">
        <is>
          <t>TORNTPHARM</t>
        </is>
      </c>
      <c r="C27" s="18" t="n">
        <v>5017.8</v>
      </c>
      <c r="D27" s="18" t="n">
        <v>4756</v>
      </c>
      <c r="E27" s="18" t="n">
        <v>4572.08</v>
      </c>
      <c r="F27" s="18" t="n">
        <v>4160.47</v>
      </c>
      <c r="G27" s="19">
        <f>HYPERLINK("https://www.tradingview.com/chart/?symbol=NSE:TORNTPHARM","Chart 📈")</f>
        <v/>
      </c>
    </row>
    <row r="28" ht="16" customHeight="1">
      <c r="A28" s="20" t="inlineStr">
        <is>
          <t>NIFTY PHARMA</t>
        </is>
      </c>
      <c r="B28" s="17" t="inlineStr">
        <is>
          <t>ZYDUSLIFE</t>
        </is>
      </c>
      <c r="C28" s="18" t="n">
        <v>1156.9</v>
      </c>
      <c r="D28" s="18" t="n">
        <v>1123.88</v>
      </c>
      <c r="E28" s="18" t="n">
        <v>1076.36</v>
      </c>
      <c r="F28" s="18" t="n">
        <v>989.6900000000001</v>
      </c>
      <c r="G28" s="19">
        <f>HYPERLINK("https://www.tradingview.com/chart/?symbol=NSE:ZYDUSLIFE","Chart 📈")</f>
        <v/>
      </c>
    </row>
    <row r="29" ht="16" customHeight="1">
      <c r="A29" s="12" t="inlineStr">
        <is>
          <t>NIFTY MIDSMALL IT &amp; TELECOM</t>
        </is>
      </c>
      <c r="B29" s="13" t="inlineStr">
        <is>
          <t>COFORGE</t>
        </is>
      </c>
      <c r="C29" s="14" t="n">
        <v>1533.2</v>
      </c>
      <c r="D29" s="14" t="n">
        <v>1480.26</v>
      </c>
      <c r="E29" s="14" t="n">
        <v>1429.64</v>
      </c>
      <c r="F29" s="14" t="n">
        <v>1492.31</v>
      </c>
      <c r="G29" s="15">
        <f>HYPERLINK("https://www.tradingview.com/chart/?symbol=NSE:COFORGE","Chart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HFCL</t>
        </is>
      </c>
      <c r="C30" s="14" t="n">
        <v>223.08</v>
      </c>
      <c r="D30" s="14" t="n">
        <v>209.43</v>
      </c>
      <c r="E30" s="14" t="n">
        <v>183.53</v>
      </c>
      <c r="F30" s="14" t="n">
        <v>121.39</v>
      </c>
      <c r="G30" s="15">
        <f>HYPERLINK("https://www.tradingview.com/chart/?symbol=NSE:HFCL","Chart 📈")</f>
        <v/>
      </c>
    </row>
    <row r="31" ht="16" customHeight="1">
      <c r="A31" s="16" t="inlineStr">
        <is>
          <t>NIFTY MIDSMALL IT &amp; TELECOM</t>
        </is>
      </c>
      <c r="B31" s="13" t="inlineStr">
        <is>
          <t>OFSS</t>
        </is>
      </c>
      <c r="C31" s="14" t="n">
        <v>11625</v>
      </c>
      <c r="D31" s="14" t="n">
        <v>10938.19</v>
      </c>
      <c r="E31" s="14" t="n">
        <v>10120.65</v>
      </c>
      <c r="F31" s="14" t="n">
        <v>8692.700000000001</v>
      </c>
      <c r="G31" s="15">
        <f>HYPERLINK("https://www.tradingview.com/chart/?symbol=NSE:OFSS","Chart 📈")</f>
        <v/>
      </c>
    </row>
    <row r="32" ht="16" customHeight="1">
      <c r="A32" s="16" t="inlineStr">
        <is>
          <t>NIFTY MIDSMALL IT &amp; TELECOM</t>
        </is>
      </c>
      <c r="B32" s="13" t="inlineStr">
        <is>
          <t>TANLA</t>
        </is>
      </c>
      <c r="C32" s="14" t="n">
        <v>563.95</v>
      </c>
      <c r="D32" s="14" t="n">
        <v>537.9299999999999</v>
      </c>
      <c r="E32" s="14" t="n">
        <v>524.1900000000001</v>
      </c>
      <c r="F32" s="14" t="n">
        <v>529.77</v>
      </c>
      <c r="G32" s="15">
        <f>HYPERLINK("https://www.tradingview.com/chart/?symbol=NSE:TANLA","Chart 📈")</f>
        <v/>
      </c>
    </row>
    <row r="33" ht="16" customHeight="1">
      <c r="A33" s="16" t="inlineStr">
        <is>
          <t>NIFTY MIDSMALL IT &amp; TELECOM</t>
        </is>
      </c>
      <c r="B33" s="13" t="inlineStr">
        <is>
          <t>TATATECH</t>
        </is>
      </c>
      <c r="C33" s="14" t="n">
        <v>758.95</v>
      </c>
      <c r="D33" s="14" t="n">
        <v>728.95</v>
      </c>
      <c r="E33" s="14" t="n">
        <v>701.0599999999999</v>
      </c>
      <c r="F33" s="14" t="n">
        <v>659.21</v>
      </c>
      <c r="G33" s="15">
        <f>HYPERLINK("https://www.tradingview.com/chart/?symbol=NSE:TATATECH","Chart 📈")</f>
        <v/>
      </c>
    </row>
    <row r="34" ht="16" customHeight="1">
      <c r="A34" s="8" t="inlineStr">
        <is>
          <t>NIFTY CONSUMER DURABLES</t>
        </is>
      </c>
      <c r="B34" s="17" t="inlineStr">
        <is>
          <t>AMBER</t>
        </is>
      </c>
      <c r="C34" s="18" t="n">
        <v>7850.5</v>
      </c>
      <c r="D34" s="18" t="n">
        <v>7666.73</v>
      </c>
      <c r="E34" s="18" t="n">
        <v>7640.24</v>
      </c>
      <c r="F34" s="18" t="n">
        <v>7472.69</v>
      </c>
      <c r="G34" s="19">
        <f>HYPERLINK("https://www.tradingview.com/chart/?symbol=NSE:AMBER","Chart 📈")</f>
        <v/>
      </c>
    </row>
    <row r="35" ht="16" customHeight="1">
      <c r="A35" s="20" t="inlineStr">
        <is>
          <t>NIFTY CONSUMER DURABLES</t>
        </is>
      </c>
      <c r="B35" s="17" t="inlineStr">
        <is>
          <t>BLUESTARCO</t>
        </is>
      </c>
      <c r="C35" s="18" t="n">
        <v>1753.9</v>
      </c>
      <c r="D35" s="18" t="n">
        <v>1652.49</v>
      </c>
      <c r="E35" s="18" t="n">
        <v>1660.89</v>
      </c>
      <c r="F35" s="18" t="n">
        <v>1752.67</v>
      </c>
      <c r="G35" s="19">
        <f>HYPERLINK("https://www.tradingview.com/chart/?symbol=NSE:BLUESTARCO","Chart 📈")</f>
        <v/>
      </c>
    </row>
    <row r="36" ht="16" customHeight="1">
      <c r="A36" s="20" t="inlineStr">
        <is>
          <t>NIFTY CONSUMER DURABLES</t>
        </is>
      </c>
      <c r="B36" s="17" t="inlineStr">
        <is>
          <t>CENTURYPLY</t>
        </is>
      </c>
      <c r="C36" s="18" t="n">
        <v>795.6</v>
      </c>
      <c r="D36" s="18" t="n">
        <v>770.38</v>
      </c>
      <c r="E36" s="18" t="n">
        <v>763.55</v>
      </c>
      <c r="F36" s="18" t="n">
        <v>759.47</v>
      </c>
      <c r="G36" s="19">
        <f>HYPERLINK("https://www.tradingview.com/chart/?symbol=NSE:CENTURYPLY","Chart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DIXON</t>
        </is>
      </c>
      <c r="C37" s="18" t="n">
        <v>13651</v>
      </c>
      <c r="D37" s="18" t="n">
        <v>12768.6</v>
      </c>
      <c r="E37" s="18" t="n">
        <v>12133.01</v>
      </c>
      <c r="F37" s="18" t="n">
        <v>12535.78</v>
      </c>
      <c r="G37" s="19">
        <f>HYPERLINK("https://www.tradingview.com/chart/?symbol=NSE:DIXON","Chart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KAJARIACER</t>
        </is>
      </c>
      <c r="C38" s="18" t="n">
        <v>1237</v>
      </c>
      <c r="D38" s="18" t="n">
        <v>1197.8</v>
      </c>
      <c r="E38" s="18" t="n">
        <v>1151.87</v>
      </c>
      <c r="F38" s="18" t="n">
        <v>1101.39</v>
      </c>
      <c r="G38" s="19">
        <f>HYPERLINK("https://www.tradingview.com/chart/?symbol=NSE:KAJARIACER","Chart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KALYANKJIL</t>
        </is>
      </c>
      <c r="C39" s="18" t="n">
        <v>548.1</v>
      </c>
      <c r="D39" s="18" t="n">
        <v>426.35</v>
      </c>
      <c r="E39" s="18" t="n">
        <v>399.9</v>
      </c>
      <c r="F39" s="18" t="n">
        <v>432.27</v>
      </c>
      <c r="G39" s="19">
        <f>HYPERLINK("https://www.tradingview.com/chart/?symbol=NSE:KALYANKJIL","Chart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TITAN</t>
        </is>
      </c>
      <c r="C40" s="18" t="n">
        <v>4579.4</v>
      </c>
      <c r="D40" s="18" t="n">
        <v>4452.71</v>
      </c>
      <c r="E40" s="18" t="n">
        <v>4339.3</v>
      </c>
      <c r="F40" s="18" t="n">
        <v>4085.89</v>
      </c>
      <c r="G40" s="19">
        <f>HYPERLINK("https://www.tradingview.com/chart/?symbol=NSE:TITAN","Chart 📈")</f>
        <v/>
      </c>
    </row>
    <row r="41" ht="16" customHeight="1">
      <c r="A41" s="20" t="inlineStr">
        <is>
          <t>NIFTY CONSUMER DURABLES</t>
        </is>
      </c>
      <c r="B41" s="17" t="inlineStr">
        <is>
          <t>VOLTAS</t>
        </is>
      </c>
      <c r="C41" s="18" t="n">
        <v>1377.4</v>
      </c>
      <c r="D41" s="18" t="n">
        <v>1309.4</v>
      </c>
      <c r="E41" s="18" t="n">
        <v>1313.57</v>
      </c>
      <c r="F41" s="18" t="n">
        <v>1355.62</v>
      </c>
      <c r="G41" s="19">
        <f>HYPERLINK("https://www.tradingview.com/chart/?symbol=NSE:VOLTAS","Chart 📈")</f>
        <v/>
      </c>
    </row>
    <row r="42" ht="16" customHeight="1">
      <c r="A42" s="12" t="inlineStr">
        <is>
          <t>NIFTY FINANCIAL SERVICES</t>
        </is>
      </c>
      <c r="B42" s="13" t="inlineStr">
        <is>
          <t>BAJFINANCE</t>
        </is>
      </c>
      <c r="C42" s="14" t="n">
        <v>1021.3</v>
      </c>
      <c r="D42" s="14" t="n">
        <v>995.46</v>
      </c>
      <c r="E42" s="14" t="n">
        <v>961.38</v>
      </c>
      <c r="F42" s="14" t="n">
        <v>946.08</v>
      </c>
      <c r="G42" s="15">
        <f>HYPERLINK("https://www.tradingview.com/chart/?symbol=NSE:BAJFINANCE","Chart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CHOLAFIN</t>
        </is>
      </c>
      <c r="C43" s="14" t="n">
        <v>1803.9</v>
      </c>
      <c r="D43" s="14" t="n">
        <v>1761.37</v>
      </c>
      <c r="E43" s="14" t="n">
        <v>1684.07</v>
      </c>
      <c r="F43" s="14" t="n">
        <v>1626.13</v>
      </c>
      <c r="G43" s="15">
        <f>HYPERLINK("https://www.tradingview.com/chart/?symbol=NSE:CHOLAFIN","Chart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HDFCAMC</t>
        </is>
      </c>
      <c r="C44" s="14" t="n">
        <v>2729.2</v>
      </c>
      <c r="D44" s="14" t="n">
        <v>2697.61</v>
      </c>
      <c r="E44" s="14" t="n">
        <v>2651.6</v>
      </c>
      <c r="F44" s="14" t="n">
        <v>2612.73</v>
      </c>
      <c r="G44" s="15">
        <f>HYPERLINK("https://www.tradingview.com/chart/?symbol=NSE:HDFCAMC","Chart 📈")</f>
        <v/>
      </c>
    </row>
    <row r="45" ht="16" customHeight="1">
      <c r="A45" s="16" t="inlineStr">
        <is>
          <t>NIFTY FINANCIAL SERVICES</t>
        </is>
      </c>
      <c r="B45" s="13" t="inlineStr">
        <is>
          <t>ICICIBANK</t>
        </is>
      </c>
      <c r="C45" s="14" t="n">
        <v>1416.2</v>
      </c>
      <c r="D45" s="14" t="n">
        <v>1381.64</v>
      </c>
      <c r="E45" s="14" t="n">
        <v>1344.05</v>
      </c>
      <c r="F45" s="14" t="n">
        <v>1345.48</v>
      </c>
      <c r="G45" s="15">
        <f>HYPERLINK("https://www.tradingview.com/chart/?symbol=NSE:ICICIBANK","Chart 📈")</f>
        <v/>
      </c>
    </row>
    <row r="46" ht="16" customHeight="1">
      <c r="A46" s="16" t="inlineStr">
        <is>
          <t>NIFTY FINANCIAL SERVICES</t>
        </is>
      </c>
      <c r="B46" s="13" t="inlineStr">
        <is>
          <t>LICHSGFIN</t>
        </is>
      </c>
      <c r="C46" s="14" t="n">
        <v>550.15</v>
      </c>
      <c r="D46" s="14" t="n">
        <v>548.66</v>
      </c>
      <c r="E46" s="14" t="n">
        <v>547.14</v>
      </c>
      <c r="F46" s="14" t="n">
        <v>548.28</v>
      </c>
      <c r="G46" s="15">
        <f>HYPERLINK("https://www.tradingview.com/chart/?symbol=NSE:LICHSGFIN","Chart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MCX</t>
        </is>
      </c>
      <c r="C47" s="14" t="n">
        <v>2892.6</v>
      </c>
      <c r="D47" s="14" t="n">
        <v>2834.58</v>
      </c>
      <c r="E47" s="14" t="n">
        <v>2859.39</v>
      </c>
      <c r="F47" s="14" t="n">
        <v>2509.48</v>
      </c>
      <c r="G47" s="15">
        <f>HYPERLINK("https://www.tradingview.com/chart/?symbol=NSE:MCX","Chart 📈")</f>
        <v/>
      </c>
    </row>
    <row r="48" ht="16" customHeight="1">
      <c r="A48" s="16" t="inlineStr">
        <is>
          <t>NIFTY FINANCIAL SERVICES</t>
        </is>
      </c>
      <c r="B48" s="13" t="inlineStr">
        <is>
          <t>SHRIRAMFIN</t>
        </is>
      </c>
      <c r="C48" s="14" t="n">
        <v>1033.8</v>
      </c>
      <c r="D48" s="14" t="n">
        <v>1022.32</v>
      </c>
      <c r="E48" s="14" t="n">
        <v>995.12</v>
      </c>
      <c r="F48" s="14" t="n">
        <v>917.86</v>
      </c>
      <c r="G48" s="15">
        <f>HYPERLINK("https://www.tradingview.com/chart/?symbol=NSE:SHRIRAMFIN","Chart 📈")</f>
        <v/>
      </c>
    </row>
    <row r="49" ht="16" customHeight="1">
      <c r="A49" s="8" t="inlineStr">
        <is>
          <t>NIFTY AUTO</t>
        </is>
      </c>
      <c r="B49" s="17" t="inlineStr">
        <is>
          <t>BAJAJ-AUTO</t>
        </is>
      </c>
      <c r="C49" s="18" t="n">
        <v>10323</v>
      </c>
      <c r="D49" s="18" t="n">
        <v>10087.84</v>
      </c>
      <c r="E49" s="18" t="n">
        <v>10020.43</v>
      </c>
      <c r="F49" s="18" t="n">
        <v>9489.559999999999</v>
      </c>
      <c r="G49" s="19">
        <f>HYPERLINK("https://www.tradingview.com/chart/?symbol=NSE:BAJAJ-AUTO","Chart 📈")</f>
        <v/>
      </c>
    </row>
    <row r="50" ht="16" customHeight="1">
      <c r="A50" s="20" t="inlineStr">
        <is>
          <t>NIFTY AUTO</t>
        </is>
      </c>
      <c r="B50" s="17" t="inlineStr">
        <is>
          <t>BHARATFORG</t>
        </is>
      </c>
      <c r="C50" s="18" t="n">
        <v>2100.4</v>
      </c>
      <c r="D50" s="18" t="n">
        <v>2096.98</v>
      </c>
      <c r="E50" s="18" t="n">
        <v>2015.56</v>
      </c>
      <c r="F50" s="18" t="n">
        <v>1721.45</v>
      </c>
      <c r="G50" s="19">
        <f>HYPERLINK("https://www.tradingview.com/chart/?symbol=NSE:BHARATFORG","Chart 📈")</f>
        <v/>
      </c>
    </row>
    <row r="51" ht="16" customHeight="1">
      <c r="A51" s="20" t="inlineStr">
        <is>
          <t>NIFTY AUTO</t>
        </is>
      </c>
      <c r="B51" s="17" t="inlineStr">
        <is>
          <t>BOSCHLTD</t>
        </is>
      </c>
      <c r="C51" s="18" t="n">
        <v>41445</v>
      </c>
      <c r="D51" s="18" t="n">
        <v>40848.17</v>
      </c>
      <c r="E51" s="18" t="n">
        <v>39173.37</v>
      </c>
      <c r="F51" s="18" t="n">
        <v>37342.67</v>
      </c>
      <c r="G51" s="19">
        <f>HYPERLINK("https://www.tradingview.com/chart/?symbol=NSE:BOSCHLTD","Chart 📈")</f>
        <v/>
      </c>
    </row>
    <row r="52" ht="16" customHeight="1">
      <c r="A52" s="20" t="inlineStr">
        <is>
          <t>NIFTY AUTO</t>
        </is>
      </c>
      <c r="B52" s="17" t="inlineStr">
        <is>
          <t>EICHERMOT</t>
        </is>
      </c>
      <c r="C52" s="18" t="n">
        <v>7404.5</v>
      </c>
      <c r="D52" s="18" t="n">
        <v>7371.02</v>
      </c>
      <c r="E52" s="18" t="n">
        <v>7318.29</v>
      </c>
      <c r="F52" s="18" t="n">
        <v>7048.52</v>
      </c>
      <c r="G52" s="19">
        <f>HYPERLINK("https://www.tradingview.com/chart/?symbol=NSE:EICHERMOT","Chart 📈")</f>
        <v/>
      </c>
    </row>
    <row r="53" ht="16" customHeight="1">
      <c r="A53" s="20" t="inlineStr">
        <is>
          <t>NIFTY AUTO</t>
        </is>
      </c>
      <c r="B53" s="17" t="inlineStr">
        <is>
          <t>EXIDEIND</t>
        </is>
      </c>
      <c r="C53" s="18" t="n">
        <v>419.2</v>
      </c>
      <c r="D53" s="18" t="n">
        <v>406.93</v>
      </c>
      <c r="E53" s="18" t="n">
        <v>386.88</v>
      </c>
      <c r="F53" s="18" t="n">
        <v>365.54</v>
      </c>
      <c r="G53" s="19">
        <f>HYPERLINK("https://www.tradingview.com/chart/?symbol=NSE:EXIDEIND","Chart 📈")</f>
        <v/>
      </c>
    </row>
    <row r="54" ht="16" customHeight="1">
      <c r="A54" s="20" t="inlineStr">
        <is>
          <t>NIFTY AUTO</t>
        </is>
      </c>
      <c r="B54" s="17" t="inlineStr">
        <is>
          <t>TVSMOTOR</t>
        </is>
      </c>
      <c r="C54" s="18" t="n">
        <v>3612.3</v>
      </c>
      <c r="D54" s="18" t="n">
        <v>3572.62</v>
      </c>
      <c r="E54" s="18" t="n">
        <v>3526.84</v>
      </c>
      <c r="F54" s="18" t="n">
        <v>3482.63</v>
      </c>
      <c r="G54" s="19">
        <f>HYPERLINK("https://www.tradingview.com/chart/?symbol=NSE:TVSMOTOR","Chart 📈")</f>
        <v/>
      </c>
    </row>
    <row r="55" ht="16" customHeight="1">
      <c r="A55" s="12" t="inlineStr">
        <is>
          <t>NIFTY MEDIA</t>
        </is>
      </c>
      <c r="B55" s="13" t="inlineStr">
        <is>
          <t>NAZARA</t>
        </is>
      </c>
      <c r="C55" s="14" t="n">
        <v>310.1</v>
      </c>
      <c r="D55" s="14" t="n">
        <v>300.35</v>
      </c>
      <c r="E55" s="14" t="n">
        <v>290.14</v>
      </c>
      <c r="F55" s="14" t="n">
        <v>281.31</v>
      </c>
      <c r="G55" s="15">
        <f>HYPERLINK("https://www.tradingview.com/chart/?symbol=NSE:NAZARA","Chart 📈")</f>
        <v/>
      </c>
    </row>
    <row r="56" ht="16" customHeight="1">
      <c r="A56" s="16" t="inlineStr">
        <is>
          <t>NIFTY MEDIA</t>
        </is>
      </c>
      <c r="B56" s="13" t="inlineStr">
        <is>
          <t>SAREGAMA</t>
        </is>
      </c>
      <c r="C56" s="14" t="n">
        <v>490.6</v>
      </c>
      <c r="D56" s="14" t="n">
        <v>475.52</v>
      </c>
      <c r="E56" s="14" t="n">
        <v>445.67</v>
      </c>
      <c r="F56" s="14" t="n">
        <v>409.16</v>
      </c>
      <c r="G56" s="15">
        <f>HYPERLINK("https://www.tradingview.com/chart/?symbol=NSE:SAREGAMA","Chart 📈")</f>
        <v/>
      </c>
    </row>
    <row r="57" ht="16" customHeight="1">
      <c r="A57" s="8" t="inlineStr">
        <is>
          <t>NIFTY PSU BANK</t>
        </is>
      </c>
      <c r="B57" s="17" t="inlineStr">
        <is>
          <t>BANKINDIA</t>
        </is>
      </c>
      <c r="C57" s="18" t="n">
        <v>145.21</v>
      </c>
      <c r="D57" s="18" t="n">
        <v>142.73</v>
      </c>
      <c r="E57" s="18" t="n">
        <v>142.48</v>
      </c>
      <c r="F57" s="18" t="n">
        <v>139</v>
      </c>
      <c r="G57" s="19">
        <f>HYPERLINK("https://www.tradingview.com/chart/?symbol=NSE:BANKINDIA","Chart 📈")</f>
        <v/>
      </c>
    </row>
    <row r="58" ht="16" customHeight="1">
      <c r="A58" s="20" t="inlineStr">
        <is>
          <t>NIFTY PSU BANK</t>
        </is>
      </c>
      <c r="B58" s="17" t="inlineStr">
        <is>
          <t>SBIN</t>
        </is>
      </c>
      <c r="C58" s="18" t="n">
        <v>1030.1</v>
      </c>
      <c r="D58" s="18" t="n">
        <v>1027.74</v>
      </c>
      <c r="E58" s="18" t="n">
        <v>1021.62</v>
      </c>
      <c r="F58" s="18" t="n">
        <v>989.36</v>
      </c>
      <c r="G58" s="19">
        <f>HYPERLINK("https://www.tradingview.com/chart/?symbol=NSE:SBIN","Chart 📈")</f>
        <v/>
      </c>
    </row>
    <row r="59" ht="16" customHeight="1">
      <c r="A59" s="20" t="inlineStr">
        <is>
          <t>NIFTY PSU BANK</t>
        </is>
      </c>
      <c r="B59" s="17" t="inlineStr">
        <is>
          <t>UNIONBANK</t>
        </is>
      </c>
      <c r="C59" s="18" t="n">
        <v>172.38</v>
      </c>
      <c r="D59" s="18" t="n">
        <v>166.02</v>
      </c>
      <c r="E59" s="18" t="n">
        <v>165.86</v>
      </c>
      <c r="F59" s="18" t="n">
        <v>160.8</v>
      </c>
      <c r="G59" s="19">
        <f>HYPERLINK("https://www.tradingview.com/chart/?symbol=NSE:UNIONBANK","Chart 📈")</f>
        <v/>
      </c>
    </row>
    <row r="60" ht="16" customHeight="1">
      <c r="A60" s="12" t="inlineStr">
        <is>
          <t>NIFTY OIL &amp; GAS</t>
        </is>
      </c>
      <c r="B60" s="13" t="inlineStr">
        <is>
          <t>AEGISLOG</t>
        </is>
      </c>
      <c r="C60" s="14" t="n">
        <v>1321.1</v>
      </c>
      <c r="D60" s="14" t="n">
        <v>1190.45</v>
      </c>
      <c r="E60" s="14" t="n">
        <v>1012.66</v>
      </c>
      <c r="F60" s="14" t="n">
        <v>809.33</v>
      </c>
      <c r="G60" s="15">
        <f>HYPERLINK("https://www.tradingview.com/chart/?symbol=NSE:AEGISLOG","Chart 📈")</f>
        <v/>
      </c>
    </row>
    <row r="61" ht="16" customHeight="1">
      <c r="A61" s="16" t="inlineStr">
        <is>
          <t>NIFTY OIL &amp; GAS</t>
        </is>
      </c>
      <c r="B61" s="13" t="inlineStr">
        <is>
          <t>GAIL</t>
        </is>
      </c>
      <c r="C61" s="14" t="n">
        <v>173.15</v>
      </c>
      <c r="D61" s="14" t="n">
        <v>172.39</v>
      </c>
      <c r="E61" s="14" t="n">
        <v>169.18</v>
      </c>
      <c r="F61" s="14" t="n">
        <v>166.31</v>
      </c>
      <c r="G61" s="15">
        <f>HYPERLINK("https://www.tradingview.com/chart/?symbol=NSE:GAIL","Chart 📈")</f>
        <v/>
      </c>
    </row>
    <row r="62" ht="16" customHeight="1">
      <c r="A62" s="16" t="inlineStr">
        <is>
          <t>NIFTY OIL &amp; GAS</t>
        </is>
      </c>
      <c r="B62" s="13" t="inlineStr">
        <is>
          <t>PETRONET</t>
        </is>
      </c>
      <c r="C62" s="14" t="n">
        <v>278.4</v>
      </c>
      <c r="D62" s="14" t="n">
        <v>278.01</v>
      </c>
      <c r="E62" s="14" t="n">
        <v>276.37</v>
      </c>
      <c r="F62" s="14" t="n">
        <v>277.58</v>
      </c>
      <c r="G62" s="15">
        <f>HYPERLINK("https://www.tradingview.com/chart/?symbol=NSE:PETRONET","Chart 📈")</f>
        <v/>
      </c>
    </row>
    <row r="63" ht="16" customHeight="1">
      <c r="A63" s="8" t="inlineStr">
        <is>
          <t>NIFTY METAL</t>
        </is>
      </c>
      <c r="B63" s="17" t="inlineStr">
        <is>
          <t>ADANIENT</t>
        </is>
      </c>
      <c r="C63" s="18" t="n">
        <v>3150.6</v>
      </c>
      <c r="D63" s="18" t="n">
        <v>3088.33</v>
      </c>
      <c r="E63" s="18" t="n">
        <v>2904.71</v>
      </c>
      <c r="F63" s="18" t="n">
        <v>2537.83</v>
      </c>
      <c r="G63" s="19">
        <f>HYPERLINK("https://www.tradingview.com/chart/?symbol=NSE:ADANIENT","Chart 📈")</f>
        <v/>
      </c>
    </row>
    <row r="64" ht="16" customHeight="1">
      <c r="A64" s="20" t="inlineStr">
        <is>
          <t>NIFTY METAL</t>
        </is>
      </c>
      <c r="B64" s="17" t="inlineStr">
        <is>
          <t>WELCORP</t>
        </is>
      </c>
      <c r="C64" s="18" t="n">
        <v>1680.1</v>
      </c>
      <c r="D64" s="18" t="n">
        <v>1530.12</v>
      </c>
      <c r="E64" s="18" t="n">
        <v>1403.76</v>
      </c>
      <c r="F64" s="18" t="n">
        <v>1101.38</v>
      </c>
      <c r="G64" s="19">
        <f>HYPERLINK("https://www.tradingview.com/chart/?symbol=NSE:WELCORP","Chart 📈")</f>
        <v/>
      </c>
    </row>
    <row r="65" ht="16" customHeight="1">
      <c r="A65" s="12" t="inlineStr">
        <is>
          <t>NIFTY FMCG</t>
        </is>
      </c>
      <c r="B65" s="13" t="inlineStr">
        <is>
          <t>BALRAMCHIN</t>
        </is>
      </c>
      <c r="C65" s="14" t="n">
        <v>589.85</v>
      </c>
      <c r="D65" s="14" t="n">
        <v>562.83</v>
      </c>
      <c r="E65" s="14" t="n">
        <v>544.47</v>
      </c>
      <c r="F65" s="14" t="n">
        <v>516.35</v>
      </c>
      <c r="G65" s="15">
        <f>HYPERLINK("https://www.tradingview.com/chart/?symbol=NSE:BALRAMCHIN","Chart 📈")</f>
        <v/>
      </c>
    </row>
    <row r="66" ht="16" customHeight="1">
      <c r="A66" s="16" t="inlineStr">
        <is>
          <t>NIFTY FMCG</t>
        </is>
      </c>
      <c r="B66" s="13" t="inlineStr">
        <is>
          <t>MARICO</t>
        </is>
      </c>
      <c r="C66" s="14" t="n">
        <v>844.45</v>
      </c>
      <c r="D66" s="14" t="n">
        <v>838.84</v>
      </c>
      <c r="E66" s="14" t="n">
        <v>823.64</v>
      </c>
      <c r="F66" s="14" t="n">
        <v>780.29</v>
      </c>
      <c r="G66" s="15">
        <f>HYPERLINK("https://www.tradingview.com/chart/?symbol=NSE:MARICO","Chart 📈")</f>
        <v/>
      </c>
    </row>
    <row r="67" ht="16" customHeight="1">
      <c r="A67" s="16" t="inlineStr">
        <is>
          <t>NIFTY FMCG</t>
        </is>
      </c>
      <c r="B67" s="13" t="inlineStr">
        <is>
          <t>RADICO</t>
        </is>
      </c>
      <c r="C67" s="14" t="n">
        <v>4090</v>
      </c>
      <c r="D67" s="14" t="n">
        <v>3931.6</v>
      </c>
      <c r="E67" s="14" t="n">
        <v>3692.13</v>
      </c>
      <c r="F67" s="14" t="n">
        <v>3240.46</v>
      </c>
      <c r="G67" s="15">
        <f>HYPERLINK("https://www.tradingview.com/chart/?symbol=NSE:RADICO","Chart 📈")</f>
        <v/>
      </c>
    </row>
    <row r="68" ht="16" customHeight="1">
      <c r="A68" s="16" t="inlineStr">
        <is>
          <t>NIFTY FMCG</t>
        </is>
      </c>
      <c r="B68" s="13" t="inlineStr">
        <is>
          <t>UNITDSPR</t>
        </is>
      </c>
      <c r="C68" s="14" t="n">
        <v>1373.4</v>
      </c>
      <c r="D68" s="14" t="n">
        <v>1361.56</v>
      </c>
      <c r="E68" s="14" t="n">
        <v>1330.28</v>
      </c>
      <c r="F68" s="14" t="n">
        <v>1328.79</v>
      </c>
      <c r="G68" s="15">
        <f>HYPERLINK("https://www.tradingview.com/chart/?symbol=NSE:UNITDSPR","Chart 📈")</f>
        <v/>
      </c>
    </row>
    <row r="69" ht="16" customHeight="1">
      <c r="A69" s="8" t="inlineStr">
        <is>
          <t>NIFTY BANK</t>
        </is>
      </c>
      <c r="B69" s="17" t="inlineStr">
        <is>
          <t>FEDERALBNK</t>
        </is>
      </c>
      <c r="C69" s="18" t="n">
        <v>327.55</v>
      </c>
      <c r="D69" s="18" t="n">
        <v>324.98</v>
      </c>
      <c r="E69" s="18" t="n">
        <v>312.85</v>
      </c>
      <c r="F69" s="18" t="n">
        <v>277.61</v>
      </c>
      <c r="G69" s="19">
        <f>HYPERLINK("https://www.tradingview.com/chart/?symbol=NSE:FEDERALBNK","Chart 📈")</f>
        <v/>
      </c>
    </row>
    <row r="70" ht="16" customHeight="1">
      <c r="A70" s="20" t="inlineStr">
        <is>
          <t>NIFTY BANK</t>
        </is>
      </c>
      <c r="B70" s="17" t="inlineStr">
        <is>
          <t>IDFCFIRSTB</t>
        </is>
      </c>
      <c r="C70" s="18" t="n">
        <v>79.47</v>
      </c>
      <c r="D70" s="18" t="n">
        <v>78.77</v>
      </c>
      <c r="E70" s="18" t="n">
        <v>75.84</v>
      </c>
      <c r="F70" s="18" t="n">
        <v>74.29000000000001</v>
      </c>
      <c r="G70" s="19">
        <f>HYPERLINK("https://www.tradingview.com/chart/?symbol=NSE:IDFCFIRSTB","Chart 📈")</f>
        <v/>
      </c>
    </row>
    <row r="71" ht="16" customHeight="1">
      <c r="A71" s="20" t="inlineStr">
        <is>
          <t>NIFTY BANK</t>
        </is>
      </c>
      <c r="B71" s="17" t="inlineStr">
        <is>
          <t>INDUSINDBK</t>
        </is>
      </c>
      <c r="C71" s="18" t="n">
        <v>1009.7</v>
      </c>
      <c r="D71" s="18" t="n">
        <v>972.3099999999999</v>
      </c>
      <c r="E71" s="18" t="n">
        <v>937.84</v>
      </c>
      <c r="F71" s="18" t="n">
        <v>887.27</v>
      </c>
      <c r="G71" s="19">
        <f>HYPERLINK("https://www.tradingview.com/chart/?symbol=NSE:INDUSINDBK","Chart 📈")</f>
        <v/>
      </c>
    </row>
    <row r="72" ht="16" customHeight="1">
      <c r="A72" s="12" t="inlineStr">
        <is>
          <t>NIFTY ENERGY</t>
        </is>
      </c>
      <c r="B72" s="13" t="inlineStr">
        <is>
          <t>ABB</t>
        </is>
      </c>
      <c r="C72" s="14" t="n">
        <v>7204.5</v>
      </c>
      <c r="D72" s="14" t="n">
        <v>6962.12</v>
      </c>
      <c r="E72" s="14" t="n">
        <v>6900.04</v>
      </c>
      <c r="F72" s="14" t="n">
        <v>6241.71</v>
      </c>
      <c r="G72" s="15">
        <f>HYPERLINK("https://www.tradingview.com/chart/?symbol=NSE:ABB","Chart 📈")</f>
        <v/>
      </c>
    </row>
    <row r="73" ht="16" customHeight="1">
      <c r="A73" s="16" t="inlineStr">
        <is>
          <t>NIFTY ENERGY</t>
        </is>
      </c>
      <c r="B73" s="13" t="inlineStr">
        <is>
          <t>ADANIENSOL</t>
        </is>
      </c>
      <c r="C73" s="14" t="n">
        <v>1678</v>
      </c>
      <c r="D73" s="14" t="n">
        <v>1589.57</v>
      </c>
      <c r="E73" s="14" t="n">
        <v>1491.19</v>
      </c>
      <c r="F73" s="14" t="n">
        <v>1204.77</v>
      </c>
      <c r="G73" s="15">
        <f>HYPERLINK("https://www.tradingview.com/chart/?symbol=NSE:ADANIENSOL","Chart 📈")</f>
        <v/>
      </c>
    </row>
    <row r="74" ht="16" customHeight="1">
      <c r="A74" s="16" t="inlineStr">
        <is>
          <t>NIFTY ENERGY</t>
        </is>
      </c>
      <c r="B74" s="13" t="inlineStr">
        <is>
          <t>ADANIGREEN</t>
        </is>
      </c>
      <c r="C74" s="14" t="n">
        <v>1555.4</v>
      </c>
      <c r="D74" s="14" t="n">
        <v>1524.87</v>
      </c>
      <c r="E74" s="14" t="n">
        <v>1442.29</v>
      </c>
      <c r="F74" s="14" t="n">
        <v>1194.68</v>
      </c>
      <c r="G74" s="15">
        <f>HYPERLINK("https://www.tradingview.com/chart/?symbol=NSE:ADANIGREEN","Chart 📈")</f>
        <v/>
      </c>
    </row>
    <row r="75" ht="16" customHeight="1">
      <c r="A75" s="16" t="inlineStr">
        <is>
          <t>NIFTY ENERGY</t>
        </is>
      </c>
      <c r="B75" s="13" t="inlineStr">
        <is>
          <t>BHEL</t>
        </is>
      </c>
      <c r="C75" s="14" t="n">
        <v>417.95</v>
      </c>
      <c r="D75" s="14" t="n">
        <v>398.21</v>
      </c>
      <c r="E75" s="14" t="n">
        <v>385.96</v>
      </c>
      <c r="F75" s="14" t="n">
        <v>322.38</v>
      </c>
      <c r="G75" s="15">
        <f>HYPERLINK("https://www.tradingview.com/chart/?symbol=NSE:BHEL","Chart 📈")</f>
        <v/>
      </c>
    </row>
    <row r="76" ht="16" customHeight="1">
      <c r="A76" s="16" t="inlineStr">
        <is>
          <t>NIFTY ENERGY</t>
        </is>
      </c>
      <c r="B76" s="13" t="inlineStr">
        <is>
          <t>CGPOWER</t>
        </is>
      </c>
      <c r="C76" s="14" t="n">
        <v>929.15</v>
      </c>
      <c r="D76" s="14" t="n">
        <v>923.74</v>
      </c>
      <c r="E76" s="14" t="n">
        <v>896.24</v>
      </c>
      <c r="F76" s="14" t="n">
        <v>784.14</v>
      </c>
      <c r="G76" s="15">
        <f>HYPERLINK("https://www.tradingview.com/chart/?symbol=NSE:CGPOWER","Chart 📈")</f>
        <v/>
      </c>
    </row>
    <row r="77" ht="16" customHeight="1">
      <c r="A77" s="16" t="inlineStr">
        <is>
          <t>NIFTY ENERGY</t>
        </is>
      </c>
      <c r="B77" s="13" t="inlineStr">
        <is>
          <t>NHPC</t>
        </is>
      </c>
      <c r="C77" s="14" t="n">
        <v>79.09</v>
      </c>
      <c r="D77" s="14" t="n">
        <v>78.81999999999999</v>
      </c>
      <c r="E77" s="14" t="n">
        <v>78.31999999999999</v>
      </c>
      <c r="F77" s="14" t="n">
        <v>79.01000000000001</v>
      </c>
      <c r="G77" s="15">
        <f>HYPERLINK("https://www.tradingview.com/chart/?symbol=NSE:NHPC","Chart 📈")</f>
        <v/>
      </c>
    </row>
    <row r="78" ht="16" customHeight="1">
      <c r="A78" s="16" t="inlineStr">
        <is>
          <t>NIFTY ENERGY</t>
        </is>
      </c>
      <c r="B78" s="13" t="inlineStr">
        <is>
          <t>POWERINDIA</t>
        </is>
      </c>
      <c r="C78" s="14" t="n">
        <v>33980</v>
      </c>
      <c r="D78" s="14" t="n">
        <v>33414.14</v>
      </c>
      <c r="E78" s="14" t="n">
        <v>33212.03</v>
      </c>
      <c r="F78" s="14" t="n">
        <v>27189.3</v>
      </c>
      <c r="G78" s="15">
        <f>HYPERLINK("https://www.tradingview.com/chart/?symbol=NSE:POWERINDIA","Chart 📈")</f>
        <v/>
      </c>
    </row>
    <row r="79" ht="16" customHeight="1">
      <c r="A79" s="8" t="inlineStr">
        <is>
          <t>NIFTY IT</t>
        </is>
      </c>
      <c r="B79" s="17" t="inlineStr">
        <is>
          <t>TECHM</t>
        </is>
      </c>
      <c r="C79" s="18" t="n">
        <v>1498.7</v>
      </c>
      <c r="D79" s="18" t="n">
        <v>1434.36</v>
      </c>
      <c r="E79" s="18" t="n">
        <v>1422.19</v>
      </c>
      <c r="F79" s="18" t="n">
        <v>1443.52</v>
      </c>
      <c r="G79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2026-07-15T12:25:23Z</dcterms:created>
  <dcterms:modified xsi:type="dcterms:W3CDTF">2026-07-15T12:25:23Z</dcterms:modified>
</cp:coreProperties>
</file>