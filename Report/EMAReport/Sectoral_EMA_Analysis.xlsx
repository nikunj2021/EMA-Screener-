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15-May-2026  17:26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19</v>
      </c>
      <c r="E4" s="5" t="n">
        <v>19</v>
      </c>
      <c r="F4" s="6" t="n">
        <v>0.95</v>
      </c>
      <c r="G4" s="6" t="n">
        <v>0.95</v>
      </c>
      <c r="H4" s="6" t="n">
        <v>0.95</v>
      </c>
      <c r="I4" s="7" t="n">
        <v>0.95</v>
      </c>
    </row>
    <row r="5" ht="17" customHeight="1">
      <c r="A5" s="8" t="inlineStr">
        <is>
          <t>NIFTY METAL</t>
        </is>
      </c>
      <c r="B5" s="9" t="n">
        <v>15</v>
      </c>
      <c r="C5" s="9" t="n">
        <v>9</v>
      </c>
      <c r="D5" s="9" t="n">
        <v>12</v>
      </c>
      <c r="E5" s="9" t="n">
        <v>12</v>
      </c>
      <c r="F5" s="10" t="n">
        <v>0.6</v>
      </c>
      <c r="G5" s="10" t="n">
        <v>0.8</v>
      </c>
      <c r="H5" s="10" t="n">
        <v>0.8</v>
      </c>
      <c r="I5" s="11" t="n">
        <v>0.7333</v>
      </c>
    </row>
    <row r="6" ht="17" customHeight="1">
      <c r="A6" s="4" t="inlineStr">
        <is>
          <t>NIFTY FMCG</t>
        </is>
      </c>
      <c r="B6" s="5" t="n">
        <v>15</v>
      </c>
      <c r="C6" s="5" t="n">
        <v>11</v>
      </c>
      <c r="D6" s="5" t="n">
        <v>11</v>
      </c>
      <c r="E6" s="5" t="n">
        <v>6</v>
      </c>
      <c r="F6" s="6" t="n">
        <v>0.733</v>
      </c>
      <c r="G6" s="6" t="n">
        <v>0.733</v>
      </c>
      <c r="H6" s="6" t="n">
        <v>0.4</v>
      </c>
      <c r="I6" s="7" t="n">
        <v>0.622</v>
      </c>
    </row>
    <row r="7" ht="17" customHeight="1">
      <c r="A7" s="8" t="inlineStr">
        <is>
          <t>NIFTY ENERGY</t>
        </is>
      </c>
      <c r="B7" s="9" t="n">
        <v>40</v>
      </c>
      <c r="C7" s="9" t="n">
        <v>14</v>
      </c>
      <c r="D7" s="9" t="n">
        <v>19</v>
      </c>
      <c r="E7" s="9" t="n">
        <v>22</v>
      </c>
      <c r="F7" s="10" t="n">
        <v>0.35</v>
      </c>
      <c r="G7" s="10" t="n">
        <v>0.475</v>
      </c>
      <c r="H7" s="10" t="n">
        <v>0.55</v>
      </c>
      <c r="I7" s="11" t="n">
        <v>0.4583</v>
      </c>
    </row>
    <row r="8" ht="17" customHeight="1">
      <c r="A8" s="4" t="inlineStr">
        <is>
          <t>NIFTY AUTO</t>
        </is>
      </c>
      <c r="B8" s="5" t="n">
        <v>15</v>
      </c>
      <c r="C8" s="5" t="n">
        <v>6</v>
      </c>
      <c r="D8" s="5" t="n">
        <v>6</v>
      </c>
      <c r="E8" s="5" t="n">
        <v>5</v>
      </c>
      <c r="F8" s="6" t="n">
        <v>0.4</v>
      </c>
      <c r="G8" s="6" t="n">
        <v>0.4</v>
      </c>
      <c r="H8" s="6" t="n">
        <v>0.333</v>
      </c>
      <c r="I8" s="7" t="n">
        <v>0.3777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7</v>
      </c>
      <c r="D9" s="9" t="n">
        <v>10</v>
      </c>
      <c r="E9" s="9" t="n">
        <v>5</v>
      </c>
      <c r="F9" s="10" t="n">
        <v>0.35</v>
      </c>
      <c r="G9" s="10" t="n">
        <v>0.5</v>
      </c>
      <c r="H9" s="10" t="n">
        <v>0.25</v>
      </c>
      <c r="I9" s="11" t="n">
        <v>0.3667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4</v>
      </c>
      <c r="D10" s="5" t="n">
        <v>5</v>
      </c>
      <c r="E10" s="5" t="n">
        <v>6</v>
      </c>
      <c r="F10" s="6" t="n">
        <v>0.267</v>
      </c>
      <c r="G10" s="6" t="n">
        <v>0.333</v>
      </c>
      <c r="H10" s="6" t="n">
        <v>0.4</v>
      </c>
      <c r="I10" s="7" t="n">
        <v>0.3333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4</v>
      </c>
      <c r="E11" s="9" t="n">
        <v>3</v>
      </c>
      <c r="F11" s="10" t="n">
        <v>0.3</v>
      </c>
      <c r="G11" s="10" t="n">
        <v>0.4</v>
      </c>
      <c r="H11" s="10" t="n">
        <v>0.3</v>
      </c>
      <c r="I11" s="11" t="n">
        <v>0.3333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5</v>
      </c>
      <c r="D12" s="5" t="n">
        <v>6</v>
      </c>
      <c r="E12" s="5" t="n">
        <v>5</v>
      </c>
      <c r="F12" s="6" t="n">
        <v>0.25</v>
      </c>
      <c r="G12" s="6" t="n">
        <v>0.3</v>
      </c>
      <c r="H12" s="6" t="n">
        <v>0.25</v>
      </c>
      <c r="I12" s="7" t="n">
        <v>0.2667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3</v>
      </c>
      <c r="D13" s="9" t="n">
        <v>4</v>
      </c>
      <c r="E13" s="9" t="n">
        <v>3</v>
      </c>
      <c r="F13" s="10" t="n">
        <v>0.2</v>
      </c>
      <c r="G13" s="10" t="n">
        <v>0.267</v>
      </c>
      <c r="H13" s="10" t="n">
        <v>0.2</v>
      </c>
      <c r="I13" s="11" t="n">
        <v>0.2223</v>
      </c>
    </row>
    <row r="14" ht="17" customHeight="1">
      <c r="A14" s="4" t="inlineStr">
        <is>
          <t>NIFTY REALTY</t>
        </is>
      </c>
      <c r="B14" s="5" t="n">
        <v>10</v>
      </c>
      <c r="C14" s="5" t="n">
        <v>0</v>
      </c>
      <c r="D14" s="5" t="n">
        <v>4</v>
      </c>
      <c r="E14" s="5" t="n">
        <v>1</v>
      </c>
      <c r="F14" s="6" t="n">
        <v>0</v>
      </c>
      <c r="G14" s="6" t="n">
        <v>0.4</v>
      </c>
      <c r="H14" s="6" t="n">
        <v>0.1</v>
      </c>
      <c r="I14" s="7" t="n">
        <v>0.1667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2</v>
      </c>
      <c r="E15" s="9" t="n">
        <v>3</v>
      </c>
      <c r="F15" s="10" t="n">
        <v>0</v>
      </c>
      <c r="G15" s="10" t="n">
        <v>0.167</v>
      </c>
      <c r="H15" s="10" t="n">
        <v>0.25</v>
      </c>
      <c r="I15" s="11" t="n">
        <v>0.139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1</v>
      </c>
      <c r="E16" s="5" t="n">
        <v>3</v>
      </c>
      <c r="F16" s="6" t="n">
        <v>0</v>
      </c>
      <c r="G16" s="6" t="n">
        <v>0.083</v>
      </c>
      <c r="H16" s="6" t="n">
        <v>0.25</v>
      </c>
      <c r="I16" s="7" t="n">
        <v>0.111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3177.2</v>
      </c>
      <c r="D3" s="14" t="n">
        <v>2992.47</v>
      </c>
      <c r="E3" s="14" t="n">
        <v>2914.34</v>
      </c>
      <c r="F3" s="14" t="n">
        <v>2756.04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5486</v>
      </c>
      <c r="D4" s="14" t="n">
        <v>5483.31</v>
      </c>
      <c r="E4" s="14" t="n">
        <v>5469.33</v>
      </c>
      <c r="F4" s="14" t="n">
        <v>5433.94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1511.8</v>
      </c>
      <c r="D5" s="14" t="n">
        <v>1444.02</v>
      </c>
      <c r="E5" s="14" t="n">
        <v>1370.39</v>
      </c>
      <c r="F5" s="14" t="n">
        <v>1244.45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430.1</v>
      </c>
      <c r="D6" s="14" t="n">
        <v>384.71</v>
      </c>
      <c r="E6" s="14" t="n">
        <v>375.87</v>
      </c>
      <c r="F6" s="14" t="n">
        <v>371.5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1432.1</v>
      </c>
      <c r="D7" s="14" t="n">
        <v>1328.4</v>
      </c>
      <c r="E7" s="14" t="n">
        <v>1311.45</v>
      </c>
      <c r="F7" s="14" t="n">
        <v>1396.37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6760.5</v>
      </c>
      <c r="D8" s="14" t="n">
        <v>6570.35</v>
      </c>
      <c r="E8" s="14" t="n">
        <v>6388.6</v>
      </c>
      <c r="F8" s="14" t="n">
        <v>6318.17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DRREDDY</t>
        </is>
      </c>
      <c r="C9" s="14" t="n">
        <v>1336.7</v>
      </c>
      <c r="D9" s="14" t="n">
        <v>1290.42</v>
      </c>
      <c r="E9" s="14" t="n">
        <v>1277.5</v>
      </c>
      <c r="F9" s="14" t="n">
        <v>1261.36</v>
      </c>
      <c r="G9" s="15">
        <f>HYPERLINK("https://www.tradingview.com/chart/?symbol=NSE:DRREDDY","Chart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1868.3</v>
      </c>
      <c r="D10" s="14" t="n">
        <v>1821.45</v>
      </c>
      <c r="E10" s="14" t="n">
        <v>1780.55</v>
      </c>
      <c r="F10" s="14" t="n">
        <v>1757.67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GLENMARK</t>
        </is>
      </c>
      <c r="C11" s="14" t="n">
        <v>2325.9</v>
      </c>
      <c r="D11" s="14" t="n">
        <v>2317.74</v>
      </c>
      <c r="E11" s="14" t="n">
        <v>2240.57</v>
      </c>
      <c r="F11" s="14" t="n">
        <v>2027.52</v>
      </c>
      <c r="G11" s="15">
        <f>HYPERLINK("https://www.tradingview.com/chart/?symbol=NSE:GLENMARK","Chart 📈")</f>
        <v/>
      </c>
    </row>
    <row r="12" ht="16" customHeight="1">
      <c r="A12" s="16" t="inlineStr">
        <is>
          <t>NIFTY PHARMA</t>
        </is>
      </c>
      <c r="B12" s="13" t="inlineStr">
        <is>
          <t>GRANULES</t>
        </is>
      </c>
      <c r="C12" s="14" t="n">
        <v>736.2</v>
      </c>
      <c r="D12" s="14" t="n">
        <v>710.03</v>
      </c>
      <c r="E12" s="14" t="n">
        <v>665.8200000000001</v>
      </c>
      <c r="F12" s="14" t="n">
        <v>590.16</v>
      </c>
      <c r="G12" s="15">
        <f>HYPERLINK("https://www.tradingview.com/chart/?symbol=NSE:GRANULES","Chart 📈")</f>
        <v/>
      </c>
    </row>
    <row r="13" ht="16" customHeight="1">
      <c r="A13" s="16" t="inlineStr">
        <is>
          <t>NIFTY PHARMA</t>
        </is>
      </c>
      <c r="B13" s="13" t="inlineStr">
        <is>
          <t>IPCALAB</t>
        </is>
      </c>
      <c r="C13" s="14" t="n">
        <v>1605</v>
      </c>
      <c r="D13" s="14" t="n">
        <v>1537.14</v>
      </c>
      <c r="E13" s="14" t="n">
        <v>1517.04</v>
      </c>
      <c r="F13" s="14" t="n">
        <v>1459.08</v>
      </c>
      <c r="G13" s="15">
        <f>HYPERLINK("https://www.tradingview.com/chart/?symbol=NSE:IPCALAB","Chart 📈")</f>
        <v/>
      </c>
    </row>
    <row r="14" ht="16" customHeight="1">
      <c r="A14" s="16" t="inlineStr">
        <is>
          <t>NIFTY PHARMA</t>
        </is>
      </c>
      <c r="B14" s="13" t="inlineStr">
        <is>
          <t>JBCHEPHARM</t>
        </is>
      </c>
      <c r="C14" s="14" t="n">
        <v>2140.4</v>
      </c>
      <c r="D14" s="14" t="n">
        <v>2093.58</v>
      </c>
      <c r="E14" s="14" t="n">
        <v>2047.05</v>
      </c>
      <c r="F14" s="14" t="n">
        <v>1887.07</v>
      </c>
      <c r="G14" s="15">
        <f>HYPERLINK("https://www.tradingview.com/chart/?symbol=NSE:JBCHEPHARM","Chart 📈")</f>
        <v/>
      </c>
    </row>
    <row r="15" ht="16" customHeight="1">
      <c r="A15" s="16" t="inlineStr">
        <is>
          <t>NIFTY PHARMA</t>
        </is>
      </c>
      <c r="B15" s="13" t="inlineStr">
        <is>
          <t>LAURUSLABS</t>
        </is>
      </c>
      <c r="C15" s="14" t="n">
        <v>1323.6</v>
      </c>
      <c r="D15" s="14" t="n">
        <v>1194.89</v>
      </c>
      <c r="E15" s="14" t="n">
        <v>1122.21</v>
      </c>
      <c r="F15" s="14" t="n">
        <v>985.3200000000001</v>
      </c>
      <c r="G15" s="15">
        <f>HYPERLINK("https://www.tradingview.com/chart/?symbol=NSE:LAURUSLABS","Chart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2503</v>
      </c>
      <c r="D16" s="14" t="n">
        <v>2326.35</v>
      </c>
      <c r="E16" s="14" t="n">
        <v>2228.89</v>
      </c>
      <c r="F16" s="14" t="n">
        <v>2270.08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1199.1</v>
      </c>
      <c r="D17" s="14" t="n">
        <v>1137.37</v>
      </c>
      <c r="E17" s="14" t="n">
        <v>1068.02</v>
      </c>
      <c r="F17" s="14" t="n">
        <v>946.23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1878.2</v>
      </c>
      <c r="D18" s="14" t="n">
        <v>1804.89</v>
      </c>
      <c r="E18" s="14" t="n">
        <v>1766.47</v>
      </c>
      <c r="F18" s="14" t="n">
        <v>1722.73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4405.7</v>
      </c>
      <c r="D19" s="14" t="n">
        <v>4299.42</v>
      </c>
      <c r="E19" s="14" t="n">
        <v>4227.78</v>
      </c>
      <c r="F19" s="14" t="n">
        <v>3916.27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1011.7</v>
      </c>
      <c r="D20" s="14" t="n">
        <v>938.98</v>
      </c>
      <c r="E20" s="14" t="n">
        <v>922.34</v>
      </c>
      <c r="F20" s="14" t="n">
        <v>925.46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2716</v>
      </c>
      <c r="D21" s="18" t="n">
        <v>2434.15</v>
      </c>
      <c r="E21" s="18" t="n">
        <v>2277.05</v>
      </c>
      <c r="F21" s="18" t="n">
        <v>2280.66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1067.5</v>
      </c>
      <c r="D22" s="18" t="n">
        <v>1042.4</v>
      </c>
      <c r="E22" s="18" t="n">
        <v>999.58</v>
      </c>
      <c r="F22" s="18" t="n">
        <v>880.55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HINDCOPPER</t>
        </is>
      </c>
      <c r="C23" s="18" t="n">
        <v>570.25</v>
      </c>
      <c r="D23" s="18" t="n">
        <v>559.67</v>
      </c>
      <c r="E23" s="18" t="n">
        <v>543.7</v>
      </c>
      <c r="F23" s="18" t="n">
        <v>449.23</v>
      </c>
      <c r="G23" s="19">
        <f>HYPERLINK("https://www.tradingview.com/chart/?symbol=NSE:HINDCOPPER","Chart 📈")</f>
        <v/>
      </c>
    </row>
    <row r="24" ht="16" customHeight="1">
      <c r="A24" s="20" t="inlineStr">
        <is>
          <t>NIFTY METAL</t>
        </is>
      </c>
      <c r="B24" s="17" t="inlineStr">
        <is>
          <t>HINDZINC</t>
        </is>
      </c>
      <c r="C24" s="18" t="n">
        <v>637.8</v>
      </c>
      <c r="D24" s="18" t="n">
        <v>617.4</v>
      </c>
      <c r="E24" s="18" t="n">
        <v>591.74</v>
      </c>
      <c r="F24" s="18" t="n">
        <v>540.54</v>
      </c>
      <c r="G24" s="19">
        <f>HYPERLINK("https://www.tradingview.com/chart/?symbol=NSE:HINDZINC","Chart 📈")</f>
        <v/>
      </c>
    </row>
    <row r="25" ht="16" customHeight="1">
      <c r="A25" s="20" t="inlineStr">
        <is>
          <t>NIFTY METAL</t>
        </is>
      </c>
      <c r="B25" s="17" t="inlineStr">
        <is>
          <t>JSWSTEEL</t>
        </is>
      </c>
      <c r="C25" s="18" t="n">
        <v>1278.8</v>
      </c>
      <c r="D25" s="18" t="n">
        <v>1261.21</v>
      </c>
      <c r="E25" s="18" t="n">
        <v>1233.92</v>
      </c>
      <c r="F25" s="18" t="n">
        <v>1168.2</v>
      </c>
      <c r="G25" s="19">
        <f>HYPERLINK("https://www.tradingview.com/chart/?symbol=NSE:JSWSTEEL","Chart 📈")</f>
        <v/>
      </c>
    </row>
    <row r="26" ht="16" customHeight="1">
      <c r="A26" s="20" t="inlineStr">
        <is>
          <t>NIFTY METAL</t>
        </is>
      </c>
      <c r="B26" s="17" t="inlineStr">
        <is>
          <t>NMDC</t>
        </is>
      </c>
      <c r="C26" s="18" t="n">
        <v>91.41</v>
      </c>
      <c r="D26" s="18" t="n">
        <v>88.86</v>
      </c>
      <c r="E26" s="18" t="n">
        <v>85.64</v>
      </c>
      <c r="F26" s="18" t="n">
        <v>78.36</v>
      </c>
      <c r="G26" s="19">
        <f>HYPERLINK("https://www.tradingview.com/chart/?symbol=NSE:NMDC","Chart 📈")</f>
        <v/>
      </c>
    </row>
    <row r="27" ht="16" customHeight="1">
      <c r="A27" s="20" t="inlineStr">
        <is>
          <t>NIFTY METAL</t>
        </is>
      </c>
      <c r="B27" s="17" t="inlineStr">
        <is>
          <t>SAIL</t>
        </is>
      </c>
      <c r="C27" s="18" t="n">
        <v>192.4</v>
      </c>
      <c r="D27" s="18" t="n">
        <v>183.59</v>
      </c>
      <c r="E27" s="18" t="n">
        <v>172.42</v>
      </c>
      <c r="F27" s="18" t="n">
        <v>150.51</v>
      </c>
      <c r="G27" s="19">
        <f>HYPERLINK("https://www.tradingview.com/chart/?symbol=NSE:SAIL","Chart 📈")</f>
        <v/>
      </c>
    </row>
    <row r="28" ht="16" customHeight="1">
      <c r="A28" s="20" t="inlineStr">
        <is>
          <t>NIFTY METAL</t>
        </is>
      </c>
      <c r="B28" s="17" t="inlineStr">
        <is>
          <t>TATASTEEL</t>
        </is>
      </c>
      <c r="C28" s="18" t="n">
        <v>216.84</v>
      </c>
      <c r="D28" s="18" t="n">
        <v>213.15</v>
      </c>
      <c r="E28" s="18" t="n">
        <v>206.8</v>
      </c>
      <c r="F28" s="18" t="n">
        <v>187.3</v>
      </c>
      <c r="G28" s="19">
        <f>HYPERLINK("https://www.tradingview.com/chart/?symbol=NSE:TATASTEEL","Chart 📈")</f>
        <v/>
      </c>
    </row>
    <row r="29" ht="16" customHeight="1">
      <c r="A29" s="20" t="inlineStr">
        <is>
          <t>NIFTY METAL</t>
        </is>
      </c>
      <c r="B29" s="17" t="inlineStr">
        <is>
          <t>WELCORP</t>
        </is>
      </c>
      <c r="C29" s="18" t="n">
        <v>1309</v>
      </c>
      <c r="D29" s="18" t="n">
        <v>1237.44</v>
      </c>
      <c r="E29" s="18" t="n">
        <v>1084.48</v>
      </c>
      <c r="F29" s="18" t="n">
        <v>913.12</v>
      </c>
      <c r="G29" s="19">
        <f>HYPERLINK("https://www.tradingview.com/chart/?symbol=NSE:WELCORP","Chart 📈")</f>
        <v/>
      </c>
    </row>
    <row r="30" ht="16" customHeight="1">
      <c r="A30" s="12" t="inlineStr">
        <is>
          <t>NIFTY FMCG</t>
        </is>
      </c>
      <c r="B30" s="13" t="inlineStr">
        <is>
          <t>BALRAMCHIN</t>
        </is>
      </c>
      <c r="C30" s="14" t="n">
        <v>539.6</v>
      </c>
      <c r="D30" s="14" t="n">
        <v>523.55</v>
      </c>
      <c r="E30" s="14" t="n">
        <v>503.62</v>
      </c>
      <c r="F30" s="14" t="n">
        <v>492.94</v>
      </c>
      <c r="G30" s="15">
        <f>HYPERLINK("https://www.tradingview.com/chart/?symbol=NSE:BALRAMCHIN","Chart 📈")</f>
        <v/>
      </c>
    </row>
    <row r="31" ht="16" customHeight="1">
      <c r="A31" s="16" t="inlineStr">
        <is>
          <t>NIFTY FMCG</t>
        </is>
      </c>
      <c r="B31" s="13" t="inlineStr">
        <is>
          <t>MARICO</t>
        </is>
      </c>
      <c r="C31" s="14" t="n">
        <v>841.15</v>
      </c>
      <c r="D31" s="14" t="n">
        <v>806.51</v>
      </c>
      <c r="E31" s="14" t="n">
        <v>783.72</v>
      </c>
      <c r="F31" s="14" t="n">
        <v>751.35</v>
      </c>
      <c r="G31" s="15">
        <f>HYPERLINK("https://www.tradingview.com/chart/?symbol=NSE:MARICO","Chart 📈")</f>
        <v/>
      </c>
    </row>
    <row r="32" ht="16" customHeight="1">
      <c r="A32" s="16" t="inlineStr">
        <is>
          <t>NIFTY FMCG</t>
        </is>
      </c>
      <c r="B32" s="13" t="inlineStr">
        <is>
          <t>NESTLEIND</t>
        </is>
      </c>
      <c r="C32" s="14" t="n">
        <v>1430.5</v>
      </c>
      <c r="D32" s="14" t="n">
        <v>1424.89</v>
      </c>
      <c r="E32" s="14" t="n">
        <v>1355.37</v>
      </c>
      <c r="F32" s="14" t="n">
        <v>1272.37</v>
      </c>
      <c r="G32" s="15">
        <f>HYPERLINK("https://www.tradingview.com/chart/?symbol=NSE:NESTLEIND","Chart 📈")</f>
        <v/>
      </c>
    </row>
    <row r="33" ht="16" customHeight="1">
      <c r="A33" s="16" t="inlineStr">
        <is>
          <t>NIFTY FMCG</t>
        </is>
      </c>
      <c r="B33" s="13" t="inlineStr">
        <is>
          <t>RADICO</t>
        </is>
      </c>
      <c r="C33" s="14" t="n">
        <v>3499.2</v>
      </c>
      <c r="D33" s="14" t="n">
        <v>3332.29</v>
      </c>
      <c r="E33" s="14" t="n">
        <v>3125.77</v>
      </c>
      <c r="F33" s="14" t="n">
        <v>2954.56</v>
      </c>
      <c r="G33" s="15">
        <f>HYPERLINK("https://www.tradingview.com/chart/?symbol=NSE:RADICO","Chart 📈")</f>
        <v/>
      </c>
    </row>
    <row r="34" ht="16" customHeight="1">
      <c r="A34" s="16" t="inlineStr">
        <is>
          <t>NIFTY FMCG</t>
        </is>
      </c>
      <c r="B34" s="13" t="inlineStr">
        <is>
          <t>TATACONSUM</t>
        </is>
      </c>
      <c r="C34" s="14" t="n">
        <v>1234</v>
      </c>
      <c r="D34" s="14" t="n">
        <v>1180.64</v>
      </c>
      <c r="E34" s="14" t="n">
        <v>1147.18</v>
      </c>
      <c r="F34" s="14" t="n">
        <v>1136.43</v>
      </c>
      <c r="G34" s="15">
        <f>HYPERLINK("https://www.tradingview.com/chart/?symbol=NSE:TATACONSUM","Chart 📈")</f>
        <v/>
      </c>
    </row>
    <row r="35" ht="16" customHeight="1">
      <c r="A35" s="16" t="inlineStr">
        <is>
          <t>NIFTY FMCG</t>
        </is>
      </c>
      <c r="B35" s="13" t="inlineStr">
        <is>
          <t>VBL</t>
        </is>
      </c>
      <c r="C35" s="14" t="n">
        <v>503.8</v>
      </c>
      <c r="D35" s="14" t="n">
        <v>492.61</v>
      </c>
      <c r="E35" s="14" t="n">
        <v>471.44</v>
      </c>
      <c r="F35" s="14" t="n">
        <v>468.08</v>
      </c>
      <c r="G35" s="15">
        <f>HYPERLINK("https://www.tradingview.com/chart/?symbol=NSE:VBL","Chart 📈")</f>
        <v/>
      </c>
    </row>
    <row r="36" ht="16" customHeight="1">
      <c r="A36" s="8" t="inlineStr">
        <is>
          <t>NIFTY ENERGY</t>
        </is>
      </c>
      <c r="B36" s="17" t="inlineStr">
        <is>
          <t>ADANIGREEN</t>
        </is>
      </c>
      <c r="C36" s="18" t="n">
        <v>1379</v>
      </c>
      <c r="D36" s="18" t="n">
        <v>1277.5</v>
      </c>
      <c r="E36" s="18" t="n">
        <v>1142.6</v>
      </c>
      <c r="F36" s="18" t="n">
        <v>1028.2</v>
      </c>
      <c r="G36" s="19">
        <f>HYPERLINK("https://www.tradingview.com/chart/?symbol=NSE:ADANIGREEN","Chart 📈")</f>
        <v/>
      </c>
    </row>
    <row r="37" ht="16" customHeight="1">
      <c r="A37" s="20" t="inlineStr">
        <is>
          <t>NIFTY ENERGY</t>
        </is>
      </c>
      <c r="B37" s="17" t="inlineStr">
        <is>
          <t>ADANIPOWER</t>
        </is>
      </c>
      <c r="C37" s="18" t="n">
        <v>221.33</v>
      </c>
      <c r="D37" s="18" t="n">
        <v>213.71</v>
      </c>
      <c r="E37" s="18" t="n">
        <v>191.54</v>
      </c>
      <c r="F37" s="18" t="n">
        <v>155.73</v>
      </c>
      <c r="G37" s="19">
        <f>HYPERLINK("https://www.tradingview.com/chart/?symbol=NSE:ADANIPOWER","Chart 📈")</f>
        <v/>
      </c>
    </row>
    <row r="38" ht="16" customHeight="1">
      <c r="A38" s="20" t="inlineStr">
        <is>
          <t>NIFTY ENERGY</t>
        </is>
      </c>
      <c r="B38" s="17" t="inlineStr">
        <is>
          <t>BHEL</t>
        </is>
      </c>
      <c r="C38" s="18" t="n">
        <v>398.3</v>
      </c>
      <c r="D38" s="18" t="n">
        <v>368.84</v>
      </c>
      <c r="E38" s="18" t="n">
        <v>326.62</v>
      </c>
      <c r="F38" s="18" t="n">
        <v>279.84</v>
      </c>
      <c r="G38" s="19">
        <f>HYPERLINK("https://www.tradingview.com/chart/?symbol=NSE:BHEL","Chart 📈")</f>
        <v/>
      </c>
    </row>
    <row r="39" ht="16" customHeight="1">
      <c r="A39" s="20" t="inlineStr">
        <is>
          <t>NIFTY ENERGY</t>
        </is>
      </c>
      <c r="B39" s="17" t="inlineStr">
        <is>
          <t>CGPOWER</t>
        </is>
      </c>
      <c r="C39" s="18" t="n">
        <v>838.2</v>
      </c>
      <c r="D39" s="18" t="n">
        <v>820.59</v>
      </c>
      <c r="E39" s="18" t="n">
        <v>771.47</v>
      </c>
      <c r="F39" s="18" t="n">
        <v>712.1900000000001</v>
      </c>
      <c r="G39" s="19">
        <f>HYPERLINK("https://www.tradingview.com/chart/?symbol=NSE:CGPOWER","Chart 📈")</f>
        <v/>
      </c>
    </row>
    <row r="40" ht="16" customHeight="1">
      <c r="A40" s="20" t="inlineStr">
        <is>
          <t>NIFTY ENERGY</t>
        </is>
      </c>
      <c r="B40" s="17" t="inlineStr">
        <is>
          <t>COALINDIA</t>
        </is>
      </c>
      <c r="C40" s="18" t="n">
        <v>462.2</v>
      </c>
      <c r="D40" s="18" t="n">
        <v>461.16</v>
      </c>
      <c r="E40" s="18" t="n">
        <v>451.87</v>
      </c>
      <c r="F40" s="18" t="n">
        <v>415.87</v>
      </c>
      <c r="G40" s="19">
        <f>HYPERLINK("https://www.tradingview.com/chart/?symbol=NSE:COALINDIA","Chart 📈")</f>
        <v/>
      </c>
    </row>
    <row r="41" ht="16" customHeight="1">
      <c r="A41" s="20" t="inlineStr">
        <is>
          <t>NIFTY ENERGY</t>
        </is>
      </c>
      <c r="B41" s="17" t="inlineStr">
        <is>
          <t>JPPOWER</t>
        </is>
      </c>
      <c r="C41" s="18" t="n">
        <v>19.54</v>
      </c>
      <c r="D41" s="18" t="n">
        <v>18.58</v>
      </c>
      <c r="E41" s="18" t="n">
        <v>17.62</v>
      </c>
      <c r="F41" s="18" t="n">
        <v>17.05</v>
      </c>
      <c r="G41" s="19">
        <f>HYPERLINK("https://www.tradingview.com/chart/?symbol=NSE:JPPOWER","Chart 📈")</f>
        <v/>
      </c>
    </row>
    <row r="42" ht="16" customHeight="1">
      <c r="A42" s="20" t="inlineStr">
        <is>
          <t>NIFTY ENERGY</t>
        </is>
      </c>
      <c r="B42" s="17" t="inlineStr">
        <is>
          <t>NLCINDIA</t>
        </is>
      </c>
      <c r="C42" s="18" t="n">
        <v>352.8</v>
      </c>
      <c r="D42" s="18" t="n">
        <v>320.14</v>
      </c>
      <c r="E42" s="18" t="n">
        <v>296.82</v>
      </c>
      <c r="F42" s="18" t="n">
        <v>264.2</v>
      </c>
      <c r="G42" s="19">
        <f>HYPERLINK("https://www.tradingview.com/chart/?symbol=NSE:NLCINDIA","Chart 📈")</f>
        <v/>
      </c>
    </row>
    <row r="43" ht="16" customHeight="1">
      <c r="A43" s="20" t="inlineStr">
        <is>
          <t>NIFTY ENERGY</t>
        </is>
      </c>
      <c r="B43" s="17" t="inlineStr">
        <is>
          <t>NTPC</t>
        </is>
      </c>
      <c r="C43" s="18" t="n">
        <v>395.25</v>
      </c>
      <c r="D43" s="18" t="n">
        <v>395.08</v>
      </c>
      <c r="E43" s="18" t="n">
        <v>386.28</v>
      </c>
      <c r="F43" s="18" t="n">
        <v>357.45</v>
      </c>
      <c r="G43" s="19">
        <f>HYPERLINK("https://www.tradingview.com/chart/?symbol=NSE:NTPC","Chart 📈")</f>
        <v/>
      </c>
    </row>
    <row r="44" ht="16" customHeight="1">
      <c r="A44" s="20" t="inlineStr">
        <is>
          <t>NIFTY ENERGY</t>
        </is>
      </c>
      <c r="B44" s="17" t="inlineStr">
        <is>
          <t>POWERINDIA</t>
        </is>
      </c>
      <c r="C44" s="18" t="n">
        <v>32535</v>
      </c>
      <c r="D44" s="18" t="n">
        <v>31934.03</v>
      </c>
      <c r="E44" s="18" t="n">
        <v>28996.93</v>
      </c>
      <c r="F44" s="18" t="n">
        <v>23004.8</v>
      </c>
      <c r="G44" s="19">
        <f>HYPERLINK("https://www.tradingview.com/chart/?symbol=NSE:POWERINDIA","Chart 📈")</f>
        <v/>
      </c>
    </row>
    <row r="45" ht="16" customHeight="1">
      <c r="A45" s="20" t="inlineStr">
        <is>
          <t>NIFTY ENERGY</t>
        </is>
      </c>
      <c r="B45" s="17" t="inlineStr">
        <is>
          <t>SCHNEIDER</t>
        </is>
      </c>
      <c r="C45" s="18" t="n">
        <v>1264.3</v>
      </c>
      <c r="D45" s="18" t="n">
        <v>1223.97</v>
      </c>
      <c r="E45" s="18" t="n">
        <v>1084.51</v>
      </c>
      <c r="F45" s="18" t="n">
        <v>882.23</v>
      </c>
      <c r="G45" s="19">
        <f>HYPERLINK("https://www.tradingview.com/chart/?symbol=NSE:SCHNEIDER","Chart 📈")</f>
        <v/>
      </c>
    </row>
    <row r="46" ht="16" customHeight="1">
      <c r="A46" s="20" t="inlineStr">
        <is>
          <t>NIFTY ENERGY</t>
        </is>
      </c>
      <c r="B46" s="17" t="inlineStr">
        <is>
          <t>SUZLON</t>
        </is>
      </c>
      <c r="C46" s="18" t="n">
        <v>53.84</v>
      </c>
      <c r="D46" s="18" t="n">
        <v>52.95</v>
      </c>
      <c r="E46" s="18" t="n">
        <v>50.09</v>
      </c>
      <c r="F46" s="18" t="n">
        <v>52.07</v>
      </c>
      <c r="G46" s="19">
        <f>HYPERLINK("https://www.tradingview.com/chart/?symbol=NSE:SUZLON","Chart 📈")</f>
        <v/>
      </c>
    </row>
    <row r="47" ht="16" customHeight="1">
      <c r="A47" s="20" t="inlineStr">
        <is>
          <t>NIFTY ENERGY</t>
        </is>
      </c>
      <c r="B47" s="17" t="inlineStr">
        <is>
          <t>THERMAX</t>
        </is>
      </c>
      <c r="C47" s="18" t="n">
        <v>4500.4</v>
      </c>
      <c r="D47" s="18" t="n">
        <v>4228.76</v>
      </c>
      <c r="E47" s="18" t="n">
        <v>3836.39</v>
      </c>
      <c r="F47" s="18" t="n">
        <v>3394.45</v>
      </c>
      <c r="G47" s="19">
        <f>HYPERLINK("https://www.tradingview.com/chart/?symbol=NSE:THERMAX","Chart 📈")</f>
        <v/>
      </c>
    </row>
    <row r="48" ht="16" customHeight="1">
      <c r="A48" s="20" t="inlineStr">
        <is>
          <t>NIFTY ENERGY</t>
        </is>
      </c>
      <c r="B48" s="17" t="inlineStr">
        <is>
          <t>TRITURBINE</t>
        </is>
      </c>
      <c r="C48" s="18" t="n">
        <v>606.95</v>
      </c>
      <c r="D48" s="18" t="n">
        <v>562.02</v>
      </c>
      <c r="E48" s="18" t="n">
        <v>530.59</v>
      </c>
      <c r="F48" s="18" t="n">
        <v>528.78</v>
      </c>
      <c r="G48" s="19">
        <f>HYPERLINK("https://www.tradingview.com/chart/?symbol=NSE:TRITURBINE","Chart 📈")</f>
        <v/>
      </c>
    </row>
    <row r="49" ht="16" customHeight="1">
      <c r="A49" s="12" t="inlineStr">
        <is>
          <t>NIFTY AUTO</t>
        </is>
      </c>
      <c r="B49" s="13" t="inlineStr">
        <is>
          <t>BAJAJ-AUTO</t>
        </is>
      </c>
      <c r="C49" s="14" t="n">
        <v>10377.5</v>
      </c>
      <c r="D49" s="14" t="n">
        <v>10112.31</v>
      </c>
      <c r="E49" s="14" t="n">
        <v>9793.780000000001</v>
      </c>
      <c r="F49" s="14" t="n">
        <v>9260.309999999999</v>
      </c>
      <c r="G49" s="15">
        <f>HYPERLINK("https://www.tradingview.com/chart/?symbol=NSE:BAJAJ-AUTO","Chart 📈")</f>
        <v/>
      </c>
    </row>
    <row r="50" ht="16" customHeight="1">
      <c r="A50" s="16" t="inlineStr">
        <is>
          <t>NIFTY AUTO</t>
        </is>
      </c>
      <c r="B50" s="13" t="inlineStr">
        <is>
          <t>BHARATFORG</t>
        </is>
      </c>
      <c r="C50" s="14" t="n">
        <v>1913.1</v>
      </c>
      <c r="D50" s="14" t="n">
        <v>1899.63</v>
      </c>
      <c r="E50" s="14" t="n">
        <v>1822.19</v>
      </c>
      <c r="F50" s="14" t="n">
        <v>1563.79</v>
      </c>
      <c r="G50" s="15">
        <f>HYPERLINK("https://www.tradingview.com/chart/?symbol=NSE:BHARATFORG","Chart 📈")</f>
        <v/>
      </c>
    </row>
    <row r="51" ht="16" customHeight="1">
      <c r="A51" s="16" t="inlineStr">
        <is>
          <t>NIFTY AUTO</t>
        </is>
      </c>
      <c r="B51" s="13" t="inlineStr">
        <is>
          <t>BOSCHLTD</t>
        </is>
      </c>
      <c r="C51" s="14" t="n">
        <v>37740</v>
      </c>
      <c r="D51" s="14" t="n">
        <v>36620.51</v>
      </c>
      <c r="E51" s="14" t="n">
        <v>35703.78</v>
      </c>
      <c r="F51" s="14" t="n">
        <v>35552.44</v>
      </c>
      <c r="G51" s="15">
        <f>HYPERLINK("https://www.tradingview.com/chart/?symbol=NSE:BOSCHLTD","Chart 📈")</f>
        <v/>
      </c>
    </row>
    <row r="52" ht="16" customHeight="1">
      <c r="A52" s="16" t="inlineStr">
        <is>
          <t>NIFTY AUTO</t>
        </is>
      </c>
      <c r="B52" s="13" t="inlineStr">
        <is>
          <t>MOTHERSON</t>
        </is>
      </c>
      <c r="C52" s="14" t="n">
        <v>129.92</v>
      </c>
      <c r="D52" s="14" t="n">
        <v>125.24</v>
      </c>
      <c r="E52" s="14" t="n">
        <v>122.4</v>
      </c>
      <c r="F52" s="14" t="n">
        <v>114.43</v>
      </c>
      <c r="G52" s="15">
        <f>HYPERLINK("https://www.tradingview.com/chart/?symbol=NSE:MOTHERSON","Chart 📈")</f>
        <v/>
      </c>
    </row>
    <row r="53" ht="16" customHeight="1">
      <c r="A53" s="8" t="inlineStr">
        <is>
          <t>NIFTY MIDSMALL IT &amp; TELECOM</t>
        </is>
      </c>
      <c r="B53" s="17" t="inlineStr">
        <is>
          <t>HFCL</t>
        </is>
      </c>
      <c r="C53" s="18" t="n">
        <v>147.89</v>
      </c>
      <c r="D53" s="18" t="n">
        <v>127.24</v>
      </c>
      <c r="E53" s="18" t="n">
        <v>103.97</v>
      </c>
      <c r="F53" s="18" t="n">
        <v>83.48</v>
      </c>
      <c r="G53" s="19">
        <f>HYPERLINK("https://www.tradingview.com/chart/?symbol=NSE:HFCL","Chart 📈")</f>
        <v/>
      </c>
    </row>
    <row r="54" ht="16" customHeight="1">
      <c r="A54" s="20" t="inlineStr">
        <is>
          <t>NIFTY MIDSMALL IT &amp; TELECOM</t>
        </is>
      </c>
      <c r="B54" s="17" t="inlineStr">
        <is>
          <t>IDEA</t>
        </is>
      </c>
      <c r="C54" s="18" t="n">
        <v>12.95</v>
      </c>
      <c r="D54" s="18" t="n">
        <v>11.16</v>
      </c>
      <c r="E54" s="18" t="n">
        <v>10.47</v>
      </c>
      <c r="F54" s="18" t="n">
        <v>9.67</v>
      </c>
      <c r="G54" s="19">
        <f>HYPERLINK("https://www.tradingview.com/chart/?symbol=NSE:IDEA","Chart 📈")</f>
        <v/>
      </c>
    </row>
    <row r="55" ht="16" customHeight="1">
      <c r="A55" s="20" t="inlineStr">
        <is>
          <t>NIFTY MIDSMALL IT &amp; TELECOM</t>
        </is>
      </c>
      <c r="B55" s="17" t="inlineStr">
        <is>
          <t>INDUSTOWER</t>
        </is>
      </c>
      <c r="C55" s="18" t="n">
        <v>430.15</v>
      </c>
      <c r="D55" s="18" t="n">
        <v>413.46</v>
      </c>
      <c r="E55" s="18" t="n">
        <v>420.4</v>
      </c>
      <c r="F55" s="18" t="n">
        <v>412.4</v>
      </c>
      <c r="G55" s="19">
        <f>HYPERLINK("https://www.tradingview.com/chart/?symbol=NSE:INDUSTOWER","Chart 📈")</f>
        <v/>
      </c>
    </row>
    <row r="56" ht="16" customHeight="1">
      <c r="A56" s="20" t="inlineStr">
        <is>
          <t>NIFTY MIDSMALL IT &amp; TELECOM</t>
        </is>
      </c>
      <c r="B56" s="17" t="inlineStr">
        <is>
          <t>OFSS</t>
        </is>
      </c>
      <c r="C56" s="18" t="n">
        <v>9015</v>
      </c>
      <c r="D56" s="18" t="n">
        <v>8811.639999999999</v>
      </c>
      <c r="E56" s="18" t="n">
        <v>8086.75</v>
      </c>
      <c r="F56" s="18" t="n">
        <v>7799.51</v>
      </c>
      <c r="G56" s="19">
        <f>HYPERLINK("https://www.tradingview.com/chart/?symbol=NSE:OFSS","Chart 📈")</f>
        <v/>
      </c>
    </row>
    <row r="57" ht="16" customHeight="1">
      <c r="A57" s="20" t="inlineStr">
        <is>
          <t>NIFTY MIDSMALL IT &amp; TELECOM</t>
        </is>
      </c>
      <c r="B57" s="17" t="inlineStr">
        <is>
          <t>TATACOMM</t>
        </is>
      </c>
      <c r="C57" s="18" t="n">
        <v>1680</v>
      </c>
      <c r="D57" s="18" t="n">
        <v>1574.92</v>
      </c>
      <c r="E57" s="18" t="n">
        <v>1555.76</v>
      </c>
      <c r="F57" s="18" t="n">
        <v>1628.19</v>
      </c>
      <c r="G57" s="19">
        <f>HYPERLINK("https://www.tradingview.com/chart/?symbol=NSE:TATACOMM","Chart 📈")</f>
        <v/>
      </c>
    </row>
    <row r="58" ht="16" customHeight="1">
      <c r="A58" s="12" t="inlineStr">
        <is>
          <t>NIFTY CONSUMER DURABLES</t>
        </is>
      </c>
      <c r="B58" s="13" t="inlineStr">
        <is>
          <t>AMBER</t>
        </is>
      </c>
      <c r="C58" s="14" t="n">
        <v>8476.5</v>
      </c>
      <c r="D58" s="14" t="n">
        <v>8143.45</v>
      </c>
      <c r="E58" s="14" t="n">
        <v>7689.48</v>
      </c>
      <c r="F58" s="14" t="n">
        <v>7234.06</v>
      </c>
      <c r="G58" s="15">
        <f>HYPERLINK("https://www.tradingview.com/chart/?symbol=NSE:AMBER","Chart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CERA</t>
        </is>
      </c>
      <c r="C59" s="14" t="n">
        <v>5635.5</v>
      </c>
      <c r="D59" s="14" t="n">
        <v>5504.49</v>
      </c>
      <c r="E59" s="14" t="n">
        <v>5273.45</v>
      </c>
      <c r="F59" s="14" t="n">
        <v>5511.15</v>
      </c>
      <c r="G59" s="15">
        <f>HYPERLINK("https://www.tradingview.com/chart/?symbol=NSE:CERA","Chart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CROMPTON</t>
        </is>
      </c>
      <c r="C60" s="14" t="n">
        <v>301.95</v>
      </c>
      <c r="D60" s="14" t="n">
        <v>277.04</v>
      </c>
      <c r="E60" s="14" t="n">
        <v>264.19</v>
      </c>
      <c r="F60" s="14" t="n">
        <v>273.97</v>
      </c>
      <c r="G60" s="15">
        <f>HYPERLINK("https://www.tradingview.com/chart/?symbol=NSE:CROMPTON","Chart 📈")</f>
        <v/>
      </c>
    </row>
    <row r="61" ht="16" customHeight="1">
      <c r="A61" s="8" t="inlineStr">
        <is>
          <t>NIFTY MEDIA</t>
        </is>
      </c>
      <c r="B61" s="17" t="inlineStr">
        <is>
          <t>NAZARA</t>
        </is>
      </c>
      <c r="C61" s="18" t="n">
        <v>299.95</v>
      </c>
      <c r="D61" s="18" t="n">
        <v>268.47</v>
      </c>
      <c r="E61" s="18" t="n">
        <v>262.31</v>
      </c>
      <c r="F61" s="18" t="n">
        <v>271.61</v>
      </c>
      <c r="G61" s="19">
        <f>HYPERLINK("https://www.tradingview.com/chart/?symbol=NSE:NAZARA","Chart 📈")</f>
        <v/>
      </c>
    </row>
    <row r="62" ht="16" customHeight="1">
      <c r="A62" s="20" t="inlineStr">
        <is>
          <t>NIFTY MEDIA</t>
        </is>
      </c>
      <c r="B62" s="17" t="inlineStr">
        <is>
          <t>SAREGAMA</t>
        </is>
      </c>
      <c r="C62" s="18" t="n">
        <v>415.75</v>
      </c>
      <c r="D62" s="18" t="n">
        <v>354.18</v>
      </c>
      <c r="E62" s="18" t="n">
        <v>346.71</v>
      </c>
      <c r="F62" s="18" t="n">
        <v>390.22</v>
      </c>
      <c r="G62" s="19">
        <f>HYPERLINK("https://www.tradingview.com/chart/?symbol=NSE:SAREGAMA","Chart 📈")</f>
        <v/>
      </c>
    </row>
    <row r="63" ht="16" customHeight="1">
      <c r="A63" s="20" t="inlineStr">
        <is>
          <t>NIFTY MEDIA</t>
        </is>
      </c>
      <c r="B63" s="17" t="inlineStr">
        <is>
          <t>TIPSMUSIC</t>
        </is>
      </c>
      <c r="C63" s="18" t="n">
        <v>646.65</v>
      </c>
      <c r="D63" s="18" t="n">
        <v>629.9400000000001</v>
      </c>
      <c r="E63" s="18" t="n">
        <v>593.7</v>
      </c>
      <c r="F63" s="18" t="n">
        <v>568.6799999999999</v>
      </c>
      <c r="G63" s="19">
        <f>HYPERLINK("https://www.tradingview.com/chart/?symbol=NSE:TIPSMUSIC","Chart 📈")</f>
        <v/>
      </c>
    </row>
    <row r="64" ht="16" customHeight="1">
      <c r="A64" s="12" t="inlineStr">
        <is>
          <t>NIFTY FINANCIAL SERVICES</t>
        </is>
      </c>
      <c r="B64" s="13" t="inlineStr">
        <is>
          <t>MCX</t>
        </is>
      </c>
      <c r="C64" s="14" t="n">
        <v>3391</v>
      </c>
      <c r="D64" s="14" t="n">
        <v>3026.77</v>
      </c>
      <c r="E64" s="14" t="n">
        <v>2795.12</v>
      </c>
      <c r="F64" s="14" t="n">
        <v>2251.29</v>
      </c>
      <c r="G64" s="15">
        <f>HYPERLINK("https://www.tradingview.com/chart/?symbol=NSE:MCX","Chart 📈")</f>
        <v/>
      </c>
    </row>
    <row r="65" ht="16" customHeight="1">
      <c r="A65" s="8" t="inlineStr">
        <is>
          <t>NIFTY OIL &amp; GAS</t>
        </is>
      </c>
      <c r="B65" s="17" t="inlineStr">
        <is>
          <t>OIL</t>
        </is>
      </c>
      <c r="C65" s="18" t="n">
        <v>518.3</v>
      </c>
      <c r="D65" s="18" t="n">
        <v>483.07</v>
      </c>
      <c r="E65" s="18" t="n">
        <v>475.04</v>
      </c>
      <c r="F65" s="18" t="n">
        <v>446.3</v>
      </c>
      <c r="G65" s="19">
        <f>HYPERLINK("https://www.tradingview.com/chart/?symbol=NSE:OIL","Chart 📈")</f>
        <v/>
      </c>
    </row>
    <row r="66" ht="16" customHeight="1">
      <c r="A66" s="20" t="inlineStr">
        <is>
          <t>NIFTY OIL &amp; GAS</t>
        </is>
      </c>
      <c r="B66" s="17" t="inlineStr">
        <is>
          <t>ONGC</t>
        </is>
      </c>
      <c r="C66" s="18" t="n">
        <v>299.35</v>
      </c>
      <c r="D66" s="18" t="n">
        <v>290.3</v>
      </c>
      <c r="E66" s="18" t="n">
        <v>282.32</v>
      </c>
      <c r="F66" s="18" t="n">
        <v>257.38</v>
      </c>
      <c r="G66" s="19">
        <f>HYPERLINK("https://www.tradingview.com/chart/?symbol=NSE:ONGC","Chart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2026-05-15T17:26:34Z</dcterms:created>
  <dcterms:modified xsi:type="dcterms:W3CDTF">2026-05-15T17:26:34Z</dcterms:modified>
</cp:coreProperties>
</file>