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01-Oct-2026  17:25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5</v>
      </c>
      <c r="D4" s="5" t="n">
        <v>10</v>
      </c>
      <c r="E4" s="5" t="n">
        <v>12</v>
      </c>
      <c r="F4" s="6" t="n">
        <v>0.25</v>
      </c>
      <c r="G4" s="6" t="n">
        <v>0.5</v>
      </c>
      <c r="H4" s="6" t="n">
        <v>0.6</v>
      </c>
      <c r="I4" s="7" t="n">
        <v>0.45</v>
      </c>
    </row>
    <row r="5" ht="17" customHeight="1">
      <c r="A5" s="8" t="inlineStr">
        <is>
          <t>NIFTY MEDIA</t>
        </is>
      </c>
      <c r="B5" s="9" t="n">
        <v>10</v>
      </c>
      <c r="C5" s="9" t="n">
        <v>2</v>
      </c>
      <c r="D5" s="9" t="n">
        <v>3</v>
      </c>
      <c r="E5" s="9" t="n">
        <v>5</v>
      </c>
      <c r="F5" s="10" t="n">
        <v>0.2</v>
      </c>
      <c r="G5" s="10" t="n">
        <v>0.3</v>
      </c>
      <c r="H5" s="10" t="n">
        <v>0.5</v>
      </c>
      <c r="I5" s="11" t="n">
        <v>0.3333</v>
      </c>
    </row>
    <row r="6" ht="17" customHeight="1">
      <c r="A6" s="4" t="inlineStr">
        <is>
          <t>NIFTY REALTY</t>
        </is>
      </c>
      <c r="B6" s="5" t="n">
        <v>10</v>
      </c>
      <c r="C6" s="5" t="n">
        <v>2</v>
      </c>
      <c r="D6" s="5" t="n">
        <v>3</v>
      </c>
      <c r="E6" s="5" t="n">
        <v>5</v>
      </c>
      <c r="F6" s="6" t="n">
        <v>0.2</v>
      </c>
      <c r="G6" s="6" t="n">
        <v>0.3</v>
      </c>
      <c r="H6" s="6" t="n">
        <v>0.5</v>
      </c>
      <c r="I6" s="7" t="n">
        <v>0.3333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4</v>
      </c>
      <c r="D7" s="9" t="n">
        <v>3</v>
      </c>
      <c r="E7" s="9" t="n">
        <v>6</v>
      </c>
      <c r="F7" s="10" t="n">
        <v>0.2</v>
      </c>
      <c r="G7" s="10" t="n">
        <v>0.15</v>
      </c>
      <c r="H7" s="10" t="n">
        <v>0.3</v>
      </c>
      <c r="I7" s="11" t="n">
        <v>0.2167</v>
      </c>
    </row>
    <row r="8" ht="17" customHeight="1">
      <c r="A8" s="4" t="inlineStr">
        <is>
          <t>NIFTY OIL &amp; GAS</t>
        </is>
      </c>
      <c r="B8" s="5" t="n">
        <v>15</v>
      </c>
      <c r="C8" s="5" t="n">
        <v>2</v>
      </c>
      <c r="D8" s="5" t="n">
        <v>3</v>
      </c>
      <c r="E8" s="5" t="n">
        <v>4</v>
      </c>
      <c r="F8" s="6" t="n">
        <v>0.133</v>
      </c>
      <c r="G8" s="6" t="n">
        <v>0.2</v>
      </c>
      <c r="H8" s="6" t="n">
        <v>0.267</v>
      </c>
      <c r="I8" s="7" t="n">
        <v>0.2</v>
      </c>
    </row>
    <row r="9" ht="17" customHeight="1">
      <c r="A9" s="8" t="inlineStr">
        <is>
          <t>NIFTY METAL</t>
        </is>
      </c>
      <c r="B9" s="9" t="n">
        <v>15</v>
      </c>
      <c r="C9" s="9" t="n">
        <v>0</v>
      </c>
      <c r="D9" s="9" t="n">
        <v>2</v>
      </c>
      <c r="E9" s="9" t="n">
        <v>5</v>
      </c>
      <c r="F9" s="10" t="n">
        <v>0</v>
      </c>
      <c r="G9" s="10" t="n">
        <v>0.133</v>
      </c>
      <c r="H9" s="10" t="n">
        <v>0.333</v>
      </c>
      <c r="I9" s="11" t="n">
        <v>0.1553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2</v>
      </c>
      <c r="D10" s="5" t="n">
        <v>2</v>
      </c>
      <c r="E10" s="5" t="n">
        <v>3</v>
      </c>
      <c r="F10" s="6" t="n">
        <v>0.133</v>
      </c>
      <c r="G10" s="6" t="n">
        <v>0.133</v>
      </c>
      <c r="H10" s="6" t="n">
        <v>0.2</v>
      </c>
      <c r="I10" s="7" t="n">
        <v>0.1553</v>
      </c>
    </row>
    <row r="11" ht="17" customHeight="1">
      <c r="A11" s="8" t="inlineStr">
        <is>
          <t>NIFTY ENERGY</t>
        </is>
      </c>
      <c r="B11" s="9" t="n">
        <v>40</v>
      </c>
      <c r="C11" s="9" t="n">
        <v>2</v>
      </c>
      <c r="D11" s="9" t="n">
        <v>3</v>
      </c>
      <c r="E11" s="9" t="n">
        <v>10</v>
      </c>
      <c r="F11" s="10" t="n">
        <v>0.05</v>
      </c>
      <c r="G11" s="10" t="n">
        <v>0.075</v>
      </c>
      <c r="H11" s="10" t="n">
        <v>0.25</v>
      </c>
      <c r="I11" s="11" t="n">
        <v>0.125</v>
      </c>
    </row>
    <row r="12" ht="17" customHeight="1">
      <c r="A12" s="4" t="inlineStr">
        <is>
          <t>NIFTY AUTO</t>
        </is>
      </c>
      <c r="B12" s="5" t="n">
        <v>15</v>
      </c>
      <c r="C12" s="5" t="n">
        <v>0</v>
      </c>
      <c r="D12" s="5" t="n">
        <v>0</v>
      </c>
      <c r="E12" s="5" t="n">
        <v>5</v>
      </c>
      <c r="F12" s="6" t="n">
        <v>0</v>
      </c>
      <c r="G12" s="6" t="n">
        <v>0</v>
      </c>
      <c r="H12" s="6" t="n">
        <v>0.333</v>
      </c>
      <c r="I12" s="7" t="n">
        <v>0.111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2</v>
      </c>
      <c r="D13" s="9" t="n">
        <v>2</v>
      </c>
      <c r="E13" s="9" t="n">
        <v>2</v>
      </c>
      <c r="F13" s="10" t="n">
        <v>0.1</v>
      </c>
      <c r="G13" s="10" t="n">
        <v>0.1</v>
      </c>
      <c r="H13" s="10" t="n">
        <v>0.1</v>
      </c>
      <c r="I13" s="11" t="n">
        <v>0.1</v>
      </c>
    </row>
    <row r="14" ht="17" customHeight="1">
      <c r="A14" s="4" t="inlineStr">
        <is>
          <t>NIFTY FMCG</t>
        </is>
      </c>
      <c r="B14" s="5" t="n">
        <v>15</v>
      </c>
      <c r="C14" s="5" t="n">
        <v>1</v>
      </c>
      <c r="D14" s="5" t="n">
        <v>0</v>
      </c>
      <c r="E14" s="5" t="n">
        <v>2</v>
      </c>
      <c r="F14" s="6" t="n">
        <v>0.067</v>
      </c>
      <c r="G14" s="6" t="n">
        <v>0</v>
      </c>
      <c r="H14" s="6" t="n">
        <v>0.133</v>
      </c>
      <c r="I14" s="7" t="n">
        <v>0.0667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0</v>
      </c>
      <c r="E15" s="9" t="n">
        <v>2</v>
      </c>
      <c r="F15" s="10" t="n">
        <v>0</v>
      </c>
      <c r="G15" s="10" t="n">
        <v>0</v>
      </c>
      <c r="H15" s="10" t="n">
        <v>0.167</v>
      </c>
      <c r="I15" s="11" t="n">
        <v>0.0557</v>
      </c>
    </row>
    <row r="16" ht="17" customHeight="1">
      <c r="A16" s="4" t="inlineStr">
        <is>
          <t>NIFTY IT</t>
        </is>
      </c>
      <c r="B16" s="5" t="n">
        <v>10</v>
      </c>
      <c r="C16" s="5" t="n">
        <v>0</v>
      </c>
      <c r="D16" s="5" t="n">
        <v>0</v>
      </c>
      <c r="E16" s="5" t="n">
        <v>1</v>
      </c>
      <c r="F16" s="6" t="n">
        <v>0</v>
      </c>
      <c r="G16" s="6" t="n">
        <v>0</v>
      </c>
      <c r="H16" s="6" t="n">
        <v>0.1</v>
      </c>
      <c r="I16" s="7" t="n">
        <v>0.0333</v>
      </c>
    </row>
    <row r="17" ht="17" customHeight="1">
      <c r="A17" s="8" t="inlineStr">
        <is>
          <t>NIFTY PSU BANK</t>
        </is>
      </c>
      <c r="B17" s="9" t="n">
        <v>12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0.083</v>
      </c>
      <c r="I17" s="11" t="n">
        <v>0.0277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26840</v>
      </c>
      <c r="D3" s="14" t="n">
        <v>26667.21</v>
      </c>
      <c r="E3" s="14" t="n">
        <v>26597.54</v>
      </c>
      <c r="F3" s="14" t="n">
        <v>26777.14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3581</v>
      </c>
      <c r="D4" s="14" t="n">
        <v>3548.93</v>
      </c>
      <c r="E4" s="14" t="n">
        <v>3497.3</v>
      </c>
      <c r="F4" s="14" t="n">
        <v>3139.88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LAURUSLABS</t>
        </is>
      </c>
      <c r="C5" s="14" t="n">
        <v>1984</v>
      </c>
      <c r="D5" s="14" t="n">
        <v>1961.42</v>
      </c>
      <c r="E5" s="14" t="n">
        <v>1857.88</v>
      </c>
      <c r="F5" s="14" t="n">
        <v>1464.92</v>
      </c>
      <c r="G5" s="15">
        <f>HYPERLINK("https://www.tradingview.com/chart/?symbol=NSE:LAURUSLABS","Chart 📈")</f>
        <v/>
      </c>
    </row>
    <row r="6" ht="16" customHeight="1">
      <c r="A6" s="16" t="inlineStr">
        <is>
          <t>NIFTY PHARMA</t>
        </is>
      </c>
      <c r="B6" s="13" t="inlineStr">
        <is>
          <t>MANKIND</t>
        </is>
      </c>
      <c r="C6" s="14" t="n">
        <v>2535</v>
      </c>
      <c r="D6" s="14" t="n">
        <v>2424.26</v>
      </c>
      <c r="E6" s="14" t="n">
        <v>2410.96</v>
      </c>
      <c r="F6" s="14" t="n">
        <v>2363.75</v>
      </c>
      <c r="G6" s="15">
        <f>HYPERLINK("https://www.tradingview.com/chart/?symbol=NSE:MANKIND","Chart 📈")</f>
        <v/>
      </c>
    </row>
    <row r="7" ht="16" customHeight="1">
      <c r="A7" s="8" t="inlineStr">
        <is>
          <t>NIFTY MEDIA</t>
        </is>
      </c>
      <c r="B7" s="17" t="inlineStr">
        <is>
          <t>NAZARA</t>
        </is>
      </c>
      <c r="C7" s="18" t="n">
        <v>384.7</v>
      </c>
      <c r="D7" s="18" t="n">
        <v>373.18</v>
      </c>
      <c r="E7" s="18" t="n">
        <v>356.18</v>
      </c>
      <c r="F7" s="18" t="n">
        <v>308.99</v>
      </c>
      <c r="G7" s="19">
        <f>HYPERLINK("https://www.tradingview.com/chart/?symbol=NSE:NAZARA","Chart 📈")</f>
        <v/>
      </c>
    </row>
    <row r="8" ht="16" customHeight="1">
      <c r="A8" s="20" t="inlineStr">
        <is>
          <t>NIFTY MEDIA</t>
        </is>
      </c>
      <c r="B8" s="17" t="inlineStr">
        <is>
          <t>SUNTV</t>
        </is>
      </c>
      <c r="C8" s="18" t="n">
        <v>599.9</v>
      </c>
      <c r="D8" s="18" t="n">
        <v>509.03</v>
      </c>
      <c r="E8" s="18" t="n">
        <v>494.33</v>
      </c>
      <c r="F8" s="18" t="n">
        <v>523.01</v>
      </c>
      <c r="G8" s="19">
        <f>HYPERLINK("https://www.tradingview.com/chart/?symbol=NSE:SUNTV","Chart 📈")</f>
        <v/>
      </c>
    </row>
    <row r="9" ht="16" customHeight="1">
      <c r="A9" s="12" t="inlineStr">
        <is>
          <t>NIFTY REALTY</t>
        </is>
      </c>
      <c r="B9" s="13" t="inlineStr">
        <is>
          <t>PHOENIXLTD</t>
        </is>
      </c>
      <c r="C9" s="14" t="n">
        <v>1930</v>
      </c>
      <c r="D9" s="14" t="n">
        <v>1926.05</v>
      </c>
      <c r="E9" s="14" t="n">
        <v>1921.83</v>
      </c>
      <c r="F9" s="14" t="n">
        <v>1831.61</v>
      </c>
      <c r="G9" s="15">
        <f>HYPERLINK("https://www.tradingview.com/chart/?symbol=NSE:PHOENIXLTD","Chart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1197.2</v>
      </c>
      <c r="D10" s="14" t="n">
        <v>1037.14</v>
      </c>
      <c r="E10" s="14" t="n">
        <v>857.49</v>
      </c>
      <c r="F10" s="14" t="n">
        <v>629.26</v>
      </c>
      <c r="G10" s="15">
        <f>HYPERLINK("https://www.tradingview.com/chart/?symbol=NSE:RAYMOND","Chart 📈")</f>
        <v/>
      </c>
    </row>
    <row r="11" ht="16" customHeight="1">
      <c r="A11" s="8" t="inlineStr">
        <is>
          <t>NIFTY MIDSMALL IT &amp; TELECOM</t>
        </is>
      </c>
      <c r="B11" s="17" t="inlineStr">
        <is>
          <t>COFORGE</t>
        </is>
      </c>
      <c r="C11" s="18" t="n">
        <v>1826</v>
      </c>
      <c r="D11" s="18" t="n">
        <v>1808.7</v>
      </c>
      <c r="E11" s="18" t="n">
        <v>1773.21</v>
      </c>
      <c r="F11" s="18" t="n">
        <v>1602.42</v>
      </c>
      <c r="G11" s="19">
        <f>HYPERLINK("https://www.tradingview.com/chart/?symbol=NSE:COFORGE","Chart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CYIENT</t>
        </is>
      </c>
      <c r="C12" s="18" t="n">
        <v>1104.6</v>
      </c>
      <c r="D12" s="18" t="n">
        <v>1067.93</v>
      </c>
      <c r="E12" s="18" t="n">
        <v>1012.15</v>
      </c>
      <c r="F12" s="18" t="n">
        <v>979.35</v>
      </c>
      <c r="G12" s="19">
        <f>HYPERLINK("https://www.tradingview.com/chart/?symbol=NSE:CYIENT","Chart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HFCL</t>
        </is>
      </c>
      <c r="C13" s="18" t="n">
        <v>238.36</v>
      </c>
      <c r="D13" s="18" t="n">
        <v>222.49</v>
      </c>
      <c r="E13" s="18" t="n">
        <v>218.67</v>
      </c>
      <c r="F13" s="18" t="n">
        <v>163.6</v>
      </c>
      <c r="G13" s="19">
        <f>HYPERLINK("https://www.tradingview.com/chart/?symbol=NSE:HFCL","Chart 📈")</f>
        <v/>
      </c>
    </row>
    <row r="14" ht="16" customHeight="1">
      <c r="A14" s="12" t="inlineStr">
        <is>
          <t>NIFTY OIL &amp; GAS</t>
        </is>
      </c>
      <c r="B14" s="13" t="inlineStr">
        <is>
          <t>AEGISLOG</t>
        </is>
      </c>
      <c r="C14" s="14" t="n">
        <v>1401.1</v>
      </c>
      <c r="D14" s="14" t="n">
        <v>1355.87</v>
      </c>
      <c r="E14" s="14" t="n">
        <v>1306.16</v>
      </c>
      <c r="F14" s="14" t="n">
        <v>1037.77</v>
      </c>
      <c r="G14" s="15">
        <f>HYPERLINK("https://www.tradingview.com/chart/?symbol=NSE:AEGISLOG","Chart 📈")</f>
        <v/>
      </c>
    </row>
    <row r="15" ht="16" customHeight="1">
      <c r="A15" s="16" t="inlineStr">
        <is>
          <t>NIFTY OIL &amp; GAS</t>
        </is>
      </c>
      <c r="B15" s="13" t="inlineStr">
        <is>
          <t>CASTROLIND</t>
        </is>
      </c>
      <c r="C15" s="14" t="n">
        <v>199.04</v>
      </c>
      <c r="D15" s="14" t="n">
        <v>194.39</v>
      </c>
      <c r="E15" s="14" t="n">
        <v>189.35</v>
      </c>
      <c r="F15" s="14" t="n">
        <v>182.9</v>
      </c>
      <c r="G15" s="15">
        <f>HYPERLINK("https://www.tradingview.com/chart/?symbol=NSE:CASTROLIND","Chart 📈")</f>
        <v/>
      </c>
    </row>
    <row r="16" ht="16" customHeight="1">
      <c r="A16" s="8" t="inlineStr">
        <is>
          <t>NIFTY CONSUMER DURABLES</t>
        </is>
      </c>
      <c r="B16" s="17" t="inlineStr">
        <is>
          <t>KAJARIACER</t>
        </is>
      </c>
      <c r="C16" s="18" t="n">
        <v>1225.1</v>
      </c>
      <c r="D16" s="18" t="n">
        <v>1213.95</v>
      </c>
      <c r="E16" s="18" t="n">
        <v>1207.14</v>
      </c>
      <c r="F16" s="18" t="n">
        <v>1145.56</v>
      </c>
      <c r="G16" s="19">
        <f>HYPERLINK("https://www.tradingview.com/chart/?symbol=NSE:KAJARIACER","Chart 📈")</f>
        <v/>
      </c>
    </row>
    <row r="17" ht="16" customHeight="1">
      <c r="A17" s="12" t="inlineStr">
        <is>
          <t>NIFTY ENERGY</t>
        </is>
      </c>
      <c r="B17" s="13" t="inlineStr">
        <is>
          <t>COALINDIA</t>
        </is>
      </c>
      <c r="C17" s="14" t="n">
        <v>420.4</v>
      </c>
      <c r="D17" s="14" t="n">
        <v>420.03</v>
      </c>
      <c r="E17" s="14" t="n">
        <v>417.57</v>
      </c>
      <c r="F17" s="14" t="n">
        <v>414.98</v>
      </c>
      <c r="G17" s="15">
        <f>HYPERLINK("https://www.tradingview.com/chart/?symbol=NSE:COALINDIA","Chart 📈")</f>
        <v/>
      </c>
    </row>
    <row r="18" ht="16" customHeight="1">
      <c r="A18" s="16" t="inlineStr">
        <is>
          <t>NIFTY ENERGY</t>
        </is>
      </c>
      <c r="B18" s="13" t="inlineStr">
        <is>
          <t>SCHNEIDER</t>
        </is>
      </c>
      <c r="C18" s="14" t="n">
        <v>1275.4</v>
      </c>
      <c r="D18" s="14" t="n">
        <v>1219.82</v>
      </c>
      <c r="E18" s="14" t="n">
        <v>1242.36</v>
      </c>
      <c r="F18" s="14" t="n">
        <v>1134.48</v>
      </c>
      <c r="G18" s="15">
        <f>HYPERLINK("https://www.tradingview.com/chart/?symbol=NSE:SCHNEIDER","Chart 📈")</f>
        <v/>
      </c>
    </row>
    <row r="19" ht="16" customHeight="1">
      <c r="A19" s="8" t="inlineStr">
        <is>
          <t>NIFTY FINANCIAL SERVICES</t>
        </is>
      </c>
      <c r="B19" s="17" t="inlineStr">
        <is>
          <t>KOTAKBANK</t>
        </is>
      </c>
      <c r="C19" s="18" t="n">
        <v>418.35</v>
      </c>
      <c r="D19" s="18" t="n">
        <v>411.77</v>
      </c>
      <c r="E19" s="18" t="n">
        <v>406.67</v>
      </c>
      <c r="F19" s="18" t="n">
        <v>400.93</v>
      </c>
      <c r="G19" s="19">
        <f>HYPERLINK("https://www.tradingview.com/chart/?symbol=NSE:KOTAKBANK","Chart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2026-10-01T17:25:54Z</dcterms:created>
  <dcterms:modified xmlns:dcterms="http://purl.org/dc/terms/" xmlns:xsi="http://www.w3.org/2001/XMLSchema-instance" xsi:type="dcterms:W3CDTF">2026-10-01T17:25:54Z</dcterms:modified>
</cp:coreProperties>
</file>