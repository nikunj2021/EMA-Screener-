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24-Jun-2026  13:30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6</v>
      </c>
      <c r="F4" s="6" t="n">
        <v>1</v>
      </c>
      <c r="G4" s="6" t="n">
        <v>1</v>
      </c>
      <c r="H4" s="6" t="n">
        <v>0.6</v>
      </c>
      <c r="I4" s="7" t="n">
        <v>0.8667</v>
      </c>
    </row>
    <row r="5" ht="17" customHeight="1">
      <c r="A5" s="8" t="inlineStr">
        <is>
          <t>NIFTY PHARMA</t>
        </is>
      </c>
      <c r="B5" s="9" t="n">
        <v>20</v>
      </c>
      <c r="C5" s="9" t="n">
        <v>17</v>
      </c>
      <c r="D5" s="9" t="n">
        <v>17</v>
      </c>
      <c r="E5" s="9" t="n">
        <v>18</v>
      </c>
      <c r="F5" s="10" t="n">
        <v>0.85</v>
      </c>
      <c r="G5" s="10" t="n">
        <v>0.85</v>
      </c>
      <c r="H5" s="10" t="n">
        <v>0.9</v>
      </c>
      <c r="I5" s="11" t="n">
        <v>0.8667</v>
      </c>
    </row>
    <row r="6" ht="17" customHeight="1">
      <c r="A6" s="4" t="inlineStr">
        <is>
          <t>NIFTY PSU BANK</t>
        </is>
      </c>
      <c r="B6" s="5" t="n">
        <v>12</v>
      </c>
      <c r="C6" s="5" t="n">
        <v>10</v>
      </c>
      <c r="D6" s="5" t="n">
        <v>9</v>
      </c>
      <c r="E6" s="5" t="n">
        <v>6</v>
      </c>
      <c r="F6" s="6" t="n">
        <v>0.833</v>
      </c>
      <c r="G6" s="6" t="n">
        <v>0.75</v>
      </c>
      <c r="H6" s="6" t="n">
        <v>0.5</v>
      </c>
      <c r="I6" s="7" t="n">
        <v>0.6943</v>
      </c>
    </row>
    <row r="7" ht="17" customHeight="1">
      <c r="A7" s="8" t="inlineStr">
        <is>
          <t>NIFTY MEDIA</t>
        </is>
      </c>
      <c r="B7" s="9" t="n">
        <v>10</v>
      </c>
      <c r="C7" s="9" t="n">
        <v>7</v>
      </c>
      <c r="D7" s="9" t="n">
        <v>8</v>
      </c>
      <c r="E7" s="9" t="n">
        <v>5</v>
      </c>
      <c r="F7" s="10" t="n">
        <v>0.7</v>
      </c>
      <c r="G7" s="10" t="n">
        <v>0.8</v>
      </c>
      <c r="H7" s="10" t="n">
        <v>0.5</v>
      </c>
      <c r="I7" s="11" t="n">
        <v>0.6667000000000001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14</v>
      </c>
      <c r="D8" s="5" t="n">
        <v>13</v>
      </c>
      <c r="E8" s="5" t="n">
        <v>11</v>
      </c>
      <c r="F8" s="6" t="n">
        <v>0.7</v>
      </c>
      <c r="G8" s="6" t="n">
        <v>0.65</v>
      </c>
      <c r="H8" s="6" t="n">
        <v>0.55</v>
      </c>
      <c r="I8" s="7" t="n">
        <v>0.6333</v>
      </c>
    </row>
    <row r="9" ht="17" customHeight="1">
      <c r="A9" s="8" t="inlineStr">
        <is>
          <t>NIFTY OIL &amp; GAS</t>
        </is>
      </c>
      <c r="B9" s="9" t="n">
        <v>15</v>
      </c>
      <c r="C9" s="9" t="n">
        <v>10</v>
      </c>
      <c r="D9" s="9" t="n">
        <v>10</v>
      </c>
      <c r="E9" s="9" t="n">
        <v>7</v>
      </c>
      <c r="F9" s="10" t="n">
        <v>0.667</v>
      </c>
      <c r="G9" s="10" t="n">
        <v>0.667</v>
      </c>
      <c r="H9" s="10" t="n">
        <v>0.467</v>
      </c>
      <c r="I9" s="11" t="n">
        <v>0.6003000000000001</v>
      </c>
    </row>
    <row r="10" ht="17" customHeight="1">
      <c r="A10" s="4" t="inlineStr">
        <is>
          <t>NIFTY AUTO</t>
        </is>
      </c>
      <c r="B10" s="5" t="n">
        <v>15</v>
      </c>
      <c r="C10" s="5" t="n">
        <v>10</v>
      </c>
      <c r="D10" s="5" t="n">
        <v>8</v>
      </c>
      <c r="E10" s="5" t="n">
        <v>6</v>
      </c>
      <c r="F10" s="6" t="n">
        <v>0.667</v>
      </c>
      <c r="G10" s="6" t="n">
        <v>0.5329999999999999</v>
      </c>
      <c r="H10" s="6" t="n">
        <v>0.4</v>
      </c>
      <c r="I10" s="7" t="n">
        <v>0.5333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12</v>
      </c>
      <c r="D11" s="9" t="n">
        <v>8</v>
      </c>
      <c r="E11" s="9" t="n">
        <v>4</v>
      </c>
      <c r="F11" s="10" t="n">
        <v>0.8</v>
      </c>
      <c r="G11" s="10" t="n">
        <v>0.5329999999999999</v>
      </c>
      <c r="H11" s="10" t="n">
        <v>0.267</v>
      </c>
      <c r="I11" s="11" t="n">
        <v>0.5333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10</v>
      </c>
      <c r="D12" s="5" t="n">
        <v>10</v>
      </c>
      <c r="E12" s="5" t="n">
        <v>7</v>
      </c>
      <c r="F12" s="6" t="n">
        <v>0.5</v>
      </c>
      <c r="G12" s="6" t="n">
        <v>0.5</v>
      </c>
      <c r="H12" s="6" t="n">
        <v>0.35</v>
      </c>
      <c r="I12" s="7" t="n">
        <v>0.45</v>
      </c>
    </row>
    <row r="13" ht="17" customHeight="1">
      <c r="A13" s="8" t="inlineStr">
        <is>
          <t>NIFTY ENERGY</t>
        </is>
      </c>
      <c r="B13" s="9" t="n">
        <v>40</v>
      </c>
      <c r="C13" s="9" t="n">
        <v>13</v>
      </c>
      <c r="D13" s="9" t="n">
        <v>15</v>
      </c>
      <c r="E13" s="9" t="n">
        <v>21</v>
      </c>
      <c r="F13" s="10" t="n">
        <v>0.325</v>
      </c>
      <c r="G13" s="10" t="n">
        <v>0.375</v>
      </c>
      <c r="H13" s="10" t="n">
        <v>0.525</v>
      </c>
      <c r="I13" s="11" t="n">
        <v>0.4083</v>
      </c>
    </row>
    <row r="14" ht="17" customHeight="1">
      <c r="A14" s="4" t="inlineStr">
        <is>
          <t>NIFTY FMCG</t>
        </is>
      </c>
      <c r="B14" s="5" t="n">
        <v>15</v>
      </c>
      <c r="C14" s="5" t="n">
        <v>7</v>
      </c>
      <c r="D14" s="5" t="n">
        <v>4</v>
      </c>
      <c r="E14" s="5" t="n">
        <v>6</v>
      </c>
      <c r="F14" s="6" t="n">
        <v>0.467</v>
      </c>
      <c r="G14" s="6" t="n">
        <v>0.267</v>
      </c>
      <c r="H14" s="6" t="n">
        <v>0.4</v>
      </c>
      <c r="I14" s="7" t="n">
        <v>0.3779999999999999</v>
      </c>
    </row>
    <row r="15" ht="17" customHeight="1">
      <c r="A15" s="8" t="inlineStr">
        <is>
          <t>NIFTY METAL</t>
        </is>
      </c>
      <c r="B15" s="9" t="n">
        <v>15</v>
      </c>
      <c r="C15" s="9" t="n">
        <v>3</v>
      </c>
      <c r="D15" s="9" t="n">
        <v>3</v>
      </c>
      <c r="E15" s="9" t="n">
        <v>10</v>
      </c>
      <c r="F15" s="10" t="n">
        <v>0.2</v>
      </c>
      <c r="G15" s="10" t="n">
        <v>0.2</v>
      </c>
      <c r="H15" s="10" t="n">
        <v>0.667</v>
      </c>
      <c r="I15" s="11" t="n">
        <v>0.3557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MAHLIFE</t>
        </is>
      </c>
      <c r="C3" s="14" t="n">
        <v>361.15</v>
      </c>
      <c r="D3" s="14" t="n">
        <v>343.56</v>
      </c>
      <c r="E3" s="14" t="n">
        <v>339.99</v>
      </c>
      <c r="F3" s="14" t="n">
        <v>353.66</v>
      </c>
      <c r="G3" s="15">
        <f>HYPERLINK("https://www.tradingview.com/chart/?symbol=NSE:MAHLIFE","Chart 📈")</f>
        <v/>
      </c>
    </row>
    <row r="4" ht="16" customHeight="1">
      <c r="A4" s="16" t="inlineStr">
        <is>
          <t>NIFTY REALTY</t>
        </is>
      </c>
      <c r="B4" s="13" t="inlineStr">
        <is>
          <t>OBEROIRLTY</t>
        </is>
      </c>
      <c r="C4" s="14" t="n">
        <v>1753.1</v>
      </c>
      <c r="D4" s="14" t="n">
        <v>1673.41</v>
      </c>
      <c r="E4" s="14" t="n">
        <v>1649.47</v>
      </c>
      <c r="F4" s="14" t="n">
        <v>1655.42</v>
      </c>
      <c r="G4" s="15">
        <f>HYPERLINK("https://www.tradingview.com/chart/?symbol=NSE:OBEROIRLTY","Chart 📈")</f>
        <v/>
      </c>
    </row>
    <row r="5" ht="16" customHeight="1">
      <c r="A5" s="16" t="inlineStr">
        <is>
          <t>NIFTY REALTY</t>
        </is>
      </c>
      <c r="B5" s="13" t="inlineStr">
        <is>
          <t>PHOENIXLTD</t>
        </is>
      </c>
      <c r="C5" s="14" t="n">
        <v>1912.3</v>
      </c>
      <c r="D5" s="14" t="n">
        <v>1818.17</v>
      </c>
      <c r="E5" s="14" t="n">
        <v>1776.98</v>
      </c>
      <c r="F5" s="14" t="n">
        <v>1712.55</v>
      </c>
      <c r="G5" s="15">
        <f>HYPERLINK("https://www.tradingview.com/chart/?symbol=NSE:PHOENIXLTD","Chart 📈")</f>
        <v/>
      </c>
    </row>
    <row r="6" ht="16" customHeight="1">
      <c r="A6" s="16" t="inlineStr">
        <is>
          <t>NIFTY REALTY</t>
        </is>
      </c>
      <c r="B6" s="13" t="inlineStr">
        <is>
          <t>PRESTIGE</t>
        </is>
      </c>
      <c r="C6" s="14" t="n">
        <v>1541.1</v>
      </c>
      <c r="D6" s="14" t="n">
        <v>1449.04</v>
      </c>
      <c r="E6" s="14" t="n">
        <v>1412.83</v>
      </c>
      <c r="F6" s="14" t="n">
        <v>1482.86</v>
      </c>
      <c r="G6" s="15">
        <f>HYPERLINK("https://www.tradingview.com/chart/?symbol=NSE:PRESTIGE","Chart 📈")</f>
        <v/>
      </c>
    </row>
    <row r="7" ht="16" customHeight="1">
      <c r="A7" s="16" t="inlineStr">
        <is>
          <t>NIFTY REALTY</t>
        </is>
      </c>
      <c r="B7" s="13" t="inlineStr">
        <is>
          <t>RAYMOND</t>
        </is>
      </c>
      <c r="C7" s="14" t="n">
        <v>606.25</v>
      </c>
      <c r="D7" s="14" t="n">
        <v>564.85</v>
      </c>
      <c r="E7" s="14" t="n">
        <v>518.49</v>
      </c>
      <c r="F7" s="14" t="n">
        <v>493.25</v>
      </c>
      <c r="G7" s="15">
        <f>HYPERLINK("https://www.tradingview.com/chart/?symbol=NSE:RAYMOND","Chart 📈")</f>
        <v/>
      </c>
    </row>
    <row r="8" ht="16" customHeight="1">
      <c r="A8" s="16" t="inlineStr">
        <is>
          <t>NIFTY REALTY</t>
        </is>
      </c>
      <c r="B8" s="13" t="inlineStr">
        <is>
          <t>SOBHA</t>
        </is>
      </c>
      <c r="C8" s="14" t="n">
        <v>1428.1</v>
      </c>
      <c r="D8" s="14" t="n">
        <v>1384.84</v>
      </c>
      <c r="E8" s="14" t="n">
        <v>1379.11</v>
      </c>
      <c r="F8" s="14" t="n">
        <v>1426.25</v>
      </c>
      <c r="G8" s="15">
        <f>HYPERLINK("https://www.tradingview.com/chart/?symbol=NSE:SOBHA","Chart 📈")</f>
        <v/>
      </c>
    </row>
    <row r="9" ht="16" customHeight="1">
      <c r="A9" s="8" t="inlineStr">
        <is>
          <t>NIFTY PHARMA</t>
        </is>
      </c>
      <c r="B9" s="17" t="inlineStr">
        <is>
          <t>AJANTPHARM</t>
        </is>
      </c>
      <c r="C9" s="18" t="n">
        <v>3255.7</v>
      </c>
      <c r="D9" s="18" t="n">
        <v>3090.99</v>
      </c>
      <c r="E9" s="18" t="n">
        <v>3025.52</v>
      </c>
      <c r="F9" s="18" t="n">
        <v>2831.19</v>
      </c>
      <c r="G9" s="19">
        <f>HYPERLINK("https://www.tradingview.com/chart/?symbol=NSE:AJANTPHARM","Chart 📈")</f>
        <v/>
      </c>
    </row>
    <row r="10" ht="16" customHeight="1">
      <c r="A10" s="20" t="inlineStr">
        <is>
          <t>NIFTY PHARMA</t>
        </is>
      </c>
      <c r="B10" s="17" t="inlineStr">
        <is>
          <t>ALKEM</t>
        </is>
      </c>
      <c r="C10" s="18" t="n">
        <v>5428.5</v>
      </c>
      <c r="D10" s="18" t="n">
        <v>5370.5</v>
      </c>
      <c r="E10" s="18" t="n">
        <v>5399.01</v>
      </c>
      <c r="F10" s="18" t="n">
        <v>5385.09</v>
      </c>
      <c r="G10" s="19">
        <f>HYPERLINK("https://www.tradingview.com/chart/?symbol=NSE:ALKEM","Chart 📈")</f>
        <v/>
      </c>
    </row>
    <row r="11" ht="16" customHeight="1">
      <c r="A11" s="20" t="inlineStr">
        <is>
          <t>NIFTY PHARMA</t>
        </is>
      </c>
      <c r="B11" s="17" t="inlineStr">
        <is>
          <t>AUROPHARMA</t>
        </is>
      </c>
      <c r="C11" s="18" t="n">
        <v>1530.6</v>
      </c>
      <c r="D11" s="18" t="n">
        <v>1467.55</v>
      </c>
      <c r="E11" s="18" t="n">
        <v>1433.83</v>
      </c>
      <c r="F11" s="18" t="n">
        <v>1290.03</v>
      </c>
      <c r="G11" s="19">
        <f>HYPERLINK("https://www.tradingview.com/chart/?symbol=NSE:AUROPHARMA","Chart 📈")</f>
        <v/>
      </c>
    </row>
    <row r="12" ht="16" customHeight="1">
      <c r="A12" s="20" t="inlineStr">
        <is>
          <t>NIFTY PHARMA</t>
        </is>
      </c>
      <c r="B12" s="17" t="inlineStr">
        <is>
          <t>BIOCON</t>
        </is>
      </c>
      <c r="C12" s="18" t="n">
        <v>420.65</v>
      </c>
      <c r="D12" s="18" t="n">
        <v>416.65</v>
      </c>
      <c r="E12" s="18" t="n">
        <v>405.66</v>
      </c>
      <c r="F12" s="18" t="n">
        <v>384.45</v>
      </c>
      <c r="G12" s="19">
        <f>HYPERLINK("https://www.tradingview.com/chart/?symbol=NSE:BIOCON","Chart 📈")</f>
        <v/>
      </c>
    </row>
    <row r="13" ht="16" customHeight="1">
      <c r="A13" s="20" t="inlineStr">
        <is>
          <t>NIFTY PHARMA</t>
        </is>
      </c>
      <c r="B13" s="17" t="inlineStr">
        <is>
          <t>CIPLA</t>
        </is>
      </c>
      <c r="C13" s="18" t="n">
        <v>1437.9</v>
      </c>
      <c r="D13" s="18" t="n">
        <v>1385.83</v>
      </c>
      <c r="E13" s="18" t="n">
        <v>1359.41</v>
      </c>
      <c r="F13" s="18" t="n">
        <v>1384.88</v>
      </c>
      <c r="G13" s="19">
        <f>HYPERLINK("https://www.tradingview.com/chart/?symbol=NSE:CIPLA","Chart 📈")</f>
        <v/>
      </c>
    </row>
    <row r="14" ht="16" customHeight="1">
      <c r="A14" s="20" t="inlineStr">
        <is>
          <t>NIFTY PHARMA</t>
        </is>
      </c>
      <c r="B14" s="17" t="inlineStr">
        <is>
          <t>DIVISLAB</t>
        </is>
      </c>
      <c r="C14" s="18" t="n">
        <v>6753.5</v>
      </c>
      <c r="D14" s="18" t="n">
        <v>6697.2</v>
      </c>
      <c r="E14" s="18" t="n">
        <v>6602.46</v>
      </c>
      <c r="F14" s="18" t="n">
        <v>6435.96</v>
      </c>
      <c r="G14" s="19">
        <f>HYPERLINK("https://www.tradingview.com/chart/?symbol=NSE:DIVISLAB","Chart 📈")</f>
        <v/>
      </c>
    </row>
    <row r="15" ht="16" customHeight="1">
      <c r="A15" s="20" t="inlineStr">
        <is>
          <t>NIFTY PHARMA</t>
        </is>
      </c>
      <c r="B15" s="17" t="inlineStr">
        <is>
          <t>DRREDDY</t>
        </is>
      </c>
      <c r="C15" s="18" t="n">
        <v>1328.4</v>
      </c>
      <c r="D15" s="18" t="n">
        <v>1288.13</v>
      </c>
      <c r="E15" s="18" t="n">
        <v>1286.22</v>
      </c>
      <c r="F15" s="18" t="n">
        <v>1276.41</v>
      </c>
      <c r="G15" s="19">
        <f>HYPERLINK("https://www.tradingview.com/chart/?symbol=NSE:DRREDDY","Chart 📈")</f>
        <v/>
      </c>
    </row>
    <row r="16" ht="16" customHeight="1">
      <c r="A16" s="20" t="inlineStr">
        <is>
          <t>NIFTY PHARMA</t>
        </is>
      </c>
      <c r="B16" s="17" t="inlineStr">
        <is>
          <t>GLAND</t>
        </is>
      </c>
      <c r="C16" s="18" t="n">
        <v>2326.2</v>
      </c>
      <c r="D16" s="18" t="n">
        <v>2224.54</v>
      </c>
      <c r="E16" s="18" t="n">
        <v>2100.68</v>
      </c>
      <c r="F16" s="18" t="n">
        <v>1901.89</v>
      </c>
      <c r="G16" s="19">
        <f>HYPERLINK("https://www.tradingview.com/chart/?symbol=NSE:GLAND","Chart 📈")</f>
        <v/>
      </c>
    </row>
    <row r="17" ht="16" customHeight="1">
      <c r="A17" s="20" t="inlineStr">
        <is>
          <t>NIFTY PHARMA</t>
        </is>
      </c>
      <c r="B17" s="17" t="inlineStr">
        <is>
          <t>GRANULES</t>
        </is>
      </c>
      <c r="C17" s="18" t="n">
        <v>770.85</v>
      </c>
      <c r="D17" s="18" t="n">
        <v>767.1799999999999</v>
      </c>
      <c r="E17" s="18" t="n">
        <v>735.85</v>
      </c>
      <c r="F17" s="18" t="n">
        <v>632.45</v>
      </c>
      <c r="G17" s="19">
        <f>HYPERLINK("https://www.tradingview.com/chart/?symbol=NSE:GRANULES","Chart 📈")</f>
        <v/>
      </c>
    </row>
    <row r="18" ht="16" customHeight="1">
      <c r="A18" s="20" t="inlineStr">
        <is>
          <t>NIFTY PHARMA</t>
        </is>
      </c>
      <c r="B18" s="17" t="inlineStr">
        <is>
          <t>IPCALAB</t>
        </is>
      </c>
      <c r="C18" s="18" t="n">
        <v>1621.2</v>
      </c>
      <c r="D18" s="18" t="n">
        <v>1587.28</v>
      </c>
      <c r="E18" s="18" t="n">
        <v>1566.35</v>
      </c>
      <c r="F18" s="18" t="n">
        <v>1485.43</v>
      </c>
      <c r="G18" s="19">
        <f>HYPERLINK("https://www.tradingview.com/chart/?symbol=NSE:IPCALAB","Chart 📈")</f>
        <v/>
      </c>
    </row>
    <row r="19" ht="16" customHeight="1">
      <c r="A19" s="20" t="inlineStr">
        <is>
          <t>NIFTY PHARMA</t>
        </is>
      </c>
      <c r="B19" s="17" t="inlineStr">
        <is>
          <t>JBCHEPHARM</t>
        </is>
      </c>
      <c r="C19" s="18" t="n">
        <v>2233</v>
      </c>
      <c r="D19" s="18" t="n">
        <v>2195.32</v>
      </c>
      <c r="E19" s="18" t="n">
        <v>2142.85</v>
      </c>
      <c r="F19" s="18" t="n">
        <v>1966.34</v>
      </c>
      <c r="G19" s="19">
        <f>HYPERLINK("https://www.tradingview.com/chart/?symbol=NSE:JBCHEPHARM","Chart 📈")</f>
        <v/>
      </c>
    </row>
    <row r="20" ht="16" customHeight="1">
      <c r="A20" s="20" t="inlineStr">
        <is>
          <t>NIFTY PHARMA</t>
        </is>
      </c>
      <c r="B20" s="17" t="inlineStr">
        <is>
          <t>LAURUSLABS</t>
        </is>
      </c>
      <c r="C20" s="18" t="n">
        <v>1454.2</v>
      </c>
      <c r="D20" s="18" t="n">
        <v>1394.95</v>
      </c>
      <c r="E20" s="18" t="n">
        <v>1307.72</v>
      </c>
      <c r="F20" s="18" t="n">
        <v>1089.37</v>
      </c>
      <c r="G20" s="19">
        <f>HYPERLINK("https://www.tradingview.com/chart/?symbol=NSE:LAURUSLABS","Chart 📈")</f>
        <v/>
      </c>
    </row>
    <row r="21" ht="16" customHeight="1">
      <c r="A21" s="20" t="inlineStr">
        <is>
          <t>NIFTY PHARMA</t>
        </is>
      </c>
      <c r="B21" s="17" t="inlineStr">
        <is>
          <t>LUPIN</t>
        </is>
      </c>
      <c r="C21" s="18" t="n">
        <v>2367.6</v>
      </c>
      <c r="D21" s="18" t="n">
        <v>2303.82</v>
      </c>
      <c r="E21" s="18" t="n">
        <v>2292.63</v>
      </c>
      <c r="F21" s="18" t="n">
        <v>2187.41</v>
      </c>
      <c r="G21" s="19">
        <f>HYPERLINK("https://www.tradingview.com/chart/?symbol=NSE:LUPIN","Chart 📈")</f>
        <v/>
      </c>
    </row>
    <row r="22" ht="16" customHeight="1">
      <c r="A22" s="20" t="inlineStr">
        <is>
          <t>NIFTY PHARMA</t>
        </is>
      </c>
      <c r="B22" s="17" t="inlineStr">
        <is>
          <t>MANKIND</t>
        </is>
      </c>
      <c r="C22" s="18" t="n">
        <v>2483</v>
      </c>
      <c r="D22" s="18" t="n">
        <v>2415.95</v>
      </c>
      <c r="E22" s="18" t="n">
        <v>2354.61</v>
      </c>
      <c r="F22" s="18" t="n">
        <v>2287.94</v>
      </c>
      <c r="G22" s="19">
        <f>HYPERLINK("https://www.tradingview.com/chart/?symbol=NSE:MANKIND","Chart 📈")</f>
        <v/>
      </c>
    </row>
    <row r="23" ht="16" customHeight="1">
      <c r="A23" s="20" t="inlineStr">
        <is>
          <t>NIFTY PHARMA</t>
        </is>
      </c>
      <c r="B23" s="17" t="inlineStr">
        <is>
          <t>SUNPHARMA</t>
        </is>
      </c>
      <c r="C23" s="18" t="n">
        <v>1874.4</v>
      </c>
      <c r="D23" s="18" t="n">
        <v>1826.33</v>
      </c>
      <c r="E23" s="18" t="n">
        <v>1806.05</v>
      </c>
      <c r="F23" s="18" t="n">
        <v>1742.77</v>
      </c>
      <c r="G23" s="19">
        <f>HYPERLINK("https://www.tradingview.com/chart/?symbol=NSE:SUNPHARMA","Chart 📈")</f>
        <v/>
      </c>
    </row>
    <row r="24" ht="16" customHeight="1">
      <c r="A24" s="20" t="inlineStr">
        <is>
          <t>NIFTY PHARMA</t>
        </is>
      </c>
      <c r="B24" s="17" t="inlineStr">
        <is>
          <t>TORNTPHARM</t>
        </is>
      </c>
      <c r="C24" s="18" t="n">
        <v>4504.4</v>
      </c>
      <c r="D24" s="18" t="n">
        <v>4455.89</v>
      </c>
      <c r="E24" s="18" t="n">
        <v>4380.89</v>
      </c>
      <c r="F24" s="18" t="n">
        <v>4036.98</v>
      </c>
      <c r="G24" s="19">
        <f>HYPERLINK("https://www.tradingview.com/chart/?symbol=NSE:TORNTPHARM","Chart 📈")</f>
        <v/>
      </c>
    </row>
    <row r="25" ht="16" customHeight="1">
      <c r="A25" s="20" t="inlineStr">
        <is>
          <t>NIFTY PHARMA</t>
        </is>
      </c>
      <c r="B25" s="17" t="inlineStr">
        <is>
          <t>ZYDUSLIFE</t>
        </is>
      </c>
      <c r="C25" s="18" t="n">
        <v>1099.3</v>
      </c>
      <c r="D25" s="18" t="n">
        <v>1076.84</v>
      </c>
      <c r="E25" s="18" t="n">
        <v>1029.13</v>
      </c>
      <c r="F25" s="18" t="n">
        <v>966.67</v>
      </c>
      <c r="G25" s="19">
        <f>HYPERLINK("https://www.tradingview.com/chart/?symbol=NSE:ZYDUSLIFE","Chart 📈")</f>
        <v/>
      </c>
    </row>
    <row r="26" ht="16" customHeight="1">
      <c r="A26" s="12" t="inlineStr">
        <is>
          <t>NIFTY PSU BANK</t>
        </is>
      </c>
      <c r="B26" s="13" t="inlineStr">
        <is>
          <t>BANKBARODA</t>
        </is>
      </c>
      <c r="C26" s="14" t="n">
        <v>279.9</v>
      </c>
      <c r="D26" s="14" t="n">
        <v>272.82</v>
      </c>
      <c r="E26" s="14" t="n">
        <v>268.42</v>
      </c>
      <c r="F26" s="14" t="n">
        <v>265.68</v>
      </c>
      <c r="G26" s="15">
        <f>HYPERLINK("https://www.tradingview.com/chart/?symbol=NSE:BANKBARODA","Chart 📈")</f>
        <v/>
      </c>
    </row>
    <row r="27" ht="16" customHeight="1">
      <c r="A27" s="16" t="inlineStr">
        <is>
          <t>NIFTY PSU BANK</t>
        </is>
      </c>
      <c r="B27" s="13" t="inlineStr">
        <is>
          <t>BANKINDIA</t>
        </is>
      </c>
      <c r="C27" s="14" t="n">
        <v>144.15</v>
      </c>
      <c r="D27" s="14" t="n">
        <v>143.64</v>
      </c>
      <c r="E27" s="14" t="n">
        <v>142.53</v>
      </c>
      <c r="F27" s="14" t="n">
        <v>138.42</v>
      </c>
      <c r="G27" s="15">
        <f>HYPERLINK("https://www.tradingview.com/chart/?symbol=NSE:BANKINDIA","Chart 📈")</f>
        <v/>
      </c>
    </row>
    <row r="28" ht="16" customHeight="1">
      <c r="A28" s="16" t="inlineStr">
        <is>
          <t>NIFTY PSU BANK</t>
        </is>
      </c>
      <c r="B28" s="13" t="inlineStr">
        <is>
          <t>MAHABANK</t>
        </is>
      </c>
      <c r="C28" s="14" t="n">
        <v>88.53</v>
      </c>
      <c r="D28" s="14" t="n">
        <v>85.18000000000001</v>
      </c>
      <c r="E28" s="14" t="n">
        <v>80.2</v>
      </c>
      <c r="F28" s="14" t="n">
        <v>68.23999999999999</v>
      </c>
      <c r="G28" s="15">
        <f>HYPERLINK("https://www.tradingview.com/chart/?symbol=NSE:MAHABANK","Chart 📈")</f>
        <v/>
      </c>
    </row>
    <row r="29" ht="16" customHeight="1">
      <c r="A29" s="16" t="inlineStr">
        <is>
          <t>NIFTY PSU BANK</t>
        </is>
      </c>
      <c r="B29" s="13" t="inlineStr">
        <is>
          <t>SBIN</t>
        </is>
      </c>
      <c r="C29" s="14" t="n">
        <v>1034.6</v>
      </c>
      <c r="D29" s="14" t="n">
        <v>1011.09</v>
      </c>
      <c r="E29" s="14" t="n">
        <v>1011.42</v>
      </c>
      <c r="F29" s="14" t="n">
        <v>980.2</v>
      </c>
      <c r="G29" s="15">
        <f>HYPERLINK("https://www.tradingview.com/chart/?symbol=NSE:SBIN","Chart 📈")</f>
        <v/>
      </c>
    </row>
    <row r="30" ht="16" customHeight="1">
      <c r="A30" s="16" t="inlineStr">
        <is>
          <t>NIFTY PSU BANK</t>
        </is>
      </c>
      <c r="B30" s="13" t="inlineStr">
        <is>
          <t>UNIONBANK</t>
        </is>
      </c>
      <c r="C30" s="14" t="n">
        <v>174.83</v>
      </c>
      <c r="D30" s="14" t="n">
        <v>170.99</v>
      </c>
      <c r="E30" s="14" t="n">
        <v>170.69</v>
      </c>
      <c r="F30" s="14" t="n">
        <v>164.78</v>
      </c>
      <c r="G30" s="15">
        <f>HYPERLINK("https://www.tradingview.com/chart/?symbol=NSE:UNIONBANK","Chart 📈")</f>
        <v/>
      </c>
    </row>
    <row r="31" ht="16" customHeight="1">
      <c r="A31" s="8" t="inlineStr">
        <is>
          <t>NIFTY MEDIA</t>
        </is>
      </c>
      <c r="B31" s="17" t="inlineStr">
        <is>
          <t>DEN</t>
        </is>
      </c>
      <c r="C31" s="18" t="n">
        <v>32.54</v>
      </c>
      <c r="D31" s="18" t="n">
        <v>29.43</v>
      </c>
      <c r="E31" s="18" t="n">
        <v>28.32</v>
      </c>
      <c r="F31" s="18" t="n">
        <v>29.9</v>
      </c>
      <c r="G31" s="19">
        <f>HYPERLINK("https://www.tradingview.com/chart/?symbol=NSE:DEN","Chart 📈")</f>
        <v/>
      </c>
    </row>
    <row r="32" ht="16" customHeight="1">
      <c r="A32" s="20" t="inlineStr">
        <is>
          <t>NIFTY MEDIA</t>
        </is>
      </c>
      <c r="B32" s="17" t="inlineStr">
        <is>
          <t>NAZARA</t>
        </is>
      </c>
      <c r="C32" s="18" t="n">
        <v>292.3</v>
      </c>
      <c r="D32" s="18" t="n">
        <v>288.38</v>
      </c>
      <c r="E32" s="18" t="n">
        <v>279.26</v>
      </c>
      <c r="F32" s="18" t="n">
        <v>276.59</v>
      </c>
      <c r="G32" s="19">
        <f>HYPERLINK("https://www.tradingview.com/chart/?symbol=NSE:NAZARA","Chart 📈")</f>
        <v/>
      </c>
    </row>
    <row r="33" ht="16" customHeight="1">
      <c r="A33" s="20" t="inlineStr">
        <is>
          <t>NIFTY MEDIA</t>
        </is>
      </c>
      <c r="B33" s="17" t="inlineStr">
        <is>
          <t>SAREGAMA</t>
        </is>
      </c>
      <c r="C33" s="18" t="n">
        <v>471.1</v>
      </c>
      <c r="D33" s="18" t="n">
        <v>450.41</v>
      </c>
      <c r="E33" s="18" t="n">
        <v>415.04</v>
      </c>
      <c r="F33" s="18" t="n">
        <v>398.99</v>
      </c>
      <c r="G33" s="19">
        <f>HYPERLINK("https://www.tradingview.com/chart/?symbol=NSE:SAREGAMA","Chart 📈")</f>
        <v/>
      </c>
    </row>
    <row r="34" ht="16" customHeight="1">
      <c r="A34" s="20" t="inlineStr">
        <is>
          <t>NIFTY MEDIA</t>
        </is>
      </c>
      <c r="B34" s="17" t="inlineStr">
        <is>
          <t>ZEEL</t>
        </is>
      </c>
      <c r="C34" s="18" t="n">
        <v>115.48</v>
      </c>
      <c r="D34" s="18" t="n">
        <v>106.97</v>
      </c>
      <c r="E34" s="18" t="n">
        <v>98.19</v>
      </c>
      <c r="F34" s="18" t="n">
        <v>98.59</v>
      </c>
      <c r="G34" s="19">
        <f>HYPERLINK("https://www.tradingview.com/chart/?symbol=NSE:ZEEL","Chart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AXISBANK</t>
        </is>
      </c>
      <c r="C35" s="14" t="n">
        <v>1384.5</v>
      </c>
      <c r="D35" s="14" t="n">
        <v>1331</v>
      </c>
      <c r="E35" s="14" t="n">
        <v>1308.06</v>
      </c>
      <c r="F35" s="14" t="n">
        <v>1270.83</v>
      </c>
      <c r="G35" s="15">
        <f>HYPERLINK("https://www.tradingview.com/chart/?symbol=NSE:AXISBANK","Chart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BAJFINANCE</t>
        </is>
      </c>
      <c r="C36" s="14" t="n">
        <v>990.95</v>
      </c>
      <c r="D36" s="14" t="n">
        <v>935.88</v>
      </c>
      <c r="E36" s="14" t="n">
        <v>925.4299999999999</v>
      </c>
      <c r="F36" s="14" t="n">
        <v>940.45</v>
      </c>
      <c r="G36" s="15">
        <f>HYPERLINK("https://www.tradingview.com/chart/?symbol=NSE:BAJFINANCE","Chart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CHOLAFIN</t>
        </is>
      </c>
      <c r="C37" s="14" t="n">
        <v>1792.9</v>
      </c>
      <c r="D37" s="14" t="n">
        <v>1625.15</v>
      </c>
      <c r="E37" s="14" t="n">
        <v>1588.39</v>
      </c>
      <c r="F37" s="14" t="n">
        <v>1601.48</v>
      </c>
      <c r="G37" s="15">
        <f>HYPERLINK("https://www.tradingview.com/chart/?symbol=NSE:CHOLAFIN","Chart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HDFCAMC</t>
        </is>
      </c>
      <c r="C38" s="14" t="n">
        <v>2625.1</v>
      </c>
      <c r="D38" s="14" t="n">
        <v>2613.71</v>
      </c>
      <c r="E38" s="14" t="n">
        <v>2596.94</v>
      </c>
      <c r="F38" s="14" t="n">
        <v>2586.09</v>
      </c>
      <c r="G38" s="15">
        <f>HYPERLINK("https://www.tradingview.com/chart/?symbol=NSE:HDFCAMC","Chart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ICICIBANK</t>
        </is>
      </c>
      <c r="C39" s="14" t="n">
        <v>1373.6</v>
      </c>
      <c r="D39" s="14" t="n">
        <v>1314.3</v>
      </c>
      <c r="E39" s="14" t="n">
        <v>1298.79</v>
      </c>
      <c r="F39" s="14" t="n">
        <v>1336.45</v>
      </c>
      <c r="G39" s="15">
        <f>HYPERLINK("https://www.tradingview.com/chart/?symbol=NSE:ICICIBANK","Chart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KOTAKBANK</t>
        </is>
      </c>
      <c r="C40" s="14" t="n">
        <v>405.95</v>
      </c>
      <c r="D40" s="14" t="n">
        <v>395.3</v>
      </c>
      <c r="E40" s="14" t="n">
        <v>389.72</v>
      </c>
      <c r="F40" s="14" t="n">
        <v>402.59</v>
      </c>
      <c r="G40" s="15">
        <f>HYPERLINK("https://www.tradingview.com/chart/?symbol=NSE:KOTAKBANK","Chart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LICHSGFIN</t>
        </is>
      </c>
      <c r="C41" s="14" t="n">
        <v>550.55</v>
      </c>
      <c r="D41" s="14" t="n">
        <v>548.15</v>
      </c>
      <c r="E41" s="14" t="n">
        <v>545.25</v>
      </c>
      <c r="F41" s="14" t="n">
        <v>546.61</v>
      </c>
      <c r="G41" s="15">
        <f>HYPERLINK("https://www.tradingview.com/chart/?symbol=NSE:LICHSGFIN","Chart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PFC</t>
        </is>
      </c>
      <c r="C42" s="14" t="n">
        <v>437.1</v>
      </c>
      <c r="D42" s="14" t="n">
        <v>431.12</v>
      </c>
      <c r="E42" s="14" t="n">
        <v>431.06</v>
      </c>
      <c r="F42" s="14" t="n">
        <v>409.36</v>
      </c>
      <c r="G42" s="15">
        <f>HYPERLINK("https://www.tradingview.com/chart/?symbol=NSE:PFC","Chart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RECLTD</t>
        </is>
      </c>
      <c r="C43" s="14" t="n">
        <v>363.65</v>
      </c>
      <c r="D43" s="14" t="n">
        <v>352.11</v>
      </c>
      <c r="E43" s="14" t="n">
        <v>348.81</v>
      </c>
      <c r="F43" s="14" t="n">
        <v>353.05</v>
      </c>
      <c r="G43" s="15">
        <f>HYPERLINK("https://www.tradingview.com/chart/?symbol=NSE:RECLTD","Chart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SHRIRAMFIN</t>
        </is>
      </c>
      <c r="C44" s="14" t="n">
        <v>1019</v>
      </c>
      <c r="D44" s="14" t="n">
        <v>969.58</v>
      </c>
      <c r="E44" s="14" t="n">
        <v>963.92</v>
      </c>
      <c r="F44" s="14" t="n">
        <v>902.2</v>
      </c>
      <c r="G44" s="15">
        <f>HYPERLINK("https://www.tradingview.com/chart/?symbol=NSE:SHRIRAMFIN","Chart 📈")</f>
        <v/>
      </c>
    </row>
    <row r="45" ht="16" customHeight="1">
      <c r="A45" s="8" t="inlineStr">
        <is>
          <t>NIFTY OIL &amp; GAS</t>
        </is>
      </c>
      <c r="B45" s="17" t="inlineStr">
        <is>
          <t>AEGISLOG</t>
        </is>
      </c>
      <c r="C45" s="18" t="n">
        <v>1062.9</v>
      </c>
      <c r="D45" s="18" t="n">
        <v>916.6</v>
      </c>
      <c r="E45" s="18" t="n">
        <v>811.22</v>
      </c>
      <c r="F45" s="18" t="n">
        <v>743.61</v>
      </c>
      <c r="G45" s="19">
        <f>HYPERLINK("https://www.tradingview.com/chart/?symbol=NSE:AEGISLOG","Chart 📈")</f>
        <v/>
      </c>
    </row>
    <row r="46" ht="16" customHeight="1">
      <c r="A46" s="20" t="inlineStr">
        <is>
          <t>NIFTY OIL &amp; GAS</t>
        </is>
      </c>
      <c r="B46" s="17" t="inlineStr">
        <is>
          <t>ATGL</t>
        </is>
      </c>
      <c r="C46" s="18" t="n">
        <v>719.4</v>
      </c>
      <c r="D46" s="18" t="n">
        <v>716.78</v>
      </c>
      <c r="E46" s="18" t="n">
        <v>677.7</v>
      </c>
      <c r="F46" s="18" t="n">
        <v>618.1900000000001</v>
      </c>
      <c r="G46" s="19">
        <f>HYPERLINK("https://www.tradingview.com/chart/?symbol=NSE:ATGL","Chart 📈")</f>
        <v/>
      </c>
    </row>
    <row r="47" ht="16" customHeight="1">
      <c r="A47" s="20" t="inlineStr">
        <is>
          <t>NIFTY OIL &amp; GAS</t>
        </is>
      </c>
      <c r="B47" s="17" t="inlineStr">
        <is>
          <t>CASTROLIND</t>
        </is>
      </c>
      <c r="C47" s="18" t="n">
        <v>187.68</v>
      </c>
      <c r="D47" s="18" t="n">
        <v>184.61</v>
      </c>
      <c r="E47" s="18" t="n">
        <v>183.52</v>
      </c>
      <c r="F47" s="18" t="n">
        <v>186.08</v>
      </c>
      <c r="G47" s="19">
        <f>HYPERLINK("https://www.tradingview.com/chart/?symbol=NSE:CASTROLIND","Chart 📈")</f>
        <v/>
      </c>
    </row>
    <row r="48" ht="16" customHeight="1">
      <c r="A48" s="20" t="inlineStr">
        <is>
          <t>NIFTY OIL &amp; GAS</t>
        </is>
      </c>
      <c r="B48" s="17" t="inlineStr">
        <is>
          <t>GAIL</t>
        </is>
      </c>
      <c r="C48" s="18" t="n">
        <v>174.93</v>
      </c>
      <c r="D48" s="18" t="n">
        <v>171.01</v>
      </c>
      <c r="E48" s="18" t="n">
        <v>166.14</v>
      </c>
      <c r="F48" s="18" t="n">
        <v>165.35</v>
      </c>
      <c r="G48" s="19">
        <f>HYPERLINK("https://www.tradingview.com/chart/?symbol=NSE:GAIL","Chart 📈")</f>
        <v/>
      </c>
    </row>
    <row r="49" ht="16" customHeight="1">
      <c r="A49" s="20" t="inlineStr">
        <is>
          <t>NIFTY OIL &amp; GAS</t>
        </is>
      </c>
      <c r="B49" s="17" t="inlineStr">
        <is>
          <t>HINDPETRO</t>
        </is>
      </c>
      <c r="C49" s="18" t="n">
        <v>412.9</v>
      </c>
      <c r="D49" s="18" t="n">
        <v>392.49</v>
      </c>
      <c r="E49" s="18" t="n">
        <v>388.1</v>
      </c>
      <c r="F49" s="18" t="n">
        <v>404.24</v>
      </c>
      <c r="G49" s="19">
        <f>HYPERLINK("https://www.tradingview.com/chart/?symbol=NSE:HINDPETRO","Chart 📈")</f>
        <v/>
      </c>
    </row>
    <row r="50" ht="16" customHeight="1">
      <c r="A50" s="20" t="inlineStr">
        <is>
          <t>NIFTY OIL &amp; GAS</t>
        </is>
      </c>
      <c r="B50" s="17" t="inlineStr">
        <is>
          <t>MGL</t>
        </is>
      </c>
      <c r="C50" s="18" t="n">
        <v>1196</v>
      </c>
      <c r="D50" s="18" t="n">
        <v>1150.05</v>
      </c>
      <c r="E50" s="18" t="n">
        <v>1116.2</v>
      </c>
      <c r="F50" s="18" t="n">
        <v>1150.76</v>
      </c>
      <c r="G50" s="19">
        <f>HYPERLINK("https://www.tradingview.com/chart/?symbol=NSE:MGL","Chart 📈")</f>
        <v/>
      </c>
    </row>
    <row r="51" ht="16" customHeight="1">
      <c r="A51" s="20" t="inlineStr">
        <is>
          <t>NIFTY OIL &amp; GAS</t>
        </is>
      </c>
      <c r="B51" s="17" t="inlineStr">
        <is>
          <t>PETRONET</t>
        </is>
      </c>
      <c r="C51" s="18" t="n">
        <v>287.85</v>
      </c>
      <c r="D51" s="18" t="n">
        <v>279</v>
      </c>
      <c r="E51" s="18" t="n">
        <v>275.04</v>
      </c>
      <c r="F51" s="18" t="n">
        <v>276.06</v>
      </c>
      <c r="G51" s="19">
        <f>HYPERLINK("https://www.tradingview.com/chart/?symbol=NSE:PETRONET","Chart 📈")</f>
        <v/>
      </c>
    </row>
    <row r="52" ht="16" customHeight="1">
      <c r="A52" s="12" t="inlineStr">
        <is>
          <t>NIFTY AUTO</t>
        </is>
      </c>
      <c r="B52" s="13" t="inlineStr">
        <is>
          <t>BHARATFORG</t>
        </is>
      </c>
      <c r="C52" s="14" t="n">
        <v>2122.8</v>
      </c>
      <c r="D52" s="14" t="n">
        <v>2006.58</v>
      </c>
      <c r="E52" s="14" t="n">
        <v>1929.93</v>
      </c>
      <c r="F52" s="14" t="n">
        <v>1665.5</v>
      </c>
      <c r="G52" s="15">
        <f>HYPERLINK("https://www.tradingview.com/chart/?symbol=NSE:BHARATFORG","Chart 📈")</f>
        <v/>
      </c>
    </row>
    <row r="53" ht="16" customHeight="1">
      <c r="A53" s="16" t="inlineStr">
        <is>
          <t>NIFTY AUTO</t>
        </is>
      </c>
      <c r="B53" s="13" t="inlineStr">
        <is>
          <t>BOSCHLTD</t>
        </is>
      </c>
      <c r="C53" s="14" t="n">
        <v>40365</v>
      </c>
      <c r="D53" s="14" t="n">
        <v>38679.32</v>
      </c>
      <c r="E53" s="14" t="n">
        <v>37371.2</v>
      </c>
      <c r="F53" s="14" t="n">
        <v>36091.2</v>
      </c>
      <c r="G53" s="15">
        <f>HYPERLINK("https://www.tradingview.com/chart/?symbol=NSE:BOSCHLTD","Chart 📈")</f>
        <v/>
      </c>
    </row>
    <row r="54" ht="16" customHeight="1">
      <c r="A54" s="16" t="inlineStr">
        <is>
          <t>NIFTY AUTO</t>
        </is>
      </c>
      <c r="B54" s="13" t="inlineStr">
        <is>
          <t>EICHERMOT</t>
        </is>
      </c>
      <c r="C54" s="14" t="n">
        <v>7572</v>
      </c>
      <c r="D54" s="14" t="n">
        <v>7398.94</v>
      </c>
      <c r="E54" s="14" t="n">
        <v>7278.37</v>
      </c>
      <c r="F54" s="14" t="n">
        <v>7000.45</v>
      </c>
      <c r="G54" s="15">
        <f>HYPERLINK("https://www.tradingview.com/chart/?symbol=NSE:EICHERMOT","Chart 📈")</f>
        <v/>
      </c>
    </row>
    <row r="55" ht="16" customHeight="1">
      <c r="A55" s="16" t="inlineStr">
        <is>
          <t>NIFTY AUTO</t>
        </is>
      </c>
      <c r="B55" s="13" t="inlineStr">
        <is>
          <t>EXIDEIND</t>
        </is>
      </c>
      <c r="C55" s="14" t="n">
        <v>399.5</v>
      </c>
      <c r="D55" s="14" t="n">
        <v>384.09</v>
      </c>
      <c r="E55" s="14" t="n">
        <v>368.76</v>
      </c>
      <c r="F55" s="14" t="n">
        <v>359.99</v>
      </c>
      <c r="G55" s="15">
        <f>HYPERLINK("https://www.tradingview.com/chart/?symbol=NSE:EXIDEIND","Chart 📈")</f>
        <v/>
      </c>
    </row>
    <row r="56" ht="16" customHeight="1">
      <c r="A56" s="16" t="inlineStr">
        <is>
          <t>NIFTY AUTO</t>
        </is>
      </c>
      <c r="B56" s="13" t="inlineStr">
        <is>
          <t>MOTHERSON</t>
        </is>
      </c>
      <c r="C56" s="14" t="n">
        <v>144.58</v>
      </c>
      <c r="D56" s="14" t="n">
        <v>142.67</v>
      </c>
      <c r="E56" s="14" t="n">
        <v>136.04</v>
      </c>
      <c r="F56" s="14" t="n">
        <v>121.46</v>
      </c>
      <c r="G56" s="15">
        <f>HYPERLINK("https://www.tradingview.com/chart/?symbol=NSE:MOTHERSON","Chart 📈")</f>
        <v/>
      </c>
    </row>
    <row r="57" ht="16" customHeight="1">
      <c r="A57" s="8" t="inlineStr">
        <is>
          <t>NIFTY CONSUMER DURABLES</t>
        </is>
      </c>
      <c r="B57" s="17" t="inlineStr">
        <is>
          <t>AMBER</t>
        </is>
      </c>
      <c r="C57" s="18" t="n">
        <v>7843.5</v>
      </c>
      <c r="D57" s="18" t="n">
        <v>7740.91</v>
      </c>
      <c r="E57" s="18" t="n">
        <v>7657.51</v>
      </c>
      <c r="F57" s="18" t="n">
        <v>7351.98</v>
      </c>
      <c r="G57" s="19">
        <f>HYPERLINK("https://www.tradingview.com/chart/?symbol=NSE:AMBER","Chart 📈")</f>
        <v/>
      </c>
    </row>
    <row r="58" ht="16" customHeight="1">
      <c r="A58" s="20" t="inlineStr">
        <is>
          <t>NIFTY CONSUMER DURABLES</t>
        </is>
      </c>
      <c r="B58" s="17" t="inlineStr">
        <is>
          <t>CERA</t>
        </is>
      </c>
      <c r="C58" s="18" t="n">
        <v>6340.5</v>
      </c>
      <c r="D58" s="18" t="n">
        <v>6064</v>
      </c>
      <c r="E58" s="18" t="n">
        <v>5744.14</v>
      </c>
      <c r="F58" s="18" t="n">
        <v>5629.57</v>
      </c>
      <c r="G58" s="19">
        <f>HYPERLINK("https://www.tradingview.com/chart/?symbol=NSE:CERA","Chart 📈")</f>
        <v/>
      </c>
    </row>
    <row r="59" ht="16" customHeight="1">
      <c r="A59" s="20" t="inlineStr">
        <is>
          <t>NIFTY CONSUMER DURABLES</t>
        </is>
      </c>
      <c r="B59" s="17" t="inlineStr">
        <is>
          <t>KAJARIACER</t>
        </is>
      </c>
      <c r="C59" s="18" t="n">
        <v>1207.7</v>
      </c>
      <c r="D59" s="18" t="n">
        <v>1130.86</v>
      </c>
      <c r="E59" s="18" t="n">
        <v>1100.79</v>
      </c>
      <c r="F59" s="18" t="n">
        <v>1076.3</v>
      </c>
      <c r="G59" s="19">
        <f>HYPERLINK("https://www.tradingview.com/chart/?symbol=NSE:KAJARIACER","Chart 📈")</f>
        <v/>
      </c>
    </row>
    <row r="60" ht="16" customHeight="1">
      <c r="A60" s="20" t="inlineStr">
        <is>
          <t>NIFTY CONSUMER DURABLES</t>
        </is>
      </c>
      <c r="B60" s="17" t="inlineStr">
        <is>
          <t>TITAN</t>
        </is>
      </c>
      <c r="C60" s="18" t="n">
        <v>4323.8</v>
      </c>
      <c r="D60" s="18" t="n">
        <v>4257.89</v>
      </c>
      <c r="E60" s="18" t="n">
        <v>4231.38</v>
      </c>
      <c r="F60" s="18" t="n">
        <v>4046.69</v>
      </c>
      <c r="G60" s="19">
        <f>HYPERLINK("https://www.tradingview.com/chart/?symbol=NSE:TITAN","Chart 📈")</f>
        <v/>
      </c>
    </row>
    <row r="61" ht="16" customHeight="1">
      <c r="A61" s="12" t="inlineStr">
        <is>
          <t>NIFTY MIDSMALL IT &amp; TELECOM</t>
        </is>
      </c>
      <c r="B61" s="13" t="inlineStr">
        <is>
          <t>COFORGE</t>
        </is>
      </c>
      <c r="C61" s="14" t="n">
        <v>1497.9</v>
      </c>
      <c r="D61" s="14" t="n">
        <v>1436.31</v>
      </c>
      <c r="E61" s="14" t="n">
        <v>1382.76</v>
      </c>
      <c r="F61" s="14" t="n">
        <v>1491.29</v>
      </c>
      <c r="G61" s="15">
        <f>HYPERLINK("https://www.tradingview.com/chart/?symbol=NSE:COFORGE","Chart 📈")</f>
        <v/>
      </c>
    </row>
    <row r="62" ht="16" customHeight="1">
      <c r="A62" s="16" t="inlineStr">
        <is>
          <t>NIFTY MIDSMALL IT &amp; TELECOM</t>
        </is>
      </c>
      <c r="B62" s="13" t="inlineStr">
        <is>
          <t>HFCL</t>
        </is>
      </c>
      <c r="C62" s="14" t="n">
        <v>204.77</v>
      </c>
      <c r="D62" s="14" t="n">
        <v>185.48</v>
      </c>
      <c r="E62" s="14" t="n">
        <v>156.95</v>
      </c>
      <c r="F62" s="14" t="n">
        <v>106.24</v>
      </c>
      <c r="G62" s="15">
        <f>HYPERLINK("https://www.tradingview.com/chart/?symbol=NSE:HFCL","Chart 📈")</f>
        <v/>
      </c>
    </row>
    <row r="63" ht="16" customHeight="1">
      <c r="A63" s="16" t="inlineStr">
        <is>
          <t>NIFTY MIDSMALL IT &amp; TELECOM</t>
        </is>
      </c>
      <c r="B63" s="13" t="inlineStr">
        <is>
          <t>OFSS</t>
        </is>
      </c>
      <c r="C63" s="14" t="n">
        <v>10468.5</v>
      </c>
      <c r="D63" s="14" t="n">
        <v>9692.110000000001</v>
      </c>
      <c r="E63" s="14" t="n">
        <v>9212.959999999999</v>
      </c>
      <c r="F63" s="14" t="n">
        <v>8321.049999999999</v>
      </c>
      <c r="G63" s="15">
        <f>HYPERLINK("https://www.tradingview.com/chart/?symbol=NSE:OFSS","Chart 📈")</f>
        <v/>
      </c>
    </row>
    <row r="64" ht="16" customHeight="1">
      <c r="A64" s="16" t="inlineStr">
        <is>
          <t>NIFTY MIDSMALL IT &amp; TELECOM</t>
        </is>
      </c>
      <c r="B64" s="13" t="inlineStr">
        <is>
          <t>TATACOMM</t>
        </is>
      </c>
      <c r="C64" s="14" t="n">
        <v>2028.5</v>
      </c>
      <c r="D64" s="14" t="n">
        <v>1932.5</v>
      </c>
      <c r="E64" s="14" t="n">
        <v>1807.2</v>
      </c>
      <c r="F64" s="14" t="n">
        <v>1692.1</v>
      </c>
      <c r="G64" s="15">
        <f>HYPERLINK("https://www.tradingview.com/chart/?symbol=NSE:TATACOMM","Chart 📈")</f>
        <v/>
      </c>
    </row>
    <row r="65" ht="16" customHeight="1">
      <c r="A65" s="16" t="inlineStr">
        <is>
          <t>NIFTY MIDSMALL IT &amp; TELECOM</t>
        </is>
      </c>
      <c r="B65" s="13" t="inlineStr">
        <is>
          <t>TATATECH</t>
        </is>
      </c>
      <c r="C65" s="14" t="n">
        <v>748.6</v>
      </c>
      <c r="D65" s="14" t="n">
        <v>732.13</v>
      </c>
      <c r="E65" s="14" t="n">
        <v>681.6900000000001</v>
      </c>
      <c r="F65" s="14" t="n">
        <v>645.79</v>
      </c>
      <c r="G65" s="15">
        <f>HYPERLINK("https://www.tradingview.com/chart/?symbol=NSE:TATATECH","Chart 📈")</f>
        <v/>
      </c>
    </row>
    <row r="66" ht="16" customHeight="1">
      <c r="A66" s="16" t="inlineStr">
        <is>
          <t>NIFTY MIDSMALL IT &amp; TELECOM</t>
        </is>
      </c>
      <c r="B66" s="13" t="inlineStr">
        <is>
          <t>TEJASNET</t>
        </is>
      </c>
      <c r="C66" s="14" t="n">
        <v>624</v>
      </c>
      <c r="D66" s="14" t="n">
        <v>575.48</v>
      </c>
      <c r="E66" s="14" t="n">
        <v>520.2</v>
      </c>
      <c r="F66" s="14" t="n">
        <v>498.81</v>
      </c>
      <c r="G66" s="15">
        <f>HYPERLINK("https://www.tradingview.com/chart/?symbol=NSE:TEJASNET","Chart 📈")</f>
        <v/>
      </c>
    </row>
    <row r="67" ht="16" customHeight="1">
      <c r="A67" s="8" t="inlineStr">
        <is>
          <t>NIFTY ENERGY</t>
        </is>
      </c>
      <c r="B67" s="17" t="inlineStr">
        <is>
          <t>ADANIENSOL</t>
        </is>
      </c>
      <c r="C67" s="18" t="n">
        <v>1495.9</v>
      </c>
      <c r="D67" s="18" t="n">
        <v>1492.09</v>
      </c>
      <c r="E67" s="18" t="n">
        <v>1400.34</v>
      </c>
      <c r="F67" s="18" t="n">
        <v>1139.57</v>
      </c>
      <c r="G67" s="19">
        <f>HYPERLINK("https://www.tradingview.com/chart/?symbol=NSE:ADANIENSOL","Chart 📈")</f>
        <v/>
      </c>
    </row>
    <row r="68" ht="16" customHeight="1">
      <c r="A68" s="20" t="inlineStr">
        <is>
          <t>NIFTY ENERGY</t>
        </is>
      </c>
      <c r="B68" s="17" t="inlineStr">
        <is>
          <t>ADANIGREEN</t>
        </is>
      </c>
      <c r="C68" s="18" t="n">
        <v>1525.4</v>
      </c>
      <c r="D68" s="18" t="n">
        <v>1476.56</v>
      </c>
      <c r="E68" s="18" t="n">
        <v>1365.86</v>
      </c>
      <c r="F68" s="18" t="n">
        <v>1135.67</v>
      </c>
      <c r="G68" s="19">
        <f>HYPERLINK("https://www.tradingview.com/chart/?symbol=NSE:ADANIGREEN","Chart 📈")</f>
        <v/>
      </c>
    </row>
    <row r="69" ht="16" customHeight="1">
      <c r="A69" s="20" t="inlineStr">
        <is>
          <t>NIFTY ENERGY</t>
        </is>
      </c>
      <c r="B69" s="17" t="inlineStr">
        <is>
          <t>ADANIPOWER</t>
        </is>
      </c>
      <c r="C69" s="18" t="n">
        <v>229.76</v>
      </c>
      <c r="D69" s="18" t="n">
        <v>227.53</v>
      </c>
      <c r="E69" s="18" t="n">
        <v>216.62</v>
      </c>
      <c r="F69" s="18" t="n">
        <v>173.62</v>
      </c>
      <c r="G69" s="19">
        <f>HYPERLINK("https://www.tradingview.com/chart/?symbol=NSE:ADANIPOWER","Chart 📈")</f>
        <v/>
      </c>
    </row>
    <row r="70" ht="16" customHeight="1">
      <c r="A70" s="20" t="inlineStr">
        <is>
          <t>NIFTY ENERGY</t>
        </is>
      </c>
      <c r="B70" s="17" t="inlineStr">
        <is>
          <t>BHEL</t>
        </is>
      </c>
      <c r="C70" s="18" t="n">
        <v>402.9</v>
      </c>
      <c r="D70" s="18" t="n">
        <v>396.54</v>
      </c>
      <c r="E70" s="18" t="n">
        <v>375.59</v>
      </c>
      <c r="F70" s="18" t="n">
        <v>310.27</v>
      </c>
      <c r="G70" s="19">
        <f>HYPERLINK("https://www.tradingview.com/chart/?symbol=NSE:BHEL","Chart 📈")</f>
        <v/>
      </c>
    </row>
    <row r="71" ht="16" customHeight="1">
      <c r="A71" s="20" t="inlineStr">
        <is>
          <t>NIFTY ENERGY</t>
        </is>
      </c>
      <c r="B71" s="17" t="inlineStr">
        <is>
          <t>GVT&amp;D</t>
        </is>
      </c>
      <c r="C71" s="18" t="n">
        <v>5052.5</v>
      </c>
      <c r="D71" s="18" t="n">
        <v>5041.49</v>
      </c>
      <c r="E71" s="18" t="n">
        <v>4711.76</v>
      </c>
      <c r="F71" s="18" t="n">
        <v>3778.88</v>
      </c>
      <c r="G71" s="19">
        <f>HYPERLINK("https://www.tradingview.com/chart/?symbol=NSE:GVT&amp;D","Chart 📈")</f>
        <v/>
      </c>
    </row>
    <row r="72" ht="16" customHeight="1">
      <c r="A72" s="20" t="inlineStr">
        <is>
          <t>NIFTY ENERGY</t>
        </is>
      </c>
      <c r="B72" s="17" t="inlineStr">
        <is>
          <t>JSWENERGY</t>
        </is>
      </c>
      <c r="C72" s="18" t="n">
        <v>574.4</v>
      </c>
      <c r="D72" s="18" t="n">
        <v>569.0700000000001</v>
      </c>
      <c r="E72" s="18" t="n">
        <v>554.8200000000001</v>
      </c>
      <c r="F72" s="18" t="n">
        <v>522.3099999999999</v>
      </c>
      <c r="G72" s="19">
        <f>HYPERLINK("https://www.tradingview.com/chart/?symbol=NSE:JSWENERGY","Chart 📈")</f>
        <v/>
      </c>
    </row>
    <row r="73" ht="16" customHeight="1">
      <c r="A73" s="20" t="inlineStr">
        <is>
          <t>NIFTY ENERGY</t>
        </is>
      </c>
      <c r="B73" s="17" t="inlineStr">
        <is>
          <t>NHPC</t>
        </is>
      </c>
      <c r="C73" s="18" t="n">
        <v>79.31</v>
      </c>
      <c r="D73" s="18" t="n">
        <v>76.42</v>
      </c>
      <c r="E73" s="18" t="n">
        <v>77.23999999999999</v>
      </c>
      <c r="F73" s="18" t="n">
        <v>78.67</v>
      </c>
      <c r="G73" s="19">
        <f>HYPERLINK("https://www.tradingview.com/chart/?symbol=NSE:NHPC","Chart 📈")</f>
        <v/>
      </c>
    </row>
    <row r="74" ht="16" customHeight="1">
      <c r="A74" s="20" t="inlineStr">
        <is>
          <t>NIFTY ENERGY</t>
        </is>
      </c>
      <c r="B74" s="17" t="inlineStr">
        <is>
          <t>SCHNEIDER</t>
        </is>
      </c>
      <c r="C74" s="18" t="n">
        <v>1373.9</v>
      </c>
      <c r="D74" s="18" t="n">
        <v>1265.62</v>
      </c>
      <c r="E74" s="18" t="n">
        <v>1198.49</v>
      </c>
      <c r="F74" s="18" t="n">
        <v>982.6900000000001</v>
      </c>
      <c r="G74" s="19">
        <f>HYPERLINK("https://www.tradingview.com/chart/?symbol=NSE:SCHNEIDER","Chart 📈")</f>
        <v/>
      </c>
    </row>
    <row r="75" ht="16" customHeight="1">
      <c r="A75" s="20" t="inlineStr">
        <is>
          <t>NIFTY ENERGY</t>
        </is>
      </c>
      <c r="B75" s="17" t="inlineStr">
        <is>
          <t>SUZLON</t>
        </is>
      </c>
      <c r="C75" s="18" t="n">
        <v>57.91</v>
      </c>
      <c r="D75" s="18" t="n">
        <v>56.6</v>
      </c>
      <c r="E75" s="18" t="n">
        <v>54.17</v>
      </c>
      <c r="F75" s="18" t="n">
        <v>53.15</v>
      </c>
      <c r="G75" s="19">
        <f>HYPERLINK("https://www.tradingview.com/chart/?symbol=NSE:SUZLON","Chart 📈")</f>
        <v/>
      </c>
    </row>
    <row r="76" ht="16" customHeight="1">
      <c r="A76" s="20" t="inlineStr">
        <is>
          <t>NIFTY ENERGY</t>
        </is>
      </c>
      <c r="B76" s="17" t="inlineStr">
        <is>
          <t>THERMAX</t>
        </is>
      </c>
      <c r="C76" s="18" t="n">
        <v>4757.4</v>
      </c>
      <c r="D76" s="18" t="n">
        <v>4708.09</v>
      </c>
      <c r="E76" s="18" t="n">
        <v>4427.43</v>
      </c>
      <c r="F76" s="18" t="n">
        <v>3712.91</v>
      </c>
      <c r="G76" s="19">
        <f>HYPERLINK("https://www.tradingview.com/chart/?symbol=NSE:THERMAX","Chart 📈")</f>
        <v/>
      </c>
    </row>
    <row r="77" ht="16" customHeight="1">
      <c r="A77" s="12" t="inlineStr">
        <is>
          <t>NIFTY FMCG</t>
        </is>
      </c>
      <c r="B77" s="13" t="inlineStr">
        <is>
          <t>MARICO</t>
        </is>
      </c>
      <c r="C77" s="14" t="n">
        <v>819.45</v>
      </c>
      <c r="D77" s="14" t="n">
        <v>815.67</v>
      </c>
      <c r="E77" s="14" t="n">
        <v>806.63</v>
      </c>
      <c r="F77" s="14" t="n">
        <v>766.8200000000001</v>
      </c>
      <c r="G77" s="15">
        <f>HYPERLINK("https://www.tradingview.com/chart/?symbol=NSE:MARICO","Chart 📈")</f>
        <v/>
      </c>
    </row>
    <row r="78" ht="16" customHeight="1">
      <c r="A78" s="16" t="inlineStr">
        <is>
          <t>NIFTY FMCG</t>
        </is>
      </c>
      <c r="B78" s="13" t="inlineStr">
        <is>
          <t>RADICO</t>
        </is>
      </c>
      <c r="C78" s="14" t="n">
        <v>3757.7</v>
      </c>
      <c r="D78" s="14" t="n">
        <v>3598.46</v>
      </c>
      <c r="E78" s="14" t="n">
        <v>3431.46</v>
      </c>
      <c r="F78" s="14" t="n">
        <v>3111.15</v>
      </c>
      <c r="G78" s="15">
        <f>HYPERLINK("https://www.tradingview.com/chart/?symbol=NSE:RADICO","Chart 📈")</f>
        <v/>
      </c>
    </row>
    <row r="79" ht="16" customHeight="1">
      <c r="A79" s="16" t="inlineStr">
        <is>
          <t>NIFTY FMCG</t>
        </is>
      </c>
      <c r="B79" s="13" t="inlineStr">
        <is>
          <t>UNITDSPR</t>
        </is>
      </c>
      <c r="C79" s="14" t="n">
        <v>1359.1</v>
      </c>
      <c r="D79" s="14" t="n">
        <v>1302.85</v>
      </c>
      <c r="E79" s="14" t="n">
        <v>1300</v>
      </c>
      <c r="F79" s="14" t="n">
        <v>1337.32</v>
      </c>
      <c r="G79" s="15">
        <f>HYPERLINK("https://www.tradingview.com/chart/?symbol=NSE:UNITDSPR","Chart 📈")</f>
        <v/>
      </c>
    </row>
    <row r="80" ht="16" customHeight="1">
      <c r="A80" s="8" t="inlineStr">
        <is>
          <t>NIFTY METAL</t>
        </is>
      </c>
      <c r="B80" s="17" t="inlineStr">
        <is>
          <t>ADANIENT</t>
        </is>
      </c>
      <c r="C80" s="18" t="n">
        <v>3069.7</v>
      </c>
      <c r="D80" s="18" t="n">
        <v>2939.24</v>
      </c>
      <c r="E80" s="18" t="n">
        <v>2726.02</v>
      </c>
      <c r="F80" s="18" t="n">
        <v>2436.38</v>
      </c>
      <c r="G80" s="19">
        <f>HYPERLINK("https://www.tradingview.com/chart/?symbol=NSE:ADANIENT","Chart 📈")</f>
        <v/>
      </c>
    </row>
    <row r="81" ht="16" customHeight="1">
      <c r="A81" s="20" t="inlineStr">
        <is>
          <t>NIFTY METAL</t>
        </is>
      </c>
      <c r="B81" s="17" t="inlineStr">
        <is>
          <t>RATNAMANI</t>
        </is>
      </c>
      <c r="C81" s="18" t="n">
        <v>2753.6</v>
      </c>
      <c r="D81" s="18" t="n">
        <v>2642.17</v>
      </c>
      <c r="E81" s="18" t="n">
        <v>2582.54</v>
      </c>
      <c r="F81" s="18" t="n">
        <v>2481.64</v>
      </c>
      <c r="G81" s="19">
        <f>HYPERLINK("https://www.tradingview.com/chart/?symbol=NSE:RATNAMANI","Chart 📈")</f>
        <v/>
      </c>
    </row>
    <row r="82" ht="16" customHeight="1">
      <c r="A82" s="20" t="inlineStr">
        <is>
          <t>NIFTY METAL</t>
        </is>
      </c>
      <c r="B82" s="17" t="inlineStr">
        <is>
          <t>WELCORP</t>
        </is>
      </c>
      <c r="C82" s="18" t="n">
        <v>1406</v>
      </c>
      <c r="D82" s="18" t="n">
        <v>1381.17</v>
      </c>
      <c r="E82" s="18" t="n">
        <v>1282.96</v>
      </c>
      <c r="F82" s="18" t="n">
        <v>1033.55</v>
      </c>
      <c r="G82" s="19">
        <f>HYPERLINK("https://www.tradingview.com/chart/?symbol=NSE:WELCORP","Chart 📈")</f>
        <v/>
      </c>
    </row>
    <row r="83" ht="16" customHeight="1">
      <c r="A83" s="12" t="inlineStr">
        <is>
          <t>NIFTY BANK</t>
        </is>
      </c>
      <c r="B83" s="13" t="inlineStr">
        <is>
          <t>AUBANK</t>
        </is>
      </c>
      <c r="C83" s="14" t="n">
        <v>1067.2</v>
      </c>
      <c r="D83" s="14" t="n">
        <v>1012.07</v>
      </c>
      <c r="E83" s="14" t="n">
        <v>996.4</v>
      </c>
      <c r="F83" s="14" t="n">
        <v>939.4299999999999</v>
      </c>
      <c r="G83" s="15">
        <f>HYPERLINK("https://www.tradingview.com/chart/?symbol=NSE:AUBANK","Chart 📈")</f>
        <v/>
      </c>
    </row>
    <row r="84" ht="16" customHeight="1">
      <c r="A84" s="16" t="inlineStr">
        <is>
          <t>NIFTY BANK</t>
        </is>
      </c>
      <c r="B84" s="13" t="inlineStr">
        <is>
          <t>FEDERALBNK</t>
        </is>
      </c>
      <c r="C84" s="14" t="n">
        <v>325.2</v>
      </c>
      <c r="D84" s="14" t="n">
        <v>311.95</v>
      </c>
      <c r="E84" s="14" t="n">
        <v>299.95</v>
      </c>
      <c r="F84" s="14" t="n">
        <v>269.2</v>
      </c>
      <c r="G84" s="15">
        <f>HYPERLINK("https://www.tradingview.com/chart/?symbol=NSE:FEDERALBNK","Chart 📈")</f>
        <v/>
      </c>
    </row>
    <row r="85" ht="16" customHeight="1">
      <c r="A85" s="16" t="inlineStr">
        <is>
          <t>NIFTY BANK</t>
        </is>
      </c>
      <c r="B85" s="13" t="inlineStr">
        <is>
          <t>IDFCFIRSTB</t>
        </is>
      </c>
      <c r="C85" s="14" t="n">
        <v>79.2</v>
      </c>
      <c r="D85" s="14" t="n">
        <v>75.55</v>
      </c>
      <c r="E85" s="14" t="n">
        <v>72.7</v>
      </c>
      <c r="F85" s="14" t="n">
        <v>73.36</v>
      </c>
      <c r="G85" s="15">
        <f>HYPERLINK("https://www.tradingview.com/chart/?symbol=NSE:IDFCFIRSTB","Chart 📈")</f>
        <v/>
      </c>
    </row>
    <row r="86" ht="16" customHeight="1">
      <c r="A86" s="16" t="inlineStr">
        <is>
          <t>NIFTY BANK</t>
        </is>
      </c>
      <c r="B86" s="13" t="inlineStr">
        <is>
          <t>INDUSINDBK</t>
        </is>
      </c>
      <c r="C86" s="14" t="n">
        <v>927.6</v>
      </c>
      <c r="D86" s="14" t="n">
        <v>917.87</v>
      </c>
      <c r="E86" s="14" t="n">
        <v>904.37</v>
      </c>
      <c r="F86" s="14" t="n">
        <v>869.96</v>
      </c>
      <c r="G86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2026-06-24T13:30:24Z</dcterms:created>
  <dcterms:modified xsi:type="dcterms:W3CDTF">2026-06-24T13:30:24Z</dcterms:modified>
</cp:coreProperties>
</file>