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20-Oct-2026  15:43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MIDSMALL IT &amp; TELECOM</t>
        </is>
      </c>
      <c r="B4" s="5" t="n">
        <v>20</v>
      </c>
      <c r="C4" s="5" t="n">
        <v>14</v>
      </c>
      <c r="D4" s="5" t="n">
        <v>12</v>
      </c>
      <c r="E4" s="5" t="n">
        <v>9</v>
      </c>
      <c r="F4" s="6" t="n">
        <v>0.7</v>
      </c>
      <c r="G4" s="6" t="n">
        <v>0.6</v>
      </c>
      <c r="H4" s="6" t="n">
        <v>0.45</v>
      </c>
      <c r="I4" s="7" t="n">
        <v>0.5832999999999999</v>
      </c>
    </row>
    <row r="5" ht="17" customHeight="1">
      <c r="A5" s="8" t="inlineStr">
        <is>
          <t>NIFTY MEDIA</t>
        </is>
      </c>
      <c r="B5" s="9" t="n">
        <v>10</v>
      </c>
      <c r="C5" s="9" t="n">
        <v>5</v>
      </c>
      <c r="D5" s="9" t="n">
        <v>5</v>
      </c>
      <c r="E5" s="9" t="n">
        <v>5</v>
      </c>
      <c r="F5" s="10" t="n">
        <v>0.5</v>
      </c>
      <c r="G5" s="10" t="n">
        <v>0.5</v>
      </c>
      <c r="H5" s="10" t="n">
        <v>0.5</v>
      </c>
      <c r="I5" s="11" t="n">
        <v>0.5</v>
      </c>
    </row>
    <row r="6" ht="17" customHeight="1">
      <c r="A6" s="4" t="inlineStr">
        <is>
          <t>NIFTY PSU BANK</t>
        </is>
      </c>
      <c r="B6" s="5" t="n">
        <v>12</v>
      </c>
      <c r="C6" s="5" t="n">
        <v>8</v>
      </c>
      <c r="D6" s="5" t="n">
        <v>5</v>
      </c>
      <c r="E6" s="5" t="n">
        <v>4</v>
      </c>
      <c r="F6" s="6" t="n">
        <v>0.667</v>
      </c>
      <c r="G6" s="6" t="n">
        <v>0.417</v>
      </c>
      <c r="H6" s="6" t="n">
        <v>0.333</v>
      </c>
      <c r="I6" s="7" t="n">
        <v>0.4722999999999999</v>
      </c>
    </row>
    <row r="7" ht="17" customHeight="1">
      <c r="A7" s="8" t="inlineStr">
        <is>
          <t>NIFTY IT</t>
        </is>
      </c>
      <c r="B7" s="9" t="n">
        <v>10</v>
      </c>
      <c r="C7" s="9" t="n">
        <v>5</v>
      </c>
      <c r="D7" s="9" t="n">
        <v>5</v>
      </c>
      <c r="E7" s="9" t="n">
        <v>3</v>
      </c>
      <c r="F7" s="10" t="n">
        <v>0.5</v>
      </c>
      <c r="G7" s="10" t="n">
        <v>0.5</v>
      </c>
      <c r="H7" s="10" t="n">
        <v>0.3</v>
      </c>
      <c r="I7" s="11" t="n">
        <v>0.4333</v>
      </c>
    </row>
    <row r="8" ht="17" customHeight="1">
      <c r="A8" s="4" t="inlineStr">
        <is>
          <t>NIFTY PHARMA</t>
        </is>
      </c>
      <c r="B8" s="5" t="n">
        <v>20</v>
      </c>
      <c r="C8" s="5" t="n">
        <v>3</v>
      </c>
      <c r="D8" s="5" t="n">
        <v>4</v>
      </c>
      <c r="E8" s="5" t="n">
        <v>10</v>
      </c>
      <c r="F8" s="6" t="n">
        <v>0.15</v>
      </c>
      <c r="G8" s="6" t="n">
        <v>0.2</v>
      </c>
      <c r="H8" s="6" t="n">
        <v>0.5</v>
      </c>
      <c r="I8" s="7" t="n">
        <v>0.2833</v>
      </c>
    </row>
    <row r="9" ht="17" customHeight="1">
      <c r="A9" s="8" t="inlineStr">
        <is>
          <t>NIFTY REALTY</t>
        </is>
      </c>
      <c r="B9" s="9" t="n">
        <v>10</v>
      </c>
      <c r="C9" s="9" t="n">
        <v>3</v>
      </c>
      <c r="D9" s="9" t="n">
        <v>2</v>
      </c>
      <c r="E9" s="9" t="n">
        <v>3</v>
      </c>
      <c r="F9" s="10" t="n">
        <v>0.3</v>
      </c>
      <c r="G9" s="10" t="n">
        <v>0.2</v>
      </c>
      <c r="H9" s="10" t="n">
        <v>0.3</v>
      </c>
      <c r="I9" s="11" t="n">
        <v>0.2667</v>
      </c>
    </row>
    <row r="10" ht="17" customHeight="1">
      <c r="A10" s="4" t="inlineStr">
        <is>
          <t>NIFTY AUTO</t>
        </is>
      </c>
      <c r="B10" s="5" t="n">
        <v>15</v>
      </c>
      <c r="C10" s="5" t="n">
        <v>4</v>
      </c>
      <c r="D10" s="5" t="n">
        <v>2</v>
      </c>
      <c r="E10" s="5" t="n">
        <v>4</v>
      </c>
      <c r="F10" s="6" t="n">
        <v>0.267</v>
      </c>
      <c r="G10" s="6" t="n">
        <v>0.133</v>
      </c>
      <c r="H10" s="6" t="n">
        <v>0.267</v>
      </c>
      <c r="I10" s="7" t="n">
        <v>0.2223</v>
      </c>
    </row>
    <row r="11" ht="17" customHeight="1">
      <c r="A11" s="8" t="inlineStr">
        <is>
          <t>NIFTY METAL</t>
        </is>
      </c>
      <c r="B11" s="9" t="n">
        <v>15</v>
      </c>
      <c r="C11" s="9" t="n">
        <v>2</v>
      </c>
      <c r="D11" s="9" t="n">
        <v>3</v>
      </c>
      <c r="E11" s="9" t="n">
        <v>5</v>
      </c>
      <c r="F11" s="10" t="n">
        <v>0.133</v>
      </c>
      <c r="G11" s="10" t="n">
        <v>0.2</v>
      </c>
      <c r="H11" s="10" t="n">
        <v>0.333</v>
      </c>
      <c r="I11" s="11" t="n">
        <v>0.222</v>
      </c>
    </row>
    <row r="12" ht="17" customHeight="1">
      <c r="A12" s="4" t="inlineStr">
        <is>
          <t>NIFTY FINANCIAL SERVICES</t>
        </is>
      </c>
      <c r="B12" s="5" t="n">
        <v>20</v>
      </c>
      <c r="C12" s="5" t="n">
        <v>4</v>
      </c>
      <c r="D12" s="5" t="n">
        <v>4</v>
      </c>
      <c r="E12" s="5" t="n">
        <v>3</v>
      </c>
      <c r="F12" s="6" t="n">
        <v>0.2</v>
      </c>
      <c r="G12" s="6" t="n">
        <v>0.2</v>
      </c>
      <c r="H12" s="6" t="n">
        <v>0.15</v>
      </c>
      <c r="I12" s="7" t="n">
        <v>0.1833</v>
      </c>
    </row>
    <row r="13" ht="17" customHeight="1">
      <c r="A13" s="8" t="inlineStr">
        <is>
          <t>NIFTY CONSUMER DURABLES</t>
        </is>
      </c>
      <c r="B13" s="9" t="n">
        <v>15</v>
      </c>
      <c r="C13" s="9" t="n">
        <v>4</v>
      </c>
      <c r="D13" s="9" t="n">
        <v>2</v>
      </c>
      <c r="E13" s="9" t="n">
        <v>2</v>
      </c>
      <c r="F13" s="10" t="n">
        <v>0.267</v>
      </c>
      <c r="G13" s="10" t="n">
        <v>0.133</v>
      </c>
      <c r="H13" s="10" t="n">
        <v>0.133</v>
      </c>
      <c r="I13" s="11" t="n">
        <v>0.1777</v>
      </c>
    </row>
    <row r="14" ht="17" customHeight="1">
      <c r="A14" s="4" t="inlineStr">
        <is>
          <t>NIFTY OIL &amp; GAS</t>
        </is>
      </c>
      <c r="B14" s="5" t="n">
        <v>15</v>
      </c>
      <c r="C14" s="5" t="n">
        <v>3</v>
      </c>
      <c r="D14" s="5" t="n">
        <v>2</v>
      </c>
      <c r="E14" s="5" t="n">
        <v>3</v>
      </c>
      <c r="F14" s="6" t="n">
        <v>0.2</v>
      </c>
      <c r="G14" s="6" t="n">
        <v>0.133</v>
      </c>
      <c r="H14" s="6" t="n">
        <v>0.2</v>
      </c>
      <c r="I14" s="7" t="n">
        <v>0.1777</v>
      </c>
    </row>
    <row r="15" ht="17" customHeight="1">
      <c r="A15" s="8" t="inlineStr">
        <is>
          <t>NIFTY FMCG</t>
        </is>
      </c>
      <c r="B15" s="9" t="n">
        <v>15</v>
      </c>
      <c r="C15" s="9" t="n">
        <v>2</v>
      </c>
      <c r="D15" s="9" t="n">
        <v>2</v>
      </c>
      <c r="E15" s="9" t="n">
        <v>2</v>
      </c>
      <c r="F15" s="10" t="n">
        <v>0.133</v>
      </c>
      <c r="G15" s="10" t="n">
        <v>0.133</v>
      </c>
      <c r="H15" s="10" t="n">
        <v>0.133</v>
      </c>
      <c r="I15" s="11" t="n">
        <v>0.133</v>
      </c>
    </row>
    <row r="16" ht="17" customHeight="1">
      <c r="A16" s="4" t="inlineStr">
        <is>
          <t>NIFTY ENERGY</t>
        </is>
      </c>
      <c r="B16" s="5" t="n">
        <v>40</v>
      </c>
      <c r="C16" s="5" t="n">
        <v>3</v>
      </c>
      <c r="D16" s="5" t="n">
        <v>1</v>
      </c>
      <c r="E16" s="5" t="n">
        <v>6</v>
      </c>
      <c r="F16" s="6" t="n">
        <v>0.075</v>
      </c>
      <c r="G16" s="6" t="n">
        <v>0.025</v>
      </c>
      <c r="H16" s="6" t="n">
        <v>0.15</v>
      </c>
      <c r="I16" s="7" t="n">
        <v>0.0833</v>
      </c>
    </row>
    <row r="17" ht="17" customHeight="1">
      <c r="A17" s="8" t="inlineStr">
        <is>
          <t>NIFTY BANK</t>
        </is>
      </c>
      <c r="B17" s="9" t="n">
        <v>12</v>
      </c>
      <c r="C17" s="9" t="n">
        <v>1</v>
      </c>
      <c r="D17" s="9" t="n">
        <v>1</v>
      </c>
      <c r="E17" s="9" t="n">
        <v>1</v>
      </c>
      <c r="F17" s="10" t="n">
        <v>0.083</v>
      </c>
      <c r="G17" s="10" t="n">
        <v>0.083</v>
      </c>
      <c r="H17" s="10" t="n">
        <v>0.083</v>
      </c>
      <c r="I17" s="11" t="n">
        <v>0.083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MIDSMALL IT &amp; TELECOM</t>
        </is>
      </c>
      <c r="B3" s="13" t="inlineStr">
        <is>
          <t>COFORGE</t>
        </is>
      </c>
      <c r="C3" s="14" t="n">
        <v>1925</v>
      </c>
      <c r="D3" s="14" t="n">
        <v>1867.52</v>
      </c>
      <c r="E3" s="14" t="n">
        <v>1812.9</v>
      </c>
      <c r="F3" s="14" t="n">
        <v>1642.11</v>
      </c>
      <c r="G3" s="15">
        <f>HYPERLINK("https://www.tradingview.com/chart/?symbol=NSE:COFORGE","Chart 📈")</f>
        <v/>
      </c>
    </row>
    <row r="4" ht="16" customHeight="1">
      <c r="A4" s="16" t="inlineStr">
        <is>
          <t>NIFTY MIDSMALL IT &amp; TELECOM</t>
        </is>
      </c>
      <c r="B4" s="13" t="inlineStr">
        <is>
          <t>CYIENT</t>
        </is>
      </c>
      <c r="C4" s="14" t="n">
        <v>1172.4</v>
      </c>
      <c r="D4" s="14" t="n">
        <v>1130.97</v>
      </c>
      <c r="E4" s="14" t="n">
        <v>1062.61</v>
      </c>
      <c r="F4" s="14" t="n">
        <v>1002</v>
      </c>
      <c r="G4" s="15">
        <f>HYPERLINK("https://www.tradingview.com/chart/?symbol=NSE:CYIENT","Chart 📈")</f>
        <v/>
      </c>
    </row>
    <row r="5" ht="16" customHeight="1">
      <c r="A5" s="16" t="inlineStr">
        <is>
          <t>NIFTY MIDSMALL IT &amp; TELECOM</t>
        </is>
      </c>
      <c r="B5" s="13" t="inlineStr">
        <is>
          <t>HFCL</t>
        </is>
      </c>
      <c r="C5" s="14" t="n">
        <v>268.81</v>
      </c>
      <c r="D5" s="14" t="n">
        <v>247.18</v>
      </c>
      <c r="E5" s="14" t="n">
        <v>232.87</v>
      </c>
      <c r="F5" s="14" t="n">
        <v>172.29</v>
      </c>
      <c r="G5" s="15">
        <f>HYPERLINK("https://www.tradingview.com/chart/?symbol=NSE:HFCL","Chart 📈")</f>
        <v/>
      </c>
    </row>
    <row r="6" ht="16" customHeight="1">
      <c r="A6" s="16" t="inlineStr">
        <is>
          <t>NIFTY MIDSMALL IT &amp; TELECOM</t>
        </is>
      </c>
      <c r="B6" s="13" t="inlineStr">
        <is>
          <t>LTTS</t>
        </is>
      </c>
      <c r="C6" s="14" t="n">
        <v>3611.3</v>
      </c>
      <c r="D6" s="14" t="n">
        <v>3413.59</v>
      </c>
      <c r="E6" s="14" t="n">
        <v>3401.4</v>
      </c>
      <c r="F6" s="14" t="n">
        <v>3542.52</v>
      </c>
      <c r="G6" s="15">
        <f>HYPERLINK("https://www.tradingview.com/chart/?symbol=NSE:LTTS","Chart 📈")</f>
        <v/>
      </c>
    </row>
    <row r="7" ht="16" customHeight="1">
      <c r="A7" s="16" t="inlineStr">
        <is>
          <t>NIFTY MIDSMALL IT &amp; TELECOM</t>
        </is>
      </c>
      <c r="B7" s="13" t="inlineStr">
        <is>
          <t>MPHASIS</t>
        </is>
      </c>
      <c r="C7" s="14" t="n">
        <v>2500</v>
      </c>
      <c r="D7" s="14" t="n">
        <v>2369.12</v>
      </c>
      <c r="E7" s="14" t="n">
        <v>2352.92</v>
      </c>
      <c r="F7" s="14" t="n">
        <v>2381.04</v>
      </c>
      <c r="G7" s="15">
        <f>HYPERLINK("https://www.tradingview.com/chart/?symbol=NSE:MPHASIS","Chart 📈")</f>
        <v/>
      </c>
    </row>
    <row r="8" ht="16" customHeight="1">
      <c r="A8" s="16" t="inlineStr">
        <is>
          <t>NIFTY MIDSMALL IT &amp; TELECOM</t>
        </is>
      </c>
      <c r="B8" s="13" t="inlineStr">
        <is>
          <t>PERSISTENT</t>
        </is>
      </c>
      <c r="C8" s="14" t="n">
        <v>5690</v>
      </c>
      <c r="D8" s="14" t="n">
        <v>5621.99</v>
      </c>
      <c r="E8" s="14" t="n">
        <v>5509.24</v>
      </c>
      <c r="F8" s="14" t="n">
        <v>5413.46</v>
      </c>
      <c r="G8" s="15">
        <f>HYPERLINK("https://www.tradingview.com/chart/?symbol=NSE:PERSISTENT","Chart 📈")</f>
        <v/>
      </c>
    </row>
    <row r="9" ht="16" customHeight="1">
      <c r="A9" s="16" t="inlineStr">
        <is>
          <t>NIFTY MIDSMALL IT &amp; TELECOM</t>
        </is>
      </c>
      <c r="B9" s="13" t="inlineStr">
        <is>
          <t>TANLA</t>
        </is>
      </c>
      <c r="C9" s="14" t="n">
        <v>552.35</v>
      </c>
      <c r="D9" s="14" t="n">
        <v>520.86</v>
      </c>
      <c r="E9" s="14" t="n">
        <v>525.21</v>
      </c>
      <c r="F9" s="14" t="n">
        <v>532.84</v>
      </c>
      <c r="G9" s="15">
        <f>HYPERLINK("https://www.tradingview.com/chart/?symbol=NSE:TANLA","Chart 📈")</f>
        <v/>
      </c>
    </row>
    <row r="10" ht="16" customHeight="1">
      <c r="A10" s="8" t="inlineStr">
        <is>
          <t>NIFTY MEDIA</t>
        </is>
      </c>
      <c r="B10" s="17" t="inlineStr">
        <is>
          <t>NAZARA</t>
        </is>
      </c>
      <c r="C10" s="18" t="n">
        <v>404.2</v>
      </c>
      <c r="D10" s="18" t="n">
        <v>389.66</v>
      </c>
      <c r="E10" s="18" t="n">
        <v>369.8</v>
      </c>
      <c r="F10" s="18" t="n">
        <v>316.63</v>
      </c>
      <c r="G10" s="19">
        <f>HYPERLINK("https://www.tradingview.com/chart/?symbol=NSE:NAZARA","Chart 📈")</f>
        <v/>
      </c>
    </row>
    <row r="11" ht="16" customHeight="1">
      <c r="A11" s="20" t="inlineStr">
        <is>
          <t>NIFTY MEDIA</t>
        </is>
      </c>
      <c r="B11" s="17" t="inlineStr">
        <is>
          <t>PVRINOX</t>
        </is>
      </c>
      <c r="C11" s="18" t="n">
        <v>1402.1</v>
      </c>
      <c r="D11" s="18" t="n">
        <v>1323.3</v>
      </c>
      <c r="E11" s="18" t="n">
        <v>1252.14</v>
      </c>
      <c r="F11" s="18" t="n">
        <v>1126.26</v>
      </c>
      <c r="G11" s="19">
        <f>HYPERLINK("https://www.tradingview.com/chart/?symbol=NSE:PVRINOX","Chart 📈")</f>
        <v/>
      </c>
    </row>
    <row r="12" ht="16" customHeight="1">
      <c r="A12" s="20" t="inlineStr">
        <is>
          <t>NIFTY MEDIA</t>
        </is>
      </c>
      <c r="B12" s="17" t="inlineStr">
        <is>
          <t>SAREGAMA</t>
        </is>
      </c>
      <c r="C12" s="18" t="n">
        <v>510.15</v>
      </c>
      <c r="D12" s="18" t="n">
        <v>499.23</v>
      </c>
      <c r="E12" s="18" t="n">
        <v>496.56</v>
      </c>
      <c r="F12" s="18" t="n">
        <v>452.17</v>
      </c>
      <c r="G12" s="19">
        <f>HYPERLINK("https://www.tradingview.com/chart/?symbol=NSE:SAREGAMA","Chart 📈")</f>
        <v/>
      </c>
    </row>
    <row r="13" ht="16" customHeight="1">
      <c r="A13" s="20" t="inlineStr">
        <is>
          <t>NIFTY MEDIA</t>
        </is>
      </c>
      <c r="B13" s="17" t="inlineStr">
        <is>
          <t>SUNTV</t>
        </is>
      </c>
      <c r="C13" s="18" t="n">
        <v>639.95</v>
      </c>
      <c r="D13" s="18" t="n">
        <v>593.02</v>
      </c>
      <c r="E13" s="18" t="n">
        <v>544.28</v>
      </c>
      <c r="F13" s="18" t="n">
        <v>532.41</v>
      </c>
      <c r="G13" s="19">
        <f>HYPERLINK("https://www.tradingview.com/chart/?symbol=NSE:SUNTV","Chart 📈")</f>
        <v/>
      </c>
    </row>
    <row r="14" ht="16" customHeight="1">
      <c r="A14" s="20" t="inlineStr">
        <is>
          <t>NIFTY MEDIA</t>
        </is>
      </c>
      <c r="B14" s="17" t="inlineStr">
        <is>
          <t>TIPSMUSIC</t>
        </is>
      </c>
      <c r="C14" s="18" t="n">
        <v>771.7</v>
      </c>
      <c r="D14" s="18" t="n">
        <v>682.0700000000001</v>
      </c>
      <c r="E14" s="18" t="n">
        <v>667.72</v>
      </c>
      <c r="F14" s="18" t="n">
        <v>623.1</v>
      </c>
      <c r="G14" s="19">
        <f>HYPERLINK("https://www.tradingview.com/chart/?symbol=NSE:TIPSMUSIC","Chart 📈")</f>
        <v/>
      </c>
    </row>
    <row r="15" ht="16" customHeight="1">
      <c r="A15" s="12" t="inlineStr">
        <is>
          <t>NIFTY PSU BANK</t>
        </is>
      </c>
      <c r="B15" s="13" t="inlineStr">
        <is>
          <t>INDIANB</t>
        </is>
      </c>
      <c r="C15" s="14" t="n">
        <v>856.85</v>
      </c>
      <c r="D15" s="14" t="n">
        <v>834.95</v>
      </c>
      <c r="E15" s="14" t="n">
        <v>841.71</v>
      </c>
      <c r="F15" s="14" t="n">
        <v>843.3200000000001</v>
      </c>
      <c r="G15" s="15">
        <f>HYPERLINK("https://www.tradingview.com/chart/?symbol=NSE:INDIANB","Chart 📈")</f>
        <v/>
      </c>
    </row>
    <row r="16" ht="16" customHeight="1">
      <c r="A16" s="16" t="inlineStr">
        <is>
          <t>NIFTY PSU BANK</t>
        </is>
      </c>
      <c r="B16" s="13" t="inlineStr">
        <is>
          <t>PNB</t>
        </is>
      </c>
      <c r="C16" s="14" t="n">
        <v>121.9</v>
      </c>
      <c r="D16" s="14" t="n">
        <v>116.04</v>
      </c>
      <c r="E16" s="14" t="n">
        <v>114.88</v>
      </c>
      <c r="F16" s="14" t="n">
        <v>112.82</v>
      </c>
      <c r="G16" s="15">
        <f>HYPERLINK("https://www.tradingview.com/chart/?symbol=NSE:PNB","Chart 📈")</f>
        <v/>
      </c>
    </row>
    <row r="17" ht="16" customHeight="1">
      <c r="A17" s="16" t="inlineStr">
        <is>
          <t>NIFTY PSU BANK</t>
        </is>
      </c>
      <c r="B17" s="13" t="inlineStr">
        <is>
          <t>UNIONBANK</t>
        </is>
      </c>
      <c r="C17" s="14" t="n">
        <v>180.7</v>
      </c>
      <c r="D17" s="14" t="n">
        <v>174.34</v>
      </c>
      <c r="E17" s="14" t="n">
        <v>175.82</v>
      </c>
      <c r="F17" s="14" t="n">
        <v>169.18</v>
      </c>
      <c r="G17" s="15">
        <f>HYPERLINK("https://www.tradingview.com/chart/?symbol=NSE:UNIONBANK","Chart 📈")</f>
        <v/>
      </c>
    </row>
    <row r="18" ht="16" customHeight="1">
      <c r="A18" s="8" t="inlineStr">
        <is>
          <t>NIFTY IT</t>
        </is>
      </c>
      <c r="B18" s="17" t="inlineStr">
        <is>
          <t>HCLTECH</t>
        </is>
      </c>
      <c r="C18" s="18" t="n">
        <v>1379.9</v>
      </c>
      <c r="D18" s="18" t="n">
        <v>1273.05</v>
      </c>
      <c r="E18" s="18" t="n">
        <v>1260.18</v>
      </c>
      <c r="F18" s="18" t="n">
        <v>1292.71</v>
      </c>
      <c r="G18" s="19">
        <f>HYPERLINK("https://www.tradingview.com/chart/?symbol=NSE:HCLTECH","Chart 📈")</f>
        <v/>
      </c>
    </row>
    <row r="19" ht="16" customHeight="1">
      <c r="A19" s="20" t="inlineStr">
        <is>
          <t>NIFTY IT</t>
        </is>
      </c>
      <c r="B19" s="17" t="inlineStr">
        <is>
          <t>TCS</t>
        </is>
      </c>
      <c r="C19" s="18" t="n">
        <v>2460.9</v>
      </c>
      <c r="D19" s="18" t="n">
        <v>2221.19</v>
      </c>
      <c r="E19" s="18" t="n">
        <v>2215.24</v>
      </c>
      <c r="F19" s="18" t="n">
        <v>2389.72</v>
      </c>
      <c r="G19" s="19">
        <f>HYPERLINK("https://www.tradingview.com/chart/?symbol=NSE:TCS","Chart 📈")</f>
        <v/>
      </c>
    </row>
    <row r="20" ht="16" customHeight="1">
      <c r="A20" s="20" t="inlineStr">
        <is>
          <t>NIFTY IT</t>
        </is>
      </c>
      <c r="B20" s="17" t="inlineStr">
        <is>
          <t>TECHM</t>
        </is>
      </c>
      <c r="C20" s="18" t="n">
        <v>1779.1</v>
      </c>
      <c r="D20" s="18" t="n">
        <v>1588.44</v>
      </c>
      <c r="E20" s="18" t="n">
        <v>1567.01</v>
      </c>
      <c r="F20" s="18" t="n">
        <v>1505.3</v>
      </c>
      <c r="G20" s="19">
        <f>HYPERLINK("https://www.tradingview.com/chart/?symbol=NSE:TECHM","Chart 📈")</f>
        <v/>
      </c>
    </row>
    <row r="21" ht="16" customHeight="1">
      <c r="A21" s="12" t="inlineStr">
        <is>
          <t>NIFTY PHARMA</t>
        </is>
      </c>
      <c r="B21" s="13" t="inlineStr">
        <is>
          <t>DRREDDY</t>
        </is>
      </c>
      <c r="C21" s="14" t="n">
        <v>1242.5</v>
      </c>
      <c r="D21" s="14" t="n">
        <v>1211.75</v>
      </c>
      <c r="E21" s="14" t="n">
        <v>1203.41</v>
      </c>
      <c r="F21" s="14" t="n">
        <v>1230.93</v>
      </c>
      <c r="G21" s="15">
        <f>HYPERLINK("https://www.tradingview.com/chart/?symbol=NSE:DRREDDY","Chart 📈")</f>
        <v/>
      </c>
    </row>
    <row r="22" ht="16" customHeight="1">
      <c r="A22" s="16" t="inlineStr">
        <is>
          <t>NIFTY PHARMA</t>
        </is>
      </c>
      <c r="B22" s="13" t="inlineStr">
        <is>
          <t>GLAND</t>
        </is>
      </c>
      <c r="C22" s="14" t="n">
        <v>3019.8</v>
      </c>
      <c r="D22" s="14" t="n">
        <v>3003.05</v>
      </c>
      <c r="E22" s="14" t="n">
        <v>2880.94</v>
      </c>
      <c r="F22" s="14" t="n">
        <v>2393.83</v>
      </c>
      <c r="G22" s="15">
        <f>HYPERLINK("https://www.tradingview.com/chart/?symbol=NSE:GLAND","Chart 📈")</f>
        <v/>
      </c>
    </row>
    <row r="23" ht="16" customHeight="1">
      <c r="A23" s="16" t="inlineStr">
        <is>
          <t>NIFTY PHARMA</t>
        </is>
      </c>
      <c r="B23" s="13" t="inlineStr">
        <is>
          <t>LAURUSLABS</t>
        </is>
      </c>
      <c r="C23" s="14" t="n">
        <v>2069</v>
      </c>
      <c r="D23" s="14" t="n">
        <v>2014.98</v>
      </c>
      <c r="E23" s="14" t="n">
        <v>1919.31</v>
      </c>
      <c r="F23" s="14" t="n">
        <v>1521.14</v>
      </c>
      <c r="G23" s="15">
        <f>HYPERLINK("https://www.tradingview.com/chart/?symbol=NSE:LAURUSLABS","Chart 📈")</f>
        <v/>
      </c>
    </row>
    <row r="24" ht="16" customHeight="1">
      <c r="A24" s="8" t="inlineStr">
        <is>
          <t>NIFTY REALTY</t>
        </is>
      </c>
      <c r="B24" s="17" t="inlineStr">
        <is>
          <t>DLF</t>
        </is>
      </c>
      <c r="C24" s="18" t="n">
        <v>672.85</v>
      </c>
      <c r="D24" s="18" t="n">
        <v>663.23</v>
      </c>
      <c r="E24" s="18" t="n">
        <v>659.16</v>
      </c>
      <c r="F24" s="18" t="n">
        <v>649.89</v>
      </c>
      <c r="G24" s="19">
        <f>HYPERLINK("https://www.tradingview.com/chart/?symbol=NSE:DLF","Chart 📈")</f>
        <v/>
      </c>
    </row>
    <row r="25" ht="16" customHeight="1">
      <c r="A25" s="20" t="inlineStr">
        <is>
          <t>NIFTY REALTY</t>
        </is>
      </c>
      <c r="B25" s="17" t="inlineStr">
        <is>
          <t>RAYMOND</t>
        </is>
      </c>
      <c r="C25" s="18" t="n">
        <v>1130.6</v>
      </c>
      <c r="D25" s="18" t="n">
        <v>1125.95</v>
      </c>
      <c r="E25" s="18" t="n">
        <v>967.67</v>
      </c>
      <c r="F25" s="18" t="n">
        <v>682.33</v>
      </c>
      <c r="G25" s="19">
        <f>HYPERLINK("https://www.tradingview.com/chart/?symbol=NSE:RAYMOND","Chart 📈")</f>
        <v/>
      </c>
    </row>
    <row r="26" ht="16" customHeight="1">
      <c r="A26" s="12" t="inlineStr">
        <is>
          <t>NIFTY AUTO</t>
        </is>
      </c>
      <c r="B26" s="13" t="inlineStr">
        <is>
          <t>TVSMOTOR</t>
        </is>
      </c>
      <c r="C26" s="14" t="n">
        <v>4074</v>
      </c>
      <c r="D26" s="14" t="n">
        <v>4038.5</v>
      </c>
      <c r="E26" s="14" t="n">
        <v>4059.55</v>
      </c>
      <c r="F26" s="14" t="n">
        <v>3845.82</v>
      </c>
      <c r="G26" s="15">
        <f>HYPERLINK("https://www.tradingview.com/chart/?symbol=NSE:TVSMOTOR","Chart 📈")</f>
        <v/>
      </c>
    </row>
    <row r="27" ht="16" customHeight="1">
      <c r="A27" s="8" t="inlineStr">
        <is>
          <t>NIFTY FINANCIAL SERVICES</t>
        </is>
      </c>
      <c r="B27" s="17" t="inlineStr">
        <is>
          <t>ICICIBANK</t>
        </is>
      </c>
      <c r="C27" s="18" t="n">
        <v>1381</v>
      </c>
      <c r="D27" s="18" t="n">
        <v>1358.78</v>
      </c>
      <c r="E27" s="18" t="n">
        <v>1368.89</v>
      </c>
      <c r="F27" s="18" t="n">
        <v>1358.83</v>
      </c>
      <c r="G27" s="19">
        <f>HYPERLINK("https://www.tradingview.com/chart/?symbol=NSE:ICICIBANK","Chart 📈")</f>
        <v/>
      </c>
    </row>
    <row r="28" ht="16" customHeight="1">
      <c r="A28" s="20" t="inlineStr">
        <is>
          <t>NIFTY FINANCIAL SERVICES</t>
        </is>
      </c>
      <c r="B28" s="17" t="inlineStr">
        <is>
          <t>KOTAKBANK</t>
        </is>
      </c>
      <c r="C28" s="18" t="n">
        <v>442.3</v>
      </c>
      <c r="D28" s="18" t="n">
        <v>430.69</v>
      </c>
      <c r="E28" s="18" t="n">
        <v>417.96</v>
      </c>
      <c r="F28" s="18" t="n">
        <v>407.17</v>
      </c>
      <c r="G28" s="19">
        <f>HYPERLINK("https://www.tradingview.com/chart/?symbol=NSE:KOTAKBANK","Chart 📈")</f>
        <v/>
      </c>
    </row>
    <row r="29" ht="16" customHeight="1">
      <c r="A29" s="12" t="inlineStr">
        <is>
          <t>NIFTY OIL &amp; GAS</t>
        </is>
      </c>
      <c r="B29" s="13" t="inlineStr">
        <is>
          <t>CASTROLIND</t>
        </is>
      </c>
      <c r="C29" s="14" t="n">
        <v>196.79</v>
      </c>
      <c r="D29" s="14" t="n">
        <v>195.78</v>
      </c>
      <c r="E29" s="14" t="n">
        <v>191.86</v>
      </c>
      <c r="F29" s="14" t="n">
        <v>184.2</v>
      </c>
      <c r="G29" s="15">
        <f>HYPERLINK("https://www.tradingview.com/chart/?symbol=NSE:CASTROLIND","Chart 📈")</f>
        <v/>
      </c>
    </row>
    <row r="30" ht="16" customHeight="1">
      <c r="A30" s="16" t="inlineStr">
        <is>
          <t>NIFTY OIL &amp; GAS</t>
        </is>
      </c>
      <c r="B30" s="13" t="inlineStr">
        <is>
          <t>PETRONET</t>
        </is>
      </c>
      <c r="C30" s="14" t="n">
        <v>293.65</v>
      </c>
      <c r="D30" s="14" t="n">
        <v>290.63</v>
      </c>
      <c r="E30" s="14" t="n">
        <v>287.68</v>
      </c>
      <c r="F30" s="14" t="n">
        <v>280.42</v>
      </c>
      <c r="G30" s="15">
        <f>HYPERLINK("https://www.tradingview.com/chart/?symbol=NSE:PETRONET","Chart 📈")</f>
        <v/>
      </c>
    </row>
    <row r="31" ht="16" customHeight="1">
      <c r="A31" s="8" t="inlineStr">
        <is>
          <t>NIFTY FMCG</t>
        </is>
      </c>
      <c r="B31" s="17" t="inlineStr">
        <is>
          <t>BALRAMCHIN</t>
        </is>
      </c>
      <c r="C31" s="18" t="n">
        <v>701.85</v>
      </c>
      <c r="D31" s="18" t="n">
        <v>694.47</v>
      </c>
      <c r="E31" s="18" t="n">
        <v>671.96</v>
      </c>
      <c r="F31" s="18" t="n">
        <v>579.9299999999999</v>
      </c>
      <c r="G31" s="19">
        <f>HYPERLINK("https://www.tradingview.com/chart/?symbol=NSE:BALRAMCHIN","Chart 📈")</f>
        <v/>
      </c>
    </row>
    <row r="32" ht="16" customHeight="1">
      <c r="A32" s="12" t="inlineStr">
        <is>
          <t>NIFTY BANK</t>
        </is>
      </c>
      <c r="B32" s="13" t="inlineStr">
        <is>
          <t>FEDERALBNK</t>
        </is>
      </c>
      <c r="C32" s="14" t="n">
        <v>348.85</v>
      </c>
      <c r="D32" s="14" t="n">
        <v>332.21</v>
      </c>
      <c r="E32" s="14" t="n">
        <v>334.76</v>
      </c>
      <c r="F32" s="14" t="n">
        <v>309.5</v>
      </c>
      <c r="G32" s="15">
        <f>HYPERLINK("https://www.tradingview.com/chart/?symbol=NSE:FEDERALBNK","Chart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2026-10-20T15:43:01Z</dcterms:created>
  <dcterms:modified xmlns:dcterms="http://purl.org/dc/terms/" xmlns:xsi="http://www.w3.org/2001/XMLSchema-instance" xsi:type="dcterms:W3CDTF">2026-10-20T15:43:01Z</dcterms:modified>
</cp:coreProperties>
</file>