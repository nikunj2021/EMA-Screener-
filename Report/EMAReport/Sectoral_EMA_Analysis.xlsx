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08-Jul-2026  12:30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19</v>
      </c>
      <c r="D4" s="5" t="n">
        <v>17</v>
      </c>
      <c r="E4" s="5" t="n">
        <v>19</v>
      </c>
      <c r="F4" s="6" t="n">
        <v>0.95</v>
      </c>
      <c r="G4" s="6" t="n">
        <v>0.85</v>
      </c>
      <c r="H4" s="6" t="n">
        <v>0.95</v>
      </c>
      <c r="I4" s="7" t="n">
        <v>0.9167000000000001</v>
      </c>
    </row>
    <row r="5" ht="17" customHeight="1">
      <c r="A5" s="8" t="inlineStr">
        <is>
          <t>NIFTY REALTY</t>
        </is>
      </c>
      <c r="B5" s="9" t="n">
        <v>10</v>
      </c>
      <c r="C5" s="9" t="n">
        <v>9</v>
      </c>
      <c r="D5" s="9" t="n">
        <v>9</v>
      </c>
      <c r="E5" s="9" t="n">
        <v>8</v>
      </c>
      <c r="F5" s="10" t="n">
        <v>0.9</v>
      </c>
      <c r="G5" s="10" t="n">
        <v>0.9</v>
      </c>
      <c r="H5" s="10" t="n">
        <v>0.8</v>
      </c>
      <c r="I5" s="11" t="n">
        <v>0.8667</v>
      </c>
    </row>
    <row r="6" ht="17" customHeight="1">
      <c r="A6" s="4" t="inlineStr">
        <is>
          <t>NIFTY AUTO</t>
        </is>
      </c>
      <c r="B6" s="5" t="n">
        <v>15</v>
      </c>
      <c r="C6" s="5" t="n">
        <v>10</v>
      </c>
      <c r="D6" s="5" t="n">
        <v>11</v>
      </c>
      <c r="E6" s="5" t="n">
        <v>7</v>
      </c>
      <c r="F6" s="6" t="n">
        <v>0.667</v>
      </c>
      <c r="G6" s="6" t="n">
        <v>0.733</v>
      </c>
      <c r="H6" s="6" t="n">
        <v>0.467</v>
      </c>
      <c r="I6" s="7" t="n">
        <v>0.6223</v>
      </c>
    </row>
    <row r="7" ht="17" customHeight="1">
      <c r="A7" s="8" t="inlineStr">
        <is>
          <t>NIFTY FMCG</t>
        </is>
      </c>
      <c r="B7" s="9" t="n">
        <v>15</v>
      </c>
      <c r="C7" s="9" t="n">
        <v>8</v>
      </c>
      <c r="D7" s="9" t="n">
        <v>6</v>
      </c>
      <c r="E7" s="9" t="n">
        <v>5</v>
      </c>
      <c r="F7" s="10" t="n">
        <v>0.5329999999999999</v>
      </c>
      <c r="G7" s="10" t="n">
        <v>0.4</v>
      </c>
      <c r="H7" s="10" t="n">
        <v>0.333</v>
      </c>
      <c r="I7" s="11" t="n">
        <v>0.422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7</v>
      </c>
      <c r="D8" s="5" t="n">
        <v>6</v>
      </c>
      <c r="E8" s="5" t="n">
        <v>5</v>
      </c>
      <c r="F8" s="6" t="n">
        <v>0.467</v>
      </c>
      <c r="G8" s="6" t="n">
        <v>0.4</v>
      </c>
      <c r="H8" s="6" t="n">
        <v>0.333</v>
      </c>
      <c r="I8" s="7" t="n">
        <v>0.4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7</v>
      </c>
      <c r="D9" s="9" t="n">
        <v>8</v>
      </c>
      <c r="E9" s="9" t="n">
        <v>7</v>
      </c>
      <c r="F9" s="10" t="n">
        <v>0.35</v>
      </c>
      <c r="G9" s="10" t="n">
        <v>0.4</v>
      </c>
      <c r="H9" s="10" t="n">
        <v>0.35</v>
      </c>
      <c r="I9" s="11" t="n">
        <v>0.3667</v>
      </c>
    </row>
    <row r="10" ht="17" customHeight="1">
      <c r="A10" s="4" t="inlineStr">
        <is>
          <t>NIFTY MIDSMALL IT &amp; TELECOM</t>
        </is>
      </c>
      <c r="B10" s="5" t="n">
        <v>20</v>
      </c>
      <c r="C10" s="5" t="n">
        <v>5</v>
      </c>
      <c r="D10" s="5" t="n">
        <v>10</v>
      </c>
      <c r="E10" s="5" t="n">
        <v>6</v>
      </c>
      <c r="F10" s="6" t="n">
        <v>0.25</v>
      </c>
      <c r="G10" s="6" t="n">
        <v>0.5</v>
      </c>
      <c r="H10" s="6" t="n">
        <v>0.3</v>
      </c>
      <c r="I10" s="7" t="n">
        <v>0.35</v>
      </c>
    </row>
    <row r="11" ht="17" customHeight="1">
      <c r="A11" s="8" t="inlineStr">
        <is>
          <t>NIFTY METAL</t>
        </is>
      </c>
      <c r="B11" s="9" t="n">
        <v>15</v>
      </c>
      <c r="C11" s="9" t="n">
        <v>3</v>
      </c>
      <c r="D11" s="9" t="n">
        <v>3</v>
      </c>
      <c r="E11" s="9" t="n">
        <v>9</v>
      </c>
      <c r="F11" s="10" t="n">
        <v>0.2</v>
      </c>
      <c r="G11" s="10" t="n">
        <v>0.2</v>
      </c>
      <c r="H11" s="10" t="n">
        <v>0.6</v>
      </c>
      <c r="I11" s="11" t="n">
        <v>0.3333</v>
      </c>
    </row>
    <row r="12" ht="17" customHeight="1">
      <c r="A12" s="4" t="inlineStr">
        <is>
          <t>NIFTY BANK</t>
        </is>
      </c>
      <c r="B12" s="5" t="n">
        <v>12</v>
      </c>
      <c r="C12" s="5" t="n">
        <v>3</v>
      </c>
      <c r="D12" s="5" t="n">
        <v>4</v>
      </c>
      <c r="E12" s="5" t="n">
        <v>4</v>
      </c>
      <c r="F12" s="6" t="n">
        <v>0.25</v>
      </c>
      <c r="G12" s="6" t="n">
        <v>0.333</v>
      </c>
      <c r="H12" s="6" t="n">
        <v>0.333</v>
      </c>
      <c r="I12" s="7" t="n">
        <v>0.3053</v>
      </c>
    </row>
    <row r="13" ht="17" customHeight="1">
      <c r="A13" s="8" t="inlineStr">
        <is>
          <t>NIFTY MEDIA</t>
        </is>
      </c>
      <c r="B13" s="9" t="n">
        <v>10</v>
      </c>
      <c r="C13" s="9" t="n">
        <v>1</v>
      </c>
      <c r="D13" s="9" t="n">
        <v>3</v>
      </c>
      <c r="E13" s="9" t="n">
        <v>4</v>
      </c>
      <c r="F13" s="10" t="n">
        <v>0.1</v>
      </c>
      <c r="G13" s="10" t="n">
        <v>0.3</v>
      </c>
      <c r="H13" s="10" t="n">
        <v>0.4</v>
      </c>
      <c r="I13" s="11" t="n">
        <v>0.2667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3</v>
      </c>
      <c r="D14" s="5" t="n">
        <v>3</v>
      </c>
      <c r="E14" s="5" t="n">
        <v>3</v>
      </c>
      <c r="F14" s="6" t="n">
        <v>0.2</v>
      </c>
      <c r="G14" s="6" t="n">
        <v>0.2</v>
      </c>
      <c r="H14" s="6" t="n">
        <v>0.2</v>
      </c>
      <c r="I14" s="7" t="n">
        <v>0.2</v>
      </c>
    </row>
    <row r="15" ht="17" customHeight="1">
      <c r="A15" s="8" t="inlineStr">
        <is>
          <t>NIFTY ENERGY</t>
        </is>
      </c>
      <c r="B15" s="9" t="n">
        <v>40</v>
      </c>
      <c r="C15" s="9" t="n">
        <v>3</v>
      </c>
      <c r="D15" s="9" t="n">
        <v>6</v>
      </c>
      <c r="E15" s="9" t="n">
        <v>15</v>
      </c>
      <c r="F15" s="10" t="n">
        <v>0.075</v>
      </c>
      <c r="G15" s="10" t="n">
        <v>0.15</v>
      </c>
      <c r="H15" s="10" t="n">
        <v>0.375</v>
      </c>
      <c r="I15" s="11" t="n">
        <v>0.2</v>
      </c>
    </row>
    <row r="16" ht="17" customHeight="1">
      <c r="A16" s="4" t="inlineStr">
        <is>
          <t>NIFTY IT</t>
        </is>
      </c>
      <c r="B16" s="5" t="n">
        <v>10</v>
      </c>
      <c r="C16" s="5" t="n">
        <v>3</v>
      </c>
      <c r="D16" s="5" t="n">
        <v>1</v>
      </c>
      <c r="E16" s="5" t="n">
        <v>0</v>
      </c>
      <c r="F16" s="6" t="n">
        <v>0.3</v>
      </c>
      <c r="G16" s="6" t="n">
        <v>0.1</v>
      </c>
      <c r="H16" s="6" t="n">
        <v>0</v>
      </c>
      <c r="I16" s="7" t="n">
        <v>0.1333</v>
      </c>
    </row>
    <row r="17" ht="17" customHeight="1">
      <c r="A17" s="8" t="inlineStr">
        <is>
          <t>NIFTY PSU BANK</t>
        </is>
      </c>
      <c r="B17" s="9" t="n">
        <v>12</v>
      </c>
      <c r="C17" s="9" t="n">
        <v>0</v>
      </c>
      <c r="D17" s="9" t="n">
        <v>0</v>
      </c>
      <c r="E17" s="9" t="n">
        <v>2</v>
      </c>
      <c r="F17" s="10" t="n">
        <v>0</v>
      </c>
      <c r="G17" s="10" t="n">
        <v>0</v>
      </c>
      <c r="H17" s="10" t="n">
        <v>0.167</v>
      </c>
      <c r="I17" s="11" t="n">
        <v>0.0557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3278.8</v>
      </c>
      <c r="D3" s="14" t="n">
        <v>3236.27</v>
      </c>
      <c r="E3" s="14" t="n">
        <v>3121.95</v>
      </c>
      <c r="F3" s="14" t="n">
        <v>2880.97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5606</v>
      </c>
      <c r="D4" s="14" t="n">
        <v>5486.55</v>
      </c>
      <c r="E4" s="14" t="n">
        <v>5446.2</v>
      </c>
      <c r="F4" s="14" t="n">
        <v>5398.18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1557.4</v>
      </c>
      <c r="D5" s="14" t="n">
        <v>1534.36</v>
      </c>
      <c r="E5" s="14" t="n">
        <v>1479.29</v>
      </c>
      <c r="F5" s="14" t="n">
        <v>1320.04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CIPLA</t>
        </is>
      </c>
      <c r="C6" s="14" t="n">
        <v>1431.8</v>
      </c>
      <c r="D6" s="14" t="n">
        <v>1428.11</v>
      </c>
      <c r="E6" s="14" t="n">
        <v>1390.18</v>
      </c>
      <c r="F6" s="14" t="n">
        <v>1391.34</v>
      </c>
      <c r="G6" s="15">
        <f>HYPERLINK("https://www.tradingview.com/chart/?symbol=NSE:CIPLA","Chart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6755</v>
      </c>
      <c r="D7" s="14" t="n">
        <v>6704.67</v>
      </c>
      <c r="E7" s="14" t="n">
        <v>6634.42</v>
      </c>
      <c r="F7" s="14" t="n">
        <v>6489.75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1349</v>
      </c>
      <c r="D8" s="14" t="n">
        <v>1331.42</v>
      </c>
      <c r="E8" s="14" t="n">
        <v>1309.41</v>
      </c>
      <c r="F8" s="14" t="n">
        <v>1279.93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2495.8</v>
      </c>
      <c r="D9" s="14" t="n">
        <v>2370.33</v>
      </c>
      <c r="E9" s="14" t="n">
        <v>2214.25</v>
      </c>
      <c r="F9" s="14" t="n">
        <v>1962.69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GLENMARK</t>
        </is>
      </c>
      <c r="C10" s="14" t="n">
        <v>2223.7</v>
      </c>
      <c r="D10" s="14" t="n">
        <v>2207.78</v>
      </c>
      <c r="E10" s="14" t="n">
        <v>2217.95</v>
      </c>
      <c r="F10" s="14" t="n">
        <v>2116.56</v>
      </c>
      <c r="G10" s="15">
        <f>HYPERLINK("https://www.tradingview.com/chart/?symbol=NSE:GLENMARK","Chart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859.55</v>
      </c>
      <c r="D11" s="14" t="n">
        <v>805.52</v>
      </c>
      <c r="E11" s="14" t="n">
        <v>764.35</v>
      </c>
      <c r="F11" s="14" t="n">
        <v>649.59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1762.4</v>
      </c>
      <c r="D12" s="14" t="n">
        <v>1676.45</v>
      </c>
      <c r="E12" s="14" t="n">
        <v>1616.54</v>
      </c>
      <c r="F12" s="14" t="n">
        <v>1517.59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2435.8</v>
      </c>
      <c r="D13" s="14" t="n">
        <v>2293.15</v>
      </c>
      <c r="E13" s="14" t="n">
        <v>2207.57</v>
      </c>
      <c r="F13" s="14" t="n">
        <v>1988.01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1469.2</v>
      </c>
      <c r="D14" s="14" t="n">
        <v>1460.02</v>
      </c>
      <c r="E14" s="14" t="n">
        <v>1370.07</v>
      </c>
      <c r="F14" s="14" t="n">
        <v>1136.53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LUPIN</t>
        </is>
      </c>
      <c r="C15" s="14" t="n">
        <v>2459</v>
      </c>
      <c r="D15" s="14" t="n">
        <v>2387.2</v>
      </c>
      <c r="E15" s="14" t="n">
        <v>2337.31</v>
      </c>
      <c r="F15" s="14" t="n">
        <v>2209.08</v>
      </c>
      <c r="G15" s="15">
        <f>HYPERLINK("https://www.tradingview.com/chart/?symbol=NSE:LUPIN","Chart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2491.2</v>
      </c>
      <c r="D16" s="14" t="n">
        <v>2473.13</v>
      </c>
      <c r="E16" s="14" t="n">
        <v>2403.87</v>
      </c>
      <c r="F16" s="14" t="n">
        <v>2318.36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SUNPHARMA</t>
        </is>
      </c>
      <c r="C17" s="14" t="n">
        <v>1888.2</v>
      </c>
      <c r="D17" s="14" t="n">
        <v>1859.47</v>
      </c>
      <c r="E17" s="14" t="n">
        <v>1826.88</v>
      </c>
      <c r="F17" s="14" t="n">
        <v>1752.68</v>
      </c>
      <c r="G17" s="15">
        <f>HYPERLINK("https://www.tradingview.com/chart/?symbol=NSE:SUNPHARMA","Chart 📈")</f>
        <v/>
      </c>
    </row>
    <row r="18" ht="16" customHeight="1">
      <c r="A18" s="16" t="inlineStr">
        <is>
          <t>NIFTY PHARMA</t>
        </is>
      </c>
      <c r="B18" s="13" t="inlineStr">
        <is>
          <t>TORNTPHARM</t>
        </is>
      </c>
      <c r="C18" s="14" t="n">
        <v>4866.4</v>
      </c>
      <c r="D18" s="14" t="n">
        <v>4626.97</v>
      </c>
      <c r="E18" s="14" t="n">
        <v>4488.18</v>
      </c>
      <c r="F18" s="14" t="n">
        <v>4110.12</v>
      </c>
      <c r="G18" s="15">
        <f>HYPERLINK("https://www.tradingview.com/chart/?symbol=NSE:TORNTPHARM","Chart 📈")</f>
        <v/>
      </c>
    </row>
    <row r="19" ht="16" customHeight="1">
      <c r="A19" s="16" t="inlineStr">
        <is>
          <t>NIFTY PHARMA</t>
        </is>
      </c>
      <c r="B19" s="13" t="inlineStr">
        <is>
          <t>ZYDUSLIFE</t>
        </is>
      </c>
      <c r="C19" s="14" t="n">
        <v>1148</v>
      </c>
      <c r="D19" s="14" t="n">
        <v>1109.52</v>
      </c>
      <c r="E19" s="14" t="n">
        <v>1060.91</v>
      </c>
      <c r="F19" s="14" t="n">
        <v>982.96</v>
      </c>
      <c r="G19" s="15">
        <f>HYPERLINK("https://www.tradingview.com/chart/?symbol=NSE:ZYDUSLIFE","Chart 📈")</f>
        <v/>
      </c>
    </row>
    <row r="20" ht="16" customHeight="1">
      <c r="A20" s="8" t="inlineStr">
        <is>
          <t>NIFTY REALTY</t>
        </is>
      </c>
      <c r="B20" s="17" t="inlineStr">
        <is>
          <t>GODREJPROP</t>
        </is>
      </c>
      <c r="C20" s="18" t="n">
        <v>1979.5</v>
      </c>
      <c r="D20" s="18" t="n">
        <v>1884.49</v>
      </c>
      <c r="E20" s="18" t="n">
        <v>1813.26</v>
      </c>
      <c r="F20" s="18" t="n">
        <v>1875.22</v>
      </c>
      <c r="G20" s="19">
        <f>HYPERLINK("https://www.tradingview.com/chart/?symbol=NSE:GODREJPROP","Chart 📈")</f>
        <v/>
      </c>
    </row>
    <row r="21" ht="16" customHeight="1">
      <c r="A21" s="20" t="inlineStr">
        <is>
          <t>NIFTY REALTY</t>
        </is>
      </c>
      <c r="B21" s="17" t="inlineStr">
        <is>
          <t>LODHA</t>
        </is>
      </c>
      <c r="C21" s="18" t="n">
        <v>1115.1</v>
      </c>
      <c r="D21" s="18" t="n">
        <v>988.01</v>
      </c>
      <c r="E21" s="18" t="n">
        <v>940.42</v>
      </c>
      <c r="F21" s="18" t="n">
        <v>1009.73</v>
      </c>
      <c r="G21" s="19">
        <f>HYPERLINK("https://www.tradingview.com/chart/?symbol=NSE:LODHA","Chart 📈")</f>
        <v/>
      </c>
    </row>
    <row r="22" ht="16" customHeight="1">
      <c r="A22" s="20" t="inlineStr">
        <is>
          <t>NIFTY REALTY</t>
        </is>
      </c>
      <c r="B22" s="17" t="inlineStr">
        <is>
          <t>MAHLIFE</t>
        </is>
      </c>
      <c r="C22" s="18" t="n">
        <v>359.05</v>
      </c>
      <c r="D22" s="18" t="n">
        <v>356.52</v>
      </c>
      <c r="E22" s="18" t="n">
        <v>346.27</v>
      </c>
      <c r="F22" s="18" t="n">
        <v>351.95</v>
      </c>
      <c r="G22" s="19">
        <f>HYPERLINK("https://www.tradingview.com/chart/?symbol=NSE:MAHLIFE","Chart 📈")</f>
        <v/>
      </c>
    </row>
    <row r="23" ht="16" customHeight="1">
      <c r="A23" s="20" t="inlineStr">
        <is>
          <t>NIFTY REALTY</t>
        </is>
      </c>
      <c r="B23" s="17" t="inlineStr">
        <is>
          <t>OBEROIRLTY</t>
        </is>
      </c>
      <c r="C23" s="18" t="n">
        <v>1870.1</v>
      </c>
      <c r="D23" s="18" t="n">
        <v>1787.23</v>
      </c>
      <c r="E23" s="18" t="n">
        <v>1713.25</v>
      </c>
      <c r="F23" s="18" t="n">
        <v>1662.53</v>
      </c>
      <c r="G23" s="19">
        <f>HYPERLINK("https://www.tradingview.com/chart/?symbol=NSE:OBEROIRLTY","Chart 📈")</f>
        <v/>
      </c>
    </row>
    <row r="24" ht="16" customHeight="1">
      <c r="A24" s="20" t="inlineStr">
        <is>
          <t>NIFTY REALTY</t>
        </is>
      </c>
      <c r="B24" s="17" t="inlineStr">
        <is>
          <t>PHOENIXLTD</t>
        </is>
      </c>
      <c r="C24" s="18" t="n">
        <v>2022.5</v>
      </c>
      <c r="D24" s="18" t="n">
        <v>1940.64</v>
      </c>
      <c r="E24" s="18" t="n">
        <v>1851.2</v>
      </c>
      <c r="F24" s="18" t="n">
        <v>1737.67</v>
      </c>
      <c r="G24" s="19">
        <f>HYPERLINK("https://www.tradingview.com/chart/?symbol=NSE:PHOENIXLTD","Chart 📈")</f>
        <v/>
      </c>
    </row>
    <row r="25" ht="16" customHeight="1">
      <c r="A25" s="20" t="inlineStr">
        <is>
          <t>NIFTY REALTY</t>
        </is>
      </c>
      <c r="B25" s="17" t="inlineStr">
        <is>
          <t>PRESTIGE</t>
        </is>
      </c>
      <c r="C25" s="18" t="n">
        <v>1635.3</v>
      </c>
      <c r="D25" s="18" t="n">
        <v>1564.97</v>
      </c>
      <c r="E25" s="18" t="n">
        <v>1482.76</v>
      </c>
      <c r="F25" s="18" t="n">
        <v>1490.87</v>
      </c>
      <c r="G25" s="19">
        <f>HYPERLINK("https://www.tradingview.com/chart/?symbol=NSE:PRESTIGE","Chart 📈")</f>
        <v/>
      </c>
    </row>
    <row r="26" ht="16" customHeight="1">
      <c r="A26" s="20" t="inlineStr">
        <is>
          <t>NIFTY REALTY</t>
        </is>
      </c>
      <c r="B26" s="17" t="inlineStr">
        <is>
          <t>RAYMOND</t>
        </is>
      </c>
      <c r="C26" s="18" t="n">
        <v>595.55</v>
      </c>
      <c r="D26" s="18" t="n">
        <v>586.4</v>
      </c>
      <c r="E26" s="18" t="n">
        <v>544.6</v>
      </c>
      <c r="F26" s="18" t="n">
        <v>511.35</v>
      </c>
      <c r="G26" s="19">
        <f>HYPERLINK("https://www.tradingview.com/chart/?symbol=NSE:RAYMOND","Chart 📈")</f>
        <v/>
      </c>
    </row>
    <row r="27" ht="16" customHeight="1">
      <c r="A27" s="20" t="inlineStr">
        <is>
          <t>NIFTY REALTY</t>
        </is>
      </c>
      <c r="B27" s="17" t="inlineStr">
        <is>
          <t>SOBHA</t>
        </is>
      </c>
      <c r="C27" s="18" t="n">
        <v>1451.2</v>
      </c>
      <c r="D27" s="18" t="n">
        <v>1413.18</v>
      </c>
      <c r="E27" s="18" t="n">
        <v>1394.5</v>
      </c>
      <c r="F27" s="18" t="n">
        <v>1427.34</v>
      </c>
      <c r="G27" s="19">
        <f>HYPERLINK("https://www.tradingview.com/chart/?symbol=NSE:SOBHA","Chart 📈")</f>
        <v/>
      </c>
    </row>
    <row r="28" ht="16" customHeight="1">
      <c r="A28" s="12" t="inlineStr">
        <is>
          <t>NIFTY AUTO</t>
        </is>
      </c>
      <c r="B28" s="13" t="inlineStr">
        <is>
          <t>BAJAJ-AUTO</t>
        </is>
      </c>
      <c r="C28" s="14" t="n">
        <v>10164</v>
      </c>
      <c r="D28" s="14" t="n">
        <v>9987.09</v>
      </c>
      <c r="E28" s="14" t="n">
        <v>9972.040000000001</v>
      </c>
      <c r="F28" s="14" t="n">
        <v>9453.190000000001</v>
      </c>
      <c r="G28" s="15">
        <f>HYPERLINK("https://www.tradingview.com/chart/?symbol=NSE:BAJAJ-AUTO","Chart 📈")</f>
        <v/>
      </c>
    </row>
    <row r="29" ht="16" customHeight="1">
      <c r="A29" s="16" t="inlineStr">
        <is>
          <t>NIFTY AUTO</t>
        </is>
      </c>
      <c r="B29" s="13" t="inlineStr">
        <is>
          <t>BHARATFORG</t>
        </is>
      </c>
      <c r="C29" s="14" t="n">
        <v>2100.5</v>
      </c>
      <c r="D29" s="14" t="n">
        <v>2081.1</v>
      </c>
      <c r="E29" s="14" t="n">
        <v>1991.95</v>
      </c>
      <c r="F29" s="14" t="n">
        <v>1704.51</v>
      </c>
      <c r="G29" s="15">
        <f>HYPERLINK("https://www.tradingview.com/chart/?symbol=NSE:BHARATFORG","Chart 📈")</f>
        <v/>
      </c>
    </row>
    <row r="30" ht="16" customHeight="1">
      <c r="A30" s="16" t="inlineStr">
        <is>
          <t>NIFTY AUTO</t>
        </is>
      </c>
      <c r="B30" s="13" t="inlineStr">
        <is>
          <t>BOSCHLTD</t>
        </is>
      </c>
      <c r="C30" s="14" t="n">
        <v>41610</v>
      </c>
      <c r="D30" s="14" t="n">
        <v>40301.15</v>
      </c>
      <c r="E30" s="14" t="n">
        <v>38610.9</v>
      </c>
      <c r="F30" s="14" t="n">
        <v>36878.41</v>
      </c>
      <c r="G30" s="15">
        <f>HYPERLINK("https://www.tradingview.com/chart/?symbol=NSE:BOSCHLTD","Chart 📈")</f>
        <v/>
      </c>
    </row>
    <row r="31" ht="16" customHeight="1">
      <c r="A31" s="16" t="inlineStr">
        <is>
          <t>NIFTY AUTO</t>
        </is>
      </c>
      <c r="B31" s="13" t="inlineStr">
        <is>
          <t>EICHERMOT</t>
        </is>
      </c>
      <c r="C31" s="14" t="n">
        <v>7418.5</v>
      </c>
      <c r="D31" s="14" t="n">
        <v>7390.06</v>
      </c>
      <c r="E31" s="14" t="n">
        <v>7313.17</v>
      </c>
      <c r="F31" s="14" t="n">
        <v>7040.86</v>
      </c>
      <c r="G31" s="15">
        <f>HYPERLINK("https://www.tradingview.com/chart/?symbol=NSE:EICHERMOT","Chart 📈")</f>
        <v/>
      </c>
    </row>
    <row r="32" ht="16" customHeight="1">
      <c r="A32" s="16" t="inlineStr">
        <is>
          <t>NIFTY AUTO</t>
        </is>
      </c>
      <c r="B32" s="13" t="inlineStr">
        <is>
          <t>EXIDEIND</t>
        </is>
      </c>
      <c r="C32" s="14" t="n">
        <v>421.35</v>
      </c>
      <c r="D32" s="14" t="n">
        <v>397.15</v>
      </c>
      <c r="E32" s="14" t="n">
        <v>379.06</v>
      </c>
      <c r="F32" s="14" t="n">
        <v>362.8</v>
      </c>
      <c r="G32" s="15">
        <f>HYPERLINK("https://www.tradingview.com/chart/?symbol=NSE:EXIDEIND","Chart 📈")</f>
        <v/>
      </c>
    </row>
    <row r="33" ht="16" customHeight="1">
      <c r="A33" s="16" t="inlineStr">
        <is>
          <t>NIFTY AUTO</t>
        </is>
      </c>
      <c r="B33" s="13" t="inlineStr">
        <is>
          <t>TVSMOTOR</t>
        </is>
      </c>
      <c r="C33" s="14" t="n">
        <v>3639.7</v>
      </c>
      <c r="D33" s="14" t="n">
        <v>3536.38</v>
      </c>
      <c r="E33" s="14" t="n">
        <v>3504.21</v>
      </c>
      <c r="F33" s="14" t="n">
        <v>3470.36</v>
      </c>
      <c r="G33" s="15">
        <f>HYPERLINK("https://www.tradingview.com/chart/?symbol=NSE:TVSMOTOR","Chart 📈")</f>
        <v/>
      </c>
    </row>
    <row r="34" ht="16" customHeight="1">
      <c r="A34" s="8" t="inlineStr">
        <is>
          <t>NIFTY FMCG</t>
        </is>
      </c>
      <c r="B34" s="17" t="inlineStr">
        <is>
          <t>BALRAMCHIN</t>
        </is>
      </c>
      <c r="C34" s="18" t="n">
        <v>560.85</v>
      </c>
      <c r="D34" s="18" t="n">
        <v>550.03</v>
      </c>
      <c r="E34" s="18" t="n">
        <v>536.23</v>
      </c>
      <c r="F34" s="18" t="n">
        <v>510.88</v>
      </c>
      <c r="G34" s="19">
        <f>HYPERLINK("https://www.tradingview.com/chart/?symbol=NSE:BALRAMCHIN","Chart 📈")</f>
        <v/>
      </c>
    </row>
    <row r="35" ht="16" customHeight="1">
      <c r="A35" s="20" t="inlineStr">
        <is>
          <t>NIFTY FMCG</t>
        </is>
      </c>
      <c r="B35" s="17" t="inlineStr">
        <is>
          <t>MARICO</t>
        </is>
      </c>
      <c r="C35" s="18" t="n">
        <v>840.1</v>
      </c>
      <c r="D35" s="18" t="n">
        <v>831.78</v>
      </c>
      <c r="E35" s="18" t="n">
        <v>817.78</v>
      </c>
      <c r="F35" s="18" t="n">
        <v>775.66</v>
      </c>
      <c r="G35" s="19">
        <f>HYPERLINK("https://www.tradingview.com/chart/?symbol=NSE:MARICO","Chart 📈")</f>
        <v/>
      </c>
    </row>
    <row r="36" ht="16" customHeight="1">
      <c r="A36" s="20" t="inlineStr">
        <is>
          <t>NIFTY FMCG</t>
        </is>
      </c>
      <c r="B36" s="17" t="inlineStr">
        <is>
          <t>NESTLEIND</t>
        </is>
      </c>
      <c r="C36" s="18" t="n">
        <v>1450.5</v>
      </c>
      <c r="D36" s="18" t="n">
        <v>1427.62</v>
      </c>
      <c r="E36" s="18" t="n">
        <v>1404.65</v>
      </c>
      <c r="F36" s="18" t="n">
        <v>1318.7</v>
      </c>
      <c r="G36" s="19">
        <f>HYPERLINK("https://www.tradingview.com/chart/?symbol=NSE:NESTLEIND","Chart 📈")</f>
        <v/>
      </c>
    </row>
    <row r="37" ht="16" customHeight="1">
      <c r="A37" s="20" t="inlineStr">
        <is>
          <t>NIFTY FMCG</t>
        </is>
      </c>
      <c r="B37" s="17" t="inlineStr">
        <is>
          <t>RADICO</t>
        </is>
      </c>
      <c r="C37" s="18" t="n">
        <v>4077.6</v>
      </c>
      <c r="D37" s="18" t="n">
        <v>3841.99</v>
      </c>
      <c r="E37" s="18" t="n">
        <v>3608.52</v>
      </c>
      <c r="F37" s="18" t="n">
        <v>3188.72</v>
      </c>
      <c r="G37" s="19">
        <f>HYPERLINK("https://www.tradingview.com/chart/?symbol=NSE:RADICO","Chart 📈")</f>
        <v/>
      </c>
    </row>
    <row r="38" ht="16" customHeight="1">
      <c r="A38" s="20" t="inlineStr">
        <is>
          <t>NIFTY FMCG</t>
        </is>
      </c>
      <c r="B38" s="17" t="inlineStr">
        <is>
          <t>UNITDSPR</t>
        </is>
      </c>
      <c r="C38" s="18" t="n">
        <v>1408.8</v>
      </c>
      <c r="D38" s="18" t="n">
        <v>1349.78</v>
      </c>
      <c r="E38" s="18" t="n">
        <v>1319.29</v>
      </c>
      <c r="F38" s="18" t="n">
        <v>1325.72</v>
      </c>
      <c r="G38" s="19">
        <f>HYPERLINK("https://www.tradingview.com/chart/?symbol=NSE:UNITDSPR","Chart 📈")</f>
        <v/>
      </c>
    </row>
    <row r="39" ht="16" customHeight="1">
      <c r="A39" s="12" t="inlineStr">
        <is>
          <t>NIFTY CONSUMER DURABLES</t>
        </is>
      </c>
      <c r="B39" s="13" t="inlineStr">
        <is>
          <t>CENTURYPLY</t>
        </is>
      </c>
      <c r="C39" s="14" t="n">
        <v>770.25</v>
      </c>
      <c r="D39" s="14" t="n">
        <v>759.74</v>
      </c>
      <c r="E39" s="14" t="n">
        <v>758.51</v>
      </c>
      <c r="F39" s="14" t="n">
        <v>758.92</v>
      </c>
      <c r="G39" s="15">
        <f>HYPERLINK("https://www.tradingview.com/chart/?symbol=NSE:CENTURYPLY","Chart 📈")</f>
        <v/>
      </c>
    </row>
    <row r="40" ht="16" customHeight="1">
      <c r="A40" s="16" t="inlineStr">
        <is>
          <t>NIFTY CONSUMER DURABLES</t>
        </is>
      </c>
      <c r="B40" s="13" t="inlineStr">
        <is>
          <t>CERA</t>
        </is>
      </c>
      <c r="C40" s="14" t="n">
        <v>6323.5</v>
      </c>
      <c r="D40" s="14" t="n">
        <v>6233.41</v>
      </c>
      <c r="E40" s="14" t="n">
        <v>5905.72</v>
      </c>
      <c r="F40" s="14" t="n">
        <v>5646.1</v>
      </c>
      <c r="G40" s="15">
        <f>HYPERLINK("https://www.tradingview.com/chart/?symbol=NSE:CERA","Chart 📈")</f>
        <v/>
      </c>
    </row>
    <row r="41" ht="16" customHeight="1">
      <c r="A41" s="16" t="inlineStr">
        <is>
          <t>NIFTY CONSUMER DURABLES</t>
        </is>
      </c>
      <c r="B41" s="13" t="inlineStr">
        <is>
          <t>DIXON</t>
        </is>
      </c>
      <c r="C41" s="14" t="n">
        <v>12934</v>
      </c>
      <c r="D41" s="14" t="n">
        <v>12301.98</v>
      </c>
      <c r="E41" s="14" t="n">
        <v>11834.01</v>
      </c>
      <c r="F41" s="14" t="n">
        <v>12458.25</v>
      </c>
      <c r="G41" s="15">
        <f>HYPERLINK("https://www.tradingview.com/chart/?symbol=NSE:DIXON","Chart 📈")</f>
        <v/>
      </c>
    </row>
    <row r="42" ht="16" customHeight="1">
      <c r="A42" s="16" t="inlineStr">
        <is>
          <t>NIFTY CONSUMER DURABLES</t>
        </is>
      </c>
      <c r="B42" s="13" t="inlineStr">
        <is>
          <t>KAJARIACER</t>
        </is>
      </c>
      <c r="C42" s="14" t="n">
        <v>1193.4</v>
      </c>
      <c r="D42" s="14" t="n">
        <v>1177.3</v>
      </c>
      <c r="E42" s="14" t="n">
        <v>1134.86</v>
      </c>
      <c r="F42" s="14" t="n">
        <v>1093.53</v>
      </c>
      <c r="G42" s="15">
        <f>HYPERLINK("https://www.tradingview.com/chart/?symbol=NSE:KAJARIACER","Chart 📈")</f>
        <v/>
      </c>
    </row>
    <row r="43" ht="16" customHeight="1">
      <c r="A43" s="16" t="inlineStr">
        <is>
          <t>NIFTY CONSUMER DURABLES</t>
        </is>
      </c>
      <c r="B43" s="13" t="inlineStr">
        <is>
          <t>TITAN</t>
        </is>
      </c>
      <c r="C43" s="14" t="n">
        <v>4586.4</v>
      </c>
      <c r="D43" s="14" t="n">
        <v>4384.65</v>
      </c>
      <c r="E43" s="14" t="n">
        <v>4300.23</v>
      </c>
      <c r="F43" s="14" t="n">
        <v>4076.08</v>
      </c>
      <c r="G43" s="15">
        <f>HYPERLINK("https://www.tradingview.com/chart/?symbol=NSE:TITAN","Chart 📈")</f>
        <v/>
      </c>
    </row>
    <row r="44" ht="16" customHeight="1">
      <c r="A44" s="8" t="inlineStr">
        <is>
          <t>NIFTY FINANCIAL SERVICES</t>
        </is>
      </c>
      <c r="B44" s="17" t="inlineStr">
        <is>
          <t>BAJFINANCE</t>
        </is>
      </c>
      <c r="C44" s="18" t="n">
        <v>1010.4</v>
      </c>
      <c r="D44" s="18" t="n">
        <v>982.53</v>
      </c>
      <c r="E44" s="18" t="n">
        <v>949.48</v>
      </c>
      <c r="F44" s="18" t="n">
        <v>942.5</v>
      </c>
      <c r="G44" s="19">
        <f>HYPERLINK("https://www.tradingview.com/chart/?symbol=NSE:BAJFINANCE","Chart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CHOLAFIN</t>
        </is>
      </c>
      <c r="C45" s="18" t="n">
        <v>1769.4</v>
      </c>
      <c r="D45" s="18" t="n">
        <v>1738.26</v>
      </c>
      <c r="E45" s="18" t="n">
        <v>1659.03</v>
      </c>
      <c r="F45" s="18" t="n">
        <v>1614.39</v>
      </c>
      <c r="G45" s="19">
        <f>HYPERLINK("https://www.tradingview.com/chart/?symbol=NSE:CHOLAFIN","Chart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ICICIBANK</t>
        </is>
      </c>
      <c r="C46" s="18" t="n">
        <v>1380.6</v>
      </c>
      <c r="D46" s="18" t="n">
        <v>1366.75</v>
      </c>
      <c r="E46" s="18" t="n">
        <v>1330.84</v>
      </c>
      <c r="F46" s="18" t="n">
        <v>1343.42</v>
      </c>
      <c r="G46" s="19">
        <f>HYPERLINK("https://www.tradingview.com/chart/?symbol=NSE:ICICIBANK","Chart 📈")</f>
        <v/>
      </c>
    </row>
    <row r="47" ht="16" customHeight="1">
      <c r="A47" s="12" t="inlineStr">
        <is>
          <t>NIFTY MIDSMALL IT &amp; TELECOM</t>
        </is>
      </c>
      <c r="B47" s="13" t="inlineStr">
        <is>
          <t>HFCL</t>
        </is>
      </c>
      <c r="C47" s="14" t="n">
        <v>214.74</v>
      </c>
      <c r="D47" s="14" t="n">
        <v>204.68</v>
      </c>
      <c r="E47" s="14" t="n">
        <v>176.21</v>
      </c>
      <c r="F47" s="14" t="n">
        <v>116.55</v>
      </c>
      <c r="G47" s="15">
        <f>HYPERLINK("https://www.tradingview.com/chart/?symbol=NSE:HFCL","Chart 📈")</f>
        <v/>
      </c>
    </row>
    <row r="48" ht="16" customHeight="1">
      <c r="A48" s="16" t="inlineStr">
        <is>
          <t>NIFTY MIDSMALL IT &amp; TELECOM</t>
        </is>
      </c>
      <c r="B48" s="13" t="inlineStr">
        <is>
          <t>OFSS</t>
        </is>
      </c>
      <c r="C48" s="14" t="n">
        <v>11002</v>
      </c>
      <c r="D48" s="14" t="n">
        <v>10522.29</v>
      </c>
      <c r="E48" s="14" t="n">
        <v>9800.16</v>
      </c>
      <c r="F48" s="14" t="n">
        <v>8563.92</v>
      </c>
      <c r="G48" s="15">
        <f>HYPERLINK("https://www.tradingview.com/chart/?symbol=NSE:OFSS","Chart 📈")</f>
        <v/>
      </c>
    </row>
    <row r="49" ht="16" customHeight="1">
      <c r="A49" s="8" t="inlineStr">
        <is>
          <t>NIFTY METAL</t>
        </is>
      </c>
      <c r="B49" s="17" t="inlineStr">
        <is>
          <t>ADANIENT</t>
        </is>
      </c>
      <c r="C49" s="18" t="n">
        <v>3046.9</v>
      </c>
      <c r="D49" s="18" t="n">
        <v>3045.26</v>
      </c>
      <c r="E49" s="18" t="n">
        <v>2849.76</v>
      </c>
      <c r="F49" s="18" t="n">
        <v>2505.69</v>
      </c>
      <c r="G49" s="19">
        <f>HYPERLINK("https://www.tradingview.com/chart/?symbol=NSE:ADANIENT","Chart 📈")</f>
        <v/>
      </c>
    </row>
    <row r="50" ht="16" customHeight="1">
      <c r="A50" s="20" t="inlineStr">
        <is>
          <t>NIFTY METAL</t>
        </is>
      </c>
      <c r="B50" s="17" t="inlineStr">
        <is>
          <t>RATNAMANI</t>
        </is>
      </c>
      <c r="C50" s="18" t="n">
        <v>2590.5</v>
      </c>
      <c r="D50" s="18" t="n">
        <v>2590.19</v>
      </c>
      <c r="E50" s="18" t="n">
        <v>2575.37</v>
      </c>
      <c r="F50" s="18" t="n">
        <v>2502.21</v>
      </c>
      <c r="G50" s="19">
        <f>HYPERLINK("https://www.tradingview.com/chart/?symbol=NSE:RATNAMANI","Chart 📈")</f>
        <v/>
      </c>
    </row>
    <row r="51" ht="16" customHeight="1">
      <c r="A51" s="20" t="inlineStr">
        <is>
          <t>NIFTY METAL</t>
        </is>
      </c>
      <c r="B51" s="17" t="inlineStr">
        <is>
          <t>WELCORP</t>
        </is>
      </c>
      <c r="C51" s="18" t="n">
        <v>1529.2</v>
      </c>
      <c r="D51" s="18" t="n">
        <v>1456.07</v>
      </c>
      <c r="E51" s="18" t="n">
        <v>1351.14</v>
      </c>
      <c r="F51" s="18" t="n">
        <v>1074.56</v>
      </c>
      <c r="G51" s="19">
        <f>HYPERLINK("https://www.tradingview.com/chart/?symbol=NSE:WELCORP","Chart 📈")</f>
        <v/>
      </c>
    </row>
    <row r="52" ht="16" customHeight="1">
      <c r="A52" s="12" t="inlineStr">
        <is>
          <t>NIFTY BANK</t>
        </is>
      </c>
      <c r="B52" s="13" t="inlineStr">
        <is>
          <t>AUBANK</t>
        </is>
      </c>
      <c r="C52" s="14" t="n">
        <v>1038.8</v>
      </c>
      <c r="D52" s="14" t="n">
        <v>1035.54</v>
      </c>
      <c r="E52" s="14" t="n">
        <v>1013.38</v>
      </c>
      <c r="F52" s="14" t="n">
        <v>951.22</v>
      </c>
      <c r="G52" s="15">
        <f>HYPERLINK("https://www.tradingview.com/chart/?symbol=NSE:AUBANK","Chart 📈")</f>
        <v/>
      </c>
    </row>
    <row r="53" ht="16" customHeight="1">
      <c r="A53" s="16" t="inlineStr">
        <is>
          <t>NIFTY BANK</t>
        </is>
      </c>
      <c r="B53" s="13" t="inlineStr">
        <is>
          <t>FEDERALBNK</t>
        </is>
      </c>
      <c r="C53" s="14" t="n">
        <v>326.55</v>
      </c>
      <c r="D53" s="14" t="n">
        <v>322.39</v>
      </c>
      <c r="E53" s="14" t="n">
        <v>309.27</v>
      </c>
      <c r="F53" s="14" t="n">
        <v>275.12</v>
      </c>
      <c r="G53" s="15">
        <f>HYPERLINK("https://www.tradingview.com/chart/?symbol=NSE:FEDERALBNK","Chart 📈")</f>
        <v/>
      </c>
    </row>
    <row r="54" ht="16" customHeight="1">
      <c r="A54" s="16" t="inlineStr">
        <is>
          <t>NIFTY BANK</t>
        </is>
      </c>
      <c r="B54" s="13" t="inlineStr">
        <is>
          <t>INDUSINDBK</t>
        </is>
      </c>
      <c r="C54" s="14" t="n">
        <v>994.65</v>
      </c>
      <c r="D54" s="14" t="n">
        <v>948.09</v>
      </c>
      <c r="E54" s="14" t="n">
        <v>921.88</v>
      </c>
      <c r="F54" s="14" t="n">
        <v>878.34</v>
      </c>
      <c r="G54" s="15">
        <f>HYPERLINK("https://www.tradingview.com/chart/?symbol=NSE:INDUSINDBK","Chart 📈")</f>
        <v/>
      </c>
    </row>
    <row r="55" ht="16" customHeight="1">
      <c r="A55" s="8" t="inlineStr">
        <is>
          <t>NIFTY MEDIA</t>
        </is>
      </c>
      <c r="B55" s="17" t="inlineStr">
        <is>
          <t>TIPSMUSIC</t>
        </is>
      </c>
      <c r="C55" s="18" t="n">
        <v>668.45</v>
      </c>
      <c r="D55" s="18" t="n">
        <v>658.22</v>
      </c>
      <c r="E55" s="18" t="n">
        <v>642.58</v>
      </c>
      <c r="F55" s="18" t="n">
        <v>596.34</v>
      </c>
      <c r="G55" s="19">
        <f>HYPERLINK("https://www.tradingview.com/chart/?symbol=NSE:TIPSMUSIC","Chart 📈")</f>
        <v/>
      </c>
    </row>
    <row r="56" ht="16" customHeight="1">
      <c r="A56" s="12" t="inlineStr">
        <is>
          <t>NIFTY OIL &amp; GAS</t>
        </is>
      </c>
      <c r="B56" s="13" t="inlineStr">
        <is>
          <t>AEGISLOG</t>
        </is>
      </c>
      <c r="C56" s="14" t="n">
        <v>1245.4</v>
      </c>
      <c r="D56" s="14" t="n">
        <v>1144.65</v>
      </c>
      <c r="E56" s="14" t="n">
        <v>960.99</v>
      </c>
      <c r="F56" s="14" t="n">
        <v>790.3</v>
      </c>
      <c r="G56" s="15">
        <f>HYPERLINK("https://www.tradingview.com/chart/?symbol=NSE:AEGISLOG","Chart 📈")</f>
        <v/>
      </c>
    </row>
    <row r="57" ht="16" customHeight="1">
      <c r="A57" s="8" t="inlineStr">
        <is>
          <t>NIFTY ENERGY</t>
        </is>
      </c>
      <c r="B57" s="17" t="inlineStr">
        <is>
          <t>ADANIENSOL</t>
        </is>
      </c>
      <c r="C57" s="18" t="n">
        <v>1655.5</v>
      </c>
      <c r="D57" s="18" t="n">
        <v>1543.75</v>
      </c>
      <c r="E57" s="18" t="n">
        <v>1454.18</v>
      </c>
      <c r="F57" s="18" t="n">
        <v>1181.71</v>
      </c>
      <c r="G57" s="19">
        <f>HYPERLINK("https://www.tradingview.com/chart/?symbol=NSE:ADANIENSOL","Chart 📈")</f>
        <v/>
      </c>
    </row>
    <row r="58" ht="16" customHeight="1">
      <c r="A58" s="20" t="inlineStr">
        <is>
          <t>NIFTY ENERGY</t>
        </is>
      </c>
      <c r="B58" s="17" t="inlineStr">
        <is>
          <t>SCHNEIDER</t>
        </is>
      </c>
      <c r="C58" s="18" t="n">
        <v>1496.6</v>
      </c>
      <c r="D58" s="18" t="n">
        <v>1379.29</v>
      </c>
      <c r="E58" s="18" t="n">
        <v>1276.83</v>
      </c>
      <c r="F58" s="18" t="n">
        <v>1027.74</v>
      </c>
      <c r="G58" s="19">
        <f>HYPERLINK("https://www.tradingview.com/chart/?symbol=NSE:SCHNEIDER","Chart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2026-07-08T12:30:04Z</dcterms:created>
  <dcterms:modified xsi:type="dcterms:W3CDTF">2026-07-08T12:30:04Z</dcterms:modified>
</cp:coreProperties>
</file>