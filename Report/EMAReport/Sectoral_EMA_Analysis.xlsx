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28-Sep-2026  18:35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14</v>
      </c>
      <c r="D4" s="5" t="n">
        <v>13</v>
      </c>
      <c r="E4" s="5" t="n">
        <v>13</v>
      </c>
      <c r="F4" s="6" t="n">
        <v>0.7</v>
      </c>
      <c r="G4" s="6" t="n">
        <v>0.65</v>
      </c>
      <c r="H4" s="6" t="n">
        <v>0.65</v>
      </c>
      <c r="I4" s="7" t="n">
        <v>0.6667000000000001</v>
      </c>
    </row>
    <row r="5" ht="17" customHeight="1">
      <c r="A5" s="8" t="inlineStr">
        <is>
          <t>NIFTY METAL</t>
        </is>
      </c>
      <c r="B5" s="9" t="n">
        <v>15</v>
      </c>
      <c r="C5" s="9" t="n">
        <v>8</v>
      </c>
      <c r="D5" s="9" t="n">
        <v>8</v>
      </c>
      <c r="E5" s="9" t="n">
        <v>11</v>
      </c>
      <c r="F5" s="10" t="n">
        <v>0.5329999999999999</v>
      </c>
      <c r="G5" s="10" t="n">
        <v>0.5329999999999999</v>
      </c>
      <c r="H5" s="10" t="n">
        <v>0.733</v>
      </c>
      <c r="I5" s="11" t="n">
        <v>0.5997</v>
      </c>
    </row>
    <row r="6" ht="17" customHeight="1">
      <c r="A6" s="4" t="inlineStr">
        <is>
          <t>NIFTY REALTY</t>
        </is>
      </c>
      <c r="B6" s="5" t="n">
        <v>10</v>
      </c>
      <c r="C6" s="5" t="n">
        <v>5</v>
      </c>
      <c r="D6" s="5" t="n">
        <v>5</v>
      </c>
      <c r="E6" s="5" t="n">
        <v>6</v>
      </c>
      <c r="F6" s="6" t="n">
        <v>0.5</v>
      </c>
      <c r="G6" s="6" t="n">
        <v>0.5</v>
      </c>
      <c r="H6" s="6" t="n">
        <v>0.6</v>
      </c>
      <c r="I6" s="7" t="n">
        <v>0.5333</v>
      </c>
    </row>
    <row r="7" ht="17" customHeight="1">
      <c r="A7" s="8" t="inlineStr">
        <is>
          <t>NIFTY MEDIA</t>
        </is>
      </c>
      <c r="B7" s="9" t="n">
        <v>10</v>
      </c>
      <c r="C7" s="9" t="n">
        <v>3</v>
      </c>
      <c r="D7" s="9" t="n">
        <v>5</v>
      </c>
      <c r="E7" s="9" t="n">
        <v>4</v>
      </c>
      <c r="F7" s="10" t="n">
        <v>0.3</v>
      </c>
      <c r="G7" s="10" t="n">
        <v>0.5</v>
      </c>
      <c r="H7" s="10" t="n">
        <v>0.4</v>
      </c>
      <c r="I7" s="11" t="n">
        <v>0.4</v>
      </c>
    </row>
    <row r="8" ht="17" customHeight="1">
      <c r="A8" s="4" t="inlineStr">
        <is>
          <t>NIFTY AUTO</t>
        </is>
      </c>
      <c r="B8" s="5" t="n">
        <v>15</v>
      </c>
      <c r="C8" s="5" t="n">
        <v>5</v>
      </c>
      <c r="D8" s="5" t="n">
        <v>4</v>
      </c>
      <c r="E8" s="5" t="n">
        <v>7</v>
      </c>
      <c r="F8" s="6" t="n">
        <v>0.333</v>
      </c>
      <c r="G8" s="6" t="n">
        <v>0.267</v>
      </c>
      <c r="H8" s="6" t="n">
        <v>0.467</v>
      </c>
      <c r="I8" s="7" t="n">
        <v>0.3557</v>
      </c>
    </row>
    <row r="9" ht="17" customHeight="1">
      <c r="A9" s="8" t="inlineStr">
        <is>
          <t>NIFTY CONSUMER DURABLES</t>
        </is>
      </c>
      <c r="B9" s="9" t="n">
        <v>15</v>
      </c>
      <c r="C9" s="9" t="n">
        <v>3</v>
      </c>
      <c r="D9" s="9" t="n">
        <v>5</v>
      </c>
      <c r="E9" s="9" t="n">
        <v>5</v>
      </c>
      <c r="F9" s="10" t="n">
        <v>0.2</v>
      </c>
      <c r="G9" s="10" t="n">
        <v>0.333</v>
      </c>
      <c r="H9" s="10" t="n">
        <v>0.333</v>
      </c>
      <c r="I9" s="11" t="n">
        <v>0.2887</v>
      </c>
    </row>
    <row r="10" ht="17" customHeight="1">
      <c r="A10" s="4" t="inlineStr">
        <is>
          <t>NIFTY OIL &amp; GAS</t>
        </is>
      </c>
      <c r="B10" s="5" t="n">
        <v>15</v>
      </c>
      <c r="C10" s="5" t="n">
        <v>3</v>
      </c>
      <c r="D10" s="5" t="n">
        <v>4</v>
      </c>
      <c r="E10" s="5" t="n">
        <v>5</v>
      </c>
      <c r="F10" s="6" t="n">
        <v>0.2</v>
      </c>
      <c r="G10" s="6" t="n">
        <v>0.267</v>
      </c>
      <c r="H10" s="6" t="n">
        <v>0.333</v>
      </c>
      <c r="I10" s="7" t="n">
        <v>0.2667</v>
      </c>
    </row>
    <row r="11" ht="17" customHeight="1">
      <c r="A11" s="8" t="inlineStr">
        <is>
          <t>NIFTY PSU BANK</t>
        </is>
      </c>
      <c r="B11" s="9" t="n">
        <v>12</v>
      </c>
      <c r="C11" s="9" t="n">
        <v>3</v>
      </c>
      <c r="D11" s="9" t="n">
        <v>3</v>
      </c>
      <c r="E11" s="9" t="n">
        <v>3</v>
      </c>
      <c r="F11" s="10" t="n">
        <v>0.25</v>
      </c>
      <c r="G11" s="10" t="n">
        <v>0.25</v>
      </c>
      <c r="H11" s="10" t="n">
        <v>0.25</v>
      </c>
      <c r="I11" s="11" t="n">
        <v>0.25</v>
      </c>
    </row>
    <row r="12" ht="17" customHeight="1">
      <c r="A12" s="4" t="inlineStr">
        <is>
          <t>NIFTY FMCG</t>
        </is>
      </c>
      <c r="B12" s="5" t="n">
        <v>15</v>
      </c>
      <c r="C12" s="5" t="n">
        <v>4</v>
      </c>
      <c r="D12" s="5" t="n">
        <v>3</v>
      </c>
      <c r="E12" s="5" t="n">
        <v>4</v>
      </c>
      <c r="F12" s="6" t="n">
        <v>0.267</v>
      </c>
      <c r="G12" s="6" t="n">
        <v>0.2</v>
      </c>
      <c r="H12" s="6" t="n">
        <v>0.267</v>
      </c>
      <c r="I12" s="7" t="n">
        <v>0.2447</v>
      </c>
    </row>
    <row r="13" ht="17" customHeight="1">
      <c r="A13" s="8" t="inlineStr">
        <is>
          <t>NIFTY FINANCIAL SERVICES</t>
        </is>
      </c>
      <c r="B13" s="9" t="n">
        <v>20</v>
      </c>
      <c r="C13" s="9" t="n">
        <v>5</v>
      </c>
      <c r="D13" s="9" t="n">
        <v>3</v>
      </c>
      <c r="E13" s="9" t="n">
        <v>4</v>
      </c>
      <c r="F13" s="10" t="n">
        <v>0.25</v>
      </c>
      <c r="G13" s="10" t="n">
        <v>0.15</v>
      </c>
      <c r="H13" s="10" t="n">
        <v>0.2</v>
      </c>
      <c r="I13" s="11" t="n">
        <v>0.2</v>
      </c>
    </row>
    <row r="14" ht="17" customHeight="1">
      <c r="A14" s="4" t="inlineStr">
        <is>
          <t>NIFTY MIDSMALL IT &amp; TELECOM</t>
        </is>
      </c>
      <c r="B14" s="5" t="n">
        <v>20</v>
      </c>
      <c r="C14" s="5" t="n">
        <v>1</v>
      </c>
      <c r="D14" s="5" t="n">
        <v>3</v>
      </c>
      <c r="E14" s="5" t="n">
        <v>6</v>
      </c>
      <c r="F14" s="6" t="n">
        <v>0.05</v>
      </c>
      <c r="G14" s="6" t="n">
        <v>0.15</v>
      </c>
      <c r="H14" s="6" t="n">
        <v>0.3</v>
      </c>
      <c r="I14" s="7" t="n">
        <v>0.1667</v>
      </c>
    </row>
    <row r="15" ht="17" customHeight="1">
      <c r="A15" s="8" t="inlineStr">
        <is>
          <t>NIFTY ENERGY</t>
        </is>
      </c>
      <c r="B15" s="9" t="n">
        <v>40</v>
      </c>
      <c r="C15" s="9" t="n">
        <v>3</v>
      </c>
      <c r="D15" s="9" t="n">
        <v>3</v>
      </c>
      <c r="E15" s="9" t="n">
        <v>11</v>
      </c>
      <c r="F15" s="10" t="n">
        <v>0.075</v>
      </c>
      <c r="G15" s="10" t="n">
        <v>0.075</v>
      </c>
      <c r="H15" s="10" t="n">
        <v>0.275</v>
      </c>
      <c r="I15" s="11" t="n">
        <v>0.1417</v>
      </c>
    </row>
    <row r="16" ht="17" customHeight="1">
      <c r="A16" s="4" t="inlineStr">
        <is>
          <t>NIFTY BANK</t>
        </is>
      </c>
      <c r="B16" s="5" t="n">
        <v>12</v>
      </c>
      <c r="C16" s="5" t="n">
        <v>0</v>
      </c>
      <c r="D16" s="5" t="n">
        <v>0</v>
      </c>
      <c r="E16" s="5" t="n">
        <v>3</v>
      </c>
      <c r="F16" s="6" t="n">
        <v>0</v>
      </c>
      <c r="G16" s="6" t="n">
        <v>0</v>
      </c>
      <c r="H16" s="6" t="n">
        <v>0.25</v>
      </c>
      <c r="I16" s="7" t="n">
        <v>0.0833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0</v>
      </c>
      <c r="E17" s="9" t="n">
        <v>1</v>
      </c>
      <c r="F17" s="10" t="n">
        <v>0</v>
      </c>
      <c r="G17" s="10" t="n">
        <v>0</v>
      </c>
      <c r="H17" s="10" t="n">
        <v>0.1</v>
      </c>
      <c r="I17" s="11" t="n">
        <v>0.0333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ABBOTINDIA</t>
        </is>
      </c>
      <c r="C3" s="14" t="n">
        <v>26955</v>
      </c>
      <c r="D3" s="14" t="n">
        <v>26505.99</v>
      </c>
      <c r="E3" s="14" t="n">
        <v>26528.66</v>
      </c>
      <c r="F3" s="14" t="n">
        <v>26749.39</v>
      </c>
      <c r="G3" s="15">
        <f>HYPERLINK("https://www.tradingview.com/chart/?symbol=NSE:ABBOTINDIA","Chart 📈")</f>
        <v/>
      </c>
    </row>
    <row r="4" ht="16" customHeight="1">
      <c r="A4" s="16" t="inlineStr">
        <is>
          <t>NIFTY PHARMA</t>
        </is>
      </c>
      <c r="B4" s="13" t="inlineStr">
        <is>
          <t>AJANTPHARM</t>
        </is>
      </c>
      <c r="C4" s="14" t="n">
        <v>3547.8</v>
      </c>
      <c r="D4" s="14" t="n">
        <v>3536.63</v>
      </c>
      <c r="E4" s="14" t="n">
        <v>3484.29</v>
      </c>
      <c r="F4" s="14" t="n">
        <v>3124.45</v>
      </c>
      <c r="G4" s="15">
        <f>HYPERLINK("https://www.tradingview.com/chart/?symbol=NSE:AJANTPHARM","Chart 📈")</f>
        <v/>
      </c>
    </row>
    <row r="5" ht="16" customHeight="1">
      <c r="A5" s="16" t="inlineStr">
        <is>
          <t>NIFTY PHARMA</t>
        </is>
      </c>
      <c r="B5" s="13" t="inlineStr">
        <is>
          <t>AUROPHARMA</t>
        </is>
      </c>
      <c r="C5" s="14" t="n">
        <v>1712</v>
      </c>
      <c r="D5" s="14" t="n">
        <v>1684.27</v>
      </c>
      <c r="E5" s="14" t="n">
        <v>1639.11</v>
      </c>
      <c r="F5" s="14" t="n">
        <v>1454.23</v>
      </c>
      <c r="G5" s="15">
        <f>HYPERLINK("https://www.tradingview.com/chart/?symbol=NSE:AUROPHARMA","Chart 📈")</f>
        <v/>
      </c>
    </row>
    <row r="6" ht="16" customHeight="1">
      <c r="A6" s="16" t="inlineStr">
        <is>
          <t>NIFTY PHARMA</t>
        </is>
      </c>
      <c r="B6" s="13" t="inlineStr">
        <is>
          <t>DIVISLAB</t>
        </is>
      </c>
      <c r="C6" s="14" t="n">
        <v>9619.5</v>
      </c>
      <c r="D6" s="14" t="n">
        <v>9294.190000000001</v>
      </c>
      <c r="E6" s="14" t="n">
        <v>8715.26</v>
      </c>
      <c r="F6" s="14" t="n">
        <v>7322.34</v>
      </c>
      <c r="G6" s="15">
        <f>HYPERLINK("https://www.tradingview.com/chart/?symbol=NSE:DIVISLAB","Chart 📈")</f>
        <v/>
      </c>
    </row>
    <row r="7" ht="16" customHeight="1">
      <c r="A7" s="16" t="inlineStr">
        <is>
          <t>NIFTY PHARMA</t>
        </is>
      </c>
      <c r="B7" s="13" t="inlineStr">
        <is>
          <t>GLAND</t>
        </is>
      </c>
      <c r="C7" s="14" t="n">
        <v>2917.2</v>
      </c>
      <c r="D7" s="14" t="n">
        <v>2899.58</v>
      </c>
      <c r="E7" s="14" t="n">
        <v>2771.28</v>
      </c>
      <c r="F7" s="14" t="n">
        <v>2309.42</v>
      </c>
      <c r="G7" s="15">
        <f>HYPERLINK("https://www.tradingview.com/chart/?symbol=NSE:GLAND","Chart 📈")</f>
        <v/>
      </c>
    </row>
    <row r="8" ht="16" customHeight="1">
      <c r="A8" s="16" t="inlineStr">
        <is>
          <t>NIFTY PHARMA</t>
        </is>
      </c>
      <c r="B8" s="13" t="inlineStr">
        <is>
          <t>GRANULES</t>
        </is>
      </c>
      <c r="C8" s="14" t="n">
        <v>868.65</v>
      </c>
      <c r="D8" s="14" t="n">
        <v>865.4400000000001</v>
      </c>
      <c r="E8" s="14" t="n">
        <v>851.5599999999999</v>
      </c>
      <c r="F8" s="14" t="n">
        <v>742.66</v>
      </c>
      <c r="G8" s="15">
        <f>HYPERLINK("https://www.tradingview.com/chart/?symbol=NSE:GRANULES","Chart 📈")</f>
        <v/>
      </c>
    </row>
    <row r="9" ht="16" customHeight="1">
      <c r="A9" s="16" t="inlineStr">
        <is>
          <t>NIFTY PHARMA</t>
        </is>
      </c>
      <c r="B9" s="13" t="inlineStr">
        <is>
          <t>IPCALAB</t>
        </is>
      </c>
      <c r="C9" s="14" t="n">
        <v>1970.8</v>
      </c>
      <c r="D9" s="14" t="n">
        <v>1960.14</v>
      </c>
      <c r="E9" s="14" t="n">
        <v>1887.43</v>
      </c>
      <c r="F9" s="14" t="n">
        <v>1663.59</v>
      </c>
      <c r="G9" s="15">
        <f>HYPERLINK("https://www.tradingview.com/chart/?symbol=NSE:IPCALAB","Chart 📈")</f>
        <v/>
      </c>
    </row>
    <row r="10" ht="16" customHeight="1">
      <c r="A10" s="16" t="inlineStr">
        <is>
          <t>NIFTY PHARMA</t>
        </is>
      </c>
      <c r="B10" s="13" t="inlineStr">
        <is>
          <t>LAURUSLABS</t>
        </is>
      </c>
      <c r="C10" s="14" t="n">
        <v>2007</v>
      </c>
      <c r="D10" s="14" t="n">
        <v>1948.59</v>
      </c>
      <c r="E10" s="14" t="n">
        <v>1835.29</v>
      </c>
      <c r="F10" s="14" t="n">
        <v>1440.97</v>
      </c>
      <c r="G10" s="15">
        <f>HYPERLINK("https://www.tradingview.com/chart/?symbol=NSE:LAURUSLABS","Chart 📈")</f>
        <v/>
      </c>
    </row>
    <row r="11" ht="16" customHeight="1">
      <c r="A11" s="16" t="inlineStr">
        <is>
          <t>NIFTY PHARMA</t>
        </is>
      </c>
      <c r="B11" s="13" t="inlineStr">
        <is>
          <t>MANKIND</t>
        </is>
      </c>
      <c r="C11" s="14" t="n">
        <v>2474.9</v>
      </c>
      <c r="D11" s="14" t="n">
        <v>2383.05</v>
      </c>
      <c r="E11" s="14" t="n">
        <v>2394.45</v>
      </c>
      <c r="F11" s="14" t="n">
        <v>2359.85</v>
      </c>
      <c r="G11" s="15">
        <f>HYPERLINK("https://www.tradingview.com/chart/?symbol=NSE:MANKIND","Chart 📈")</f>
        <v/>
      </c>
    </row>
    <row r="12" ht="16" customHeight="1">
      <c r="A12" s="16" t="inlineStr">
        <is>
          <t>NIFTY PHARMA</t>
        </is>
      </c>
      <c r="B12" s="13" t="inlineStr">
        <is>
          <t>TORNTPHARM</t>
        </is>
      </c>
      <c r="C12" s="14" t="n">
        <v>4988.5</v>
      </c>
      <c r="D12" s="14" t="n">
        <v>4932.37</v>
      </c>
      <c r="E12" s="14" t="n">
        <v>4893.11</v>
      </c>
      <c r="F12" s="14" t="n">
        <v>4485.3</v>
      </c>
      <c r="G12" s="15">
        <f>HYPERLINK("https://www.tradingview.com/chart/?symbol=NSE:TORNTPHARM","Chart 📈")</f>
        <v/>
      </c>
    </row>
    <row r="13" ht="16" customHeight="1">
      <c r="A13" s="16" t="inlineStr">
        <is>
          <t>NIFTY PHARMA</t>
        </is>
      </c>
      <c r="B13" s="13" t="inlineStr">
        <is>
          <t>ZYDUSLIFE</t>
        </is>
      </c>
      <c r="C13" s="14" t="n">
        <v>1203.9</v>
      </c>
      <c r="D13" s="14" t="n">
        <v>1150.93</v>
      </c>
      <c r="E13" s="14" t="n">
        <v>1134.8</v>
      </c>
      <c r="F13" s="14" t="n">
        <v>1051.37</v>
      </c>
      <c r="G13" s="15">
        <f>HYPERLINK("https://www.tradingview.com/chart/?symbol=NSE:ZYDUSLIFE","Chart 📈")</f>
        <v/>
      </c>
    </row>
    <row r="14" ht="16" customHeight="1">
      <c r="A14" s="8" t="inlineStr">
        <is>
          <t>NIFTY METAL</t>
        </is>
      </c>
      <c r="B14" s="17" t="inlineStr">
        <is>
          <t>APLAPOLLO</t>
        </is>
      </c>
      <c r="C14" s="18" t="n">
        <v>2214.7</v>
      </c>
      <c r="D14" s="18" t="n">
        <v>2170.84</v>
      </c>
      <c r="E14" s="18" t="n">
        <v>2089.32</v>
      </c>
      <c r="F14" s="18" t="n">
        <v>1952.63</v>
      </c>
      <c r="G14" s="19">
        <f>HYPERLINK("https://www.tradingview.com/chart/?symbol=NSE:APLAPOLLO","Chart 📈")</f>
        <v/>
      </c>
    </row>
    <row r="15" ht="16" customHeight="1">
      <c r="A15" s="20" t="inlineStr">
        <is>
          <t>NIFTY METAL</t>
        </is>
      </c>
      <c r="B15" s="17" t="inlineStr">
        <is>
          <t>HINDZINC</t>
        </is>
      </c>
      <c r="C15" s="18" t="n">
        <v>588.95</v>
      </c>
      <c r="D15" s="18" t="n">
        <v>586.66</v>
      </c>
      <c r="E15" s="18" t="n">
        <v>579.97</v>
      </c>
      <c r="F15" s="18" t="n">
        <v>562.9</v>
      </c>
      <c r="G15" s="19">
        <f>HYPERLINK("https://www.tradingview.com/chart/?symbol=NSE:HINDZINC","Chart 📈")</f>
        <v/>
      </c>
    </row>
    <row r="16" ht="16" customHeight="1">
      <c r="A16" s="20" t="inlineStr">
        <is>
          <t>NIFTY METAL</t>
        </is>
      </c>
      <c r="B16" s="17" t="inlineStr">
        <is>
          <t>JINDALSTEL</t>
        </is>
      </c>
      <c r="C16" s="18" t="n">
        <v>1164.8</v>
      </c>
      <c r="D16" s="18" t="n">
        <v>1139.5</v>
      </c>
      <c r="E16" s="18" t="n">
        <v>1128.14</v>
      </c>
      <c r="F16" s="18" t="n">
        <v>1121.05</v>
      </c>
      <c r="G16" s="19">
        <f>HYPERLINK("https://www.tradingview.com/chart/?symbol=NSE:JINDALSTEL","Chart 📈")</f>
        <v/>
      </c>
    </row>
    <row r="17" ht="16" customHeight="1">
      <c r="A17" s="20" t="inlineStr">
        <is>
          <t>NIFTY METAL</t>
        </is>
      </c>
      <c r="B17" s="17" t="inlineStr">
        <is>
          <t>JSL</t>
        </is>
      </c>
      <c r="C17" s="18" t="n">
        <v>748.25</v>
      </c>
      <c r="D17" s="18" t="n">
        <v>740.92</v>
      </c>
      <c r="E17" s="18" t="n">
        <v>732.3200000000001</v>
      </c>
      <c r="F17" s="18" t="n">
        <v>735.23</v>
      </c>
      <c r="G17" s="19">
        <f>HYPERLINK("https://www.tradingview.com/chart/?symbol=NSE:JSL","Chart 📈")</f>
        <v/>
      </c>
    </row>
    <row r="18" ht="16" customHeight="1">
      <c r="A18" s="20" t="inlineStr">
        <is>
          <t>NIFTY METAL</t>
        </is>
      </c>
      <c r="B18" s="17" t="inlineStr">
        <is>
          <t>RATNAMANI</t>
        </is>
      </c>
      <c r="C18" s="18" t="n">
        <v>2778.3</v>
      </c>
      <c r="D18" s="18" t="n">
        <v>2729.66</v>
      </c>
      <c r="E18" s="18" t="n">
        <v>2628.84</v>
      </c>
      <c r="F18" s="18" t="n">
        <v>2499.49</v>
      </c>
      <c r="G18" s="19">
        <f>HYPERLINK("https://www.tradingview.com/chart/?symbol=NSE:RATNAMANI","Chart 📈")</f>
        <v/>
      </c>
    </row>
    <row r="19" ht="16" customHeight="1">
      <c r="A19" s="20" t="inlineStr">
        <is>
          <t>NIFTY METAL</t>
        </is>
      </c>
      <c r="B19" s="17" t="inlineStr">
        <is>
          <t>SAIL</t>
        </is>
      </c>
      <c r="C19" s="18" t="n">
        <v>185</v>
      </c>
      <c r="D19" s="18" t="n">
        <v>181.5</v>
      </c>
      <c r="E19" s="18" t="n">
        <v>179.71</v>
      </c>
      <c r="F19" s="18" t="n">
        <v>168.6</v>
      </c>
      <c r="G19" s="19">
        <f>HYPERLINK("https://www.tradingview.com/chart/?symbol=NSE:SAIL","Chart 📈")</f>
        <v/>
      </c>
    </row>
    <row r="20" ht="16" customHeight="1">
      <c r="A20" s="20" t="inlineStr">
        <is>
          <t>NIFTY METAL</t>
        </is>
      </c>
      <c r="B20" s="17" t="inlineStr">
        <is>
          <t>WELCORP</t>
        </is>
      </c>
      <c r="C20" s="18" t="n">
        <v>2832.4</v>
      </c>
      <c r="D20" s="18" t="n">
        <v>2579.28</v>
      </c>
      <c r="E20" s="18" t="n">
        <v>2262.18</v>
      </c>
      <c r="F20" s="18" t="n">
        <v>1550.03</v>
      </c>
      <c r="G20" s="19">
        <f>HYPERLINK("https://www.tradingview.com/chart/?symbol=NSE:WELCORP","Chart 📈")</f>
        <v/>
      </c>
    </row>
    <row r="21" ht="16" customHeight="1">
      <c r="A21" s="12" t="inlineStr">
        <is>
          <t>NIFTY REALTY</t>
        </is>
      </c>
      <c r="B21" s="13" t="inlineStr">
        <is>
          <t>DLF</t>
        </is>
      </c>
      <c r="C21" s="14" t="n">
        <v>683</v>
      </c>
      <c r="D21" s="14" t="n">
        <v>661.76</v>
      </c>
      <c r="E21" s="14" t="n">
        <v>656.2</v>
      </c>
      <c r="F21" s="14" t="n">
        <v>642.6</v>
      </c>
      <c r="G21" s="15">
        <f>HYPERLINK("https://www.tradingview.com/chart/?symbol=NSE:DLF","Chart 📈")</f>
        <v/>
      </c>
    </row>
    <row r="22" ht="16" customHeight="1">
      <c r="A22" s="16" t="inlineStr">
        <is>
          <t>NIFTY REALTY</t>
        </is>
      </c>
      <c r="B22" s="13" t="inlineStr">
        <is>
          <t>LODHA</t>
        </is>
      </c>
      <c r="C22" s="14" t="n">
        <v>1165</v>
      </c>
      <c r="D22" s="14" t="n">
        <v>1160.82</v>
      </c>
      <c r="E22" s="14" t="n">
        <v>1158.51</v>
      </c>
      <c r="F22" s="14" t="n">
        <v>1075.4</v>
      </c>
      <c r="G22" s="15">
        <f>HYPERLINK("https://www.tradingview.com/chart/?symbol=NSE:LODHA","Chart 📈")</f>
        <v/>
      </c>
    </row>
    <row r="23" ht="16" customHeight="1">
      <c r="A23" s="16" t="inlineStr">
        <is>
          <t>NIFTY REALTY</t>
        </is>
      </c>
      <c r="B23" s="13" t="inlineStr">
        <is>
          <t>OBEROIRLTY</t>
        </is>
      </c>
      <c r="C23" s="14" t="n">
        <v>1858.5</v>
      </c>
      <c r="D23" s="14" t="n">
        <v>1815.34</v>
      </c>
      <c r="E23" s="14" t="n">
        <v>1814.61</v>
      </c>
      <c r="F23" s="14" t="n">
        <v>1722.45</v>
      </c>
      <c r="G23" s="15">
        <f>HYPERLINK("https://www.tradingview.com/chart/?symbol=NSE:OBEROIRLTY","Chart 📈")</f>
        <v/>
      </c>
    </row>
    <row r="24" ht="16" customHeight="1">
      <c r="A24" s="16" t="inlineStr">
        <is>
          <t>NIFTY REALTY</t>
        </is>
      </c>
      <c r="B24" s="13" t="inlineStr">
        <is>
          <t>PHOENIXLTD</t>
        </is>
      </c>
      <c r="C24" s="14" t="n">
        <v>1978.4</v>
      </c>
      <c r="D24" s="14" t="n">
        <v>1921.24</v>
      </c>
      <c r="E24" s="14" t="n">
        <v>1919.32</v>
      </c>
      <c r="F24" s="14" t="n">
        <v>1826.06</v>
      </c>
      <c r="G24" s="15">
        <f>HYPERLINK("https://www.tradingview.com/chart/?symbol=NSE:PHOENIXLTD","Chart 📈")</f>
        <v/>
      </c>
    </row>
    <row r="25" ht="16" customHeight="1">
      <c r="A25" s="16" t="inlineStr">
        <is>
          <t>NIFTY REALTY</t>
        </is>
      </c>
      <c r="B25" s="13" t="inlineStr">
        <is>
          <t>RAYMOND</t>
        </is>
      </c>
      <c r="C25" s="14" t="n">
        <v>1196.65</v>
      </c>
      <c r="D25" s="14" t="n">
        <v>959.4400000000001</v>
      </c>
      <c r="E25" s="14" t="n">
        <v>799.03</v>
      </c>
      <c r="F25" s="14" t="n">
        <v>605.59</v>
      </c>
      <c r="G25" s="15">
        <f>HYPERLINK("https://www.tradingview.com/chart/?symbol=NSE:RAYMOND","Chart 📈")</f>
        <v/>
      </c>
    </row>
    <row r="26" ht="16" customHeight="1">
      <c r="A26" s="8" t="inlineStr">
        <is>
          <t>NIFTY MEDIA</t>
        </is>
      </c>
      <c r="B26" s="17" t="inlineStr">
        <is>
          <t>NAZARA</t>
        </is>
      </c>
      <c r="C26" s="18" t="n">
        <v>376.45</v>
      </c>
      <c r="D26" s="18" t="n">
        <v>366.56</v>
      </c>
      <c r="E26" s="18" t="n">
        <v>350.92</v>
      </c>
      <c r="F26" s="18" t="n">
        <v>304.87</v>
      </c>
      <c r="G26" s="19">
        <f>HYPERLINK("https://www.tradingview.com/chart/?symbol=NSE:NAZARA","Chart 📈")</f>
        <v/>
      </c>
    </row>
    <row r="27" ht="16" customHeight="1">
      <c r="A27" s="20" t="inlineStr">
        <is>
          <t>NIFTY MEDIA</t>
        </is>
      </c>
      <c r="B27" s="17" t="inlineStr">
        <is>
          <t>TIPSMUSIC</t>
        </is>
      </c>
      <c r="C27" s="18" t="n">
        <v>668.95</v>
      </c>
      <c r="D27" s="18" t="n">
        <v>658.89</v>
      </c>
      <c r="E27" s="18" t="n">
        <v>658.39</v>
      </c>
      <c r="F27" s="18" t="n">
        <v>623.62</v>
      </c>
      <c r="G27" s="19">
        <f>HYPERLINK("https://www.tradingview.com/chart/?symbol=NSE:TIPSMUSIC","Chart 📈")</f>
        <v/>
      </c>
    </row>
    <row r="28" ht="16" customHeight="1">
      <c r="A28" s="12" t="inlineStr">
        <is>
          <t>NIFTY AUTO</t>
        </is>
      </c>
      <c r="B28" s="13" t="inlineStr">
        <is>
          <t>BOSCHLTD</t>
        </is>
      </c>
      <c r="C28" s="14" t="n">
        <v>48250</v>
      </c>
      <c r="D28" s="14" t="n">
        <v>47719.99</v>
      </c>
      <c r="E28" s="14" t="n">
        <v>45912.87</v>
      </c>
      <c r="F28" s="14" t="n">
        <v>40654.01</v>
      </c>
      <c r="G28" s="15">
        <f>HYPERLINK("https://www.tradingview.com/chart/?symbol=NSE:BOSCHLTD","Chart 📈")</f>
        <v/>
      </c>
    </row>
    <row r="29" ht="16" customHeight="1">
      <c r="A29" s="16" t="inlineStr">
        <is>
          <t>NIFTY AUTO</t>
        </is>
      </c>
      <c r="B29" s="13" t="inlineStr">
        <is>
          <t>HEROMOTOCO</t>
        </is>
      </c>
      <c r="C29" s="14" t="n">
        <v>5360</v>
      </c>
      <c r="D29" s="14" t="n">
        <v>5354.57</v>
      </c>
      <c r="E29" s="14" t="n">
        <v>5338.65</v>
      </c>
      <c r="F29" s="14" t="n">
        <v>5248.63</v>
      </c>
      <c r="G29" s="15">
        <f>HYPERLINK("https://www.tradingview.com/chart/?symbol=NSE:HEROMOTOCO","Chart 📈")</f>
        <v/>
      </c>
    </row>
    <row r="30" ht="16" customHeight="1">
      <c r="A30" s="16" t="inlineStr">
        <is>
          <t>NIFTY AUTO</t>
        </is>
      </c>
      <c r="B30" s="13" t="inlineStr">
        <is>
          <t>MOTHERSON</t>
        </is>
      </c>
      <c r="C30" s="14" t="n">
        <v>165.71</v>
      </c>
      <c r="D30" s="14" t="n">
        <v>163.05</v>
      </c>
      <c r="E30" s="14" t="n">
        <v>159.56</v>
      </c>
      <c r="F30" s="14" t="n">
        <v>139.78</v>
      </c>
      <c r="G30" s="15">
        <f>HYPERLINK("https://www.tradingview.com/chart/?symbol=NSE:MOTHERSON","Chart 📈")</f>
        <v/>
      </c>
    </row>
    <row r="31" ht="16" customHeight="1">
      <c r="A31" s="16" t="inlineStr">
        <is>
          <t>NIFTY AUTO</t>
        </is>
      </c>
      <c r="B31" s="13" t="inlineStr">
        <is>
          <t>TVSMOTOR</t>
        </is>
      </c>
      <c r="C31" s="14" t="n">
        <v>4157.3</v>
      </c>
      <c r="D31" s="14" t="n">
        <v>4156.34</v>
      </c>
      <c r="E31" s="14" t="n">
        <v>4106.82</v>
      </c>
      <c r="F31" s="14" t="n">
        <v>3802.68</v>
      </c>
      <c r="G31" s="15">
        <f>HYPERLINK("https://www.tradingview.com/chart/?symbol=NSE:TVSMOTOR","Chart 📈")</f>
        <v/>
      </c>
    </row>
    <row r="32" ht="16" customHeight="1">
      <c r="A32" s="8" t="inlineStr">
        <is>
          <t>NIFTY CONSUMER DURABLES</t>
        </is>
      </c>
      <c r="B32" s="17" t="inlineStr">
        <is>
          <t>KAJARIACER</t>
        </is>
      </c>
      <c r="C32" s="18" t="n">
        <v>1218.1</v>
      </c>
      <c r="D32" s="18" t="n">
        <v>1214.95</v>
      </c>
      <c r="E32" s="18" t="n">
        <v>1206.51</v>
      </c>
      <c r="F32" s="18" t="n">
        <v>1140.52</v>
      </c>
      <c r="G32" s="19">
        <f>HYPERLINK("https://www.tradingview.com/chart/?symbol=NSE:KAJARIACER","Chart 📈")</f>
        <v/>
      </c>
    </row>
    <row r="33" ht="16" customHeight="1">
      <c r="A33" s="20" t="inlineStr">
        <is>
          <t>NIFTY CONSUMER DURABLES</t>
        </is>
      </c>
      <c r="B33" s="17" t="inlineStr">
        <is>
          <t>WHIRLPOOL</t>
        </is>
      </c>
      <c r="C33" s="18" t="n">
        <v>918.9</v>
      </c>
      <c r="D33" s="18" t="n">
        <v>792.66</v>
      </c>
      <c r="E33" s="18" t="n">
        <v>790.96</v>
      </c>
      <c r="F33" s="18" t="n">
        <v>866.8099999999999</v>
      </c>
      <c r="G33" s="19">
        <f>HYPERLINK("https://www.tradingview.com/chart/?symbol=NSE:WHIRLPOOL","Chart 📈")</f>
        <v/>
      </c>
    </row>
    <row r="34" ht="16" customHeight="1">
      <c r="A34" s="12" t="inlineStr">
        <is>
          <t>NIFTY OIL &amp; GAS</t>
        </is>
      </c>
      <c r="B34" s="13" t="inlineStr">
        <is>
          <t>AEGISLOG</t>
        </is>
      </c>
      <c r="C34" s="14" t="n">
        <v>1365.4</v>
      </c>
      <c r="D34" s="14" t="n">
        <v>1357.88</v>
      </c>
      <c r="E34" s="14" t="n">
        <v>1298.71</v>
      </c>
      <c r="F34" s="14" t="n">
        <v>1021.08</v>
      </c>
      <c r="G34" s="15">
        <f>HYPERLINK("https://www.tradingview.com/chart/?symbol=NSE:AEGISLOG","Chart 📈")</f>
        <v/>
      </c>
    </row>
    <row r="35" ht="16" customHeight="1">
      <c r="A35" s="16" t="inlineStr">
        <is>
          <t>NIFTY OIL &amp; GAS</t>
        </is>
      </c>
      <c r="B35" s="13" t="inlineStr">
        <is>
          <t>CASTROLIND</t>
        </is>
      </c>
      <c r="C35" s="14" t="n">
        <v>201.67</v>
      </c>
      <c r="D35" s="14" t="n">
        <v>191.61</v>
      </c>
      <c r="E35" s="14" t="n">
        <v>187.48</v>
      </c>
      <c r="F35" s="14" t="n">
        <v>181.77</v>
      </c>
      <c r="G35" s="15">
        <f>HYPERLINK("https://www.tradingview.com/chart/?symbol=NSE:CASTROLIND","Chart 📈")</f>
        <v/>
      </c>
    </row>
    <row r="36" ht="16" customHeight="1">
      <c r="A36" s="8" t="inlineStr">
        <is>
          <t>NIFTY PSU BANK</t>
        </is>
      </c>
      <c r="B36" s="17" t="inlineStr">
        <is>
          <t>MAHABANK</t>
        </is>
      </c>
      <c r="C36" s="18" t="n">
        <v>84.88</v>
      </c>
      <c r="D36" s="18" t="n">
        <v>82.93000000000001</v>
      </c>
      <c r="E36" s="18" t="n">
        <v>82.37</v>
      </c>
      <c r="F36" s="18" t="n">
        <v>75.19</v>
      </c>
      <c r="G36" s="19">
        <f>HYPERLINK("https://www.tradingview.com/chart/?symbol=NSE:MAHABANK","Chart 📈")</f>
        <v/>
      </c>
    </row>
    <row r="37" ht="16" customHeight="1">
      <c r="A37" s="20" t="inlineStr">
        <is>
          <t>NIFTY PSU BANK</t>
        </is>
      </c>
      <c r="B37" s="17" t="inlineStr">
        <is>
          <t>PNB</t>
        </is>
      </c>
      <c r="C37" s="18" t="n">
        <v>116.6</v>
      </c>
      <c r="D37" s="18" t="n">
        <v>116.58</v>
      </c>
      <c r="E37" s="18" t="n">
        <v>114.65</v>
      </c>
      <c r="F37" s="18" t="n">
        <v>111.71</v>
      </c>
      <c r="G37" s="19">
        <f>HYPERLINK("https://www.tradingview.com/chart/?symbol=NSE:PNB","Chart 📈")</f>
        <v/>
      </c>
    </row>
    <row r="38" ht="16" customHeight="1">
      <c r="A38" s="12" t="inlineStr">
        <is>
          <t>NIFTY FMCG</t>
        </is>
      </c>
      <c r="B38" s="13" t="inlineStr">
        <is>
          <t>BALRAMCHIN</t>
        </is>
      </c>
      <c r="C38" s="14" t="n">
        <v>685.8</v>
      </c>
      <c r="D38" s="14" t="n">
        <v>676.4299999999999</v>
      </c>
      <c r="E38" s="14" t="n">
        <v>653.99</v>
      </c>
      <c r="F38" s="14" t="n">
        <v>562.98</v>
      </c>
      <c r="G38" s="15">
        <f>HYPERLINK("https://www.tradingview.com/chart/?symbol=NSE:BALRAMCHIN","Chart 📈")</f>
        <v/>
      </c>
    </row>
    <row r="39" ht="16" customHeight="1">
      <c r="A39" s="16" t="inlineStr">
        <is>
          <t>NIFTY FMCG</t>
        </is>
      </c>
      <c r="B39" s="13" t="inlineStr">
        <is>
          <t>RADICO</t>
        </is>
      </c>
      <c r="C39" s="14" t="n">
        <v>4557.1</v>
      </c>
      <c r="D39" s="14" t="n">
        <v>4486.84</v>
      </c>
      <c r="E39" s="14" t="n">
        <v>4384.24</v>
      </c>
      <c r="F39" s="14" t="n">
        <v>3739.91</v>
      </c>
      <c r="G39" s="15">
        <f>HYPERLINK("https://www.tradingview.com/chart/?symbol=NSE:RADICO","Chart 📈")</f>
        <v/>
      </c>
    </row>
    <row r="40" ht="16" customHeight="1">
      <c r="A40" s="8" t="inlineStr">
        <is>
          <t>NIFTY FINANCIAL SERVICES</t>
        </is>
      </c>
      <c r="B40" s="17" t="inlineStr">
        <is>
          <t>LICHSGFIN</t>
        </is>
      </c>
      <c r="C40" s="18" t="n">
        <v>566</v>
      </c>
      <c r="D40" s="18" t="n">
        <v>551.61</v>
      </c>
      <c r="E40" s="18" t="n">
        <v>538.59</v>
      </c>
      <c r="F40" s="18" t="n">
        <v>532.75</v>
      </c>
      <c r="G40" s="19">
        <f>HYPERLINK("https://www.tradingview.com/chart/?symbol=NSE:LICHSGFIN","Chart 📈")</f>
        <v/>
      </c>
    </row>
    <row r="41" ht="16" customHeight="1">
      <c r="A41" s="20" t="inlineStr">
        <is>
          <t>NIFTY FINANCIAL SERVICES</t>
        </is>
      </c>
      <c r="B41" s="17" t="inlineStr">
        <is>
          <t>MCX</t>
        </is>
      </c>
      <c r="C41" s="18" t="n">
        <v>3324.9</v>
      </c>
      <c r="D41" s="18" t="n">
        <v>3263.03</v>
      </c>
      <c r="E41" s="18" t="n">
        <v>3127.53</v>
      </c>
      <c r="F41" s="18" t="n">
        <v>2732.03</v>
      </c>
      <c r="G41" s="19">
        <f>HYPERLINK("https://www.tradingview.com/chart/?symbol=NSE:MCX","Chart 📈")</f>
        <v/>
      </c>
    </row>
    <row r="42" ht="16" customHeight="1">
      <c r="A42" s="12" t="inlineStr">
        <is>
          <t>NIFTY MIDSMALL IT &amp; TELECOM</t>
        </is>
      </c>
      <c r="B42" s="13" t="inlineStr">
        <is>
          <t>CYIENT</t>
        </is>
      </c>
      <c r="C42" s="14" t="n">
        <v>1094.7</v>
      </c>
      <c r="D42" s="14" t="n">
        <v>1058.46</v>
      </c>
      <c r="E42" s="14" t="n">
        <v>999.29</v>
      </c>
      <c r="F42" s="14" t="n">
        <v>974.89</v>
      </c>
      <c r="G42" s="15">
        <f>HYPERLINK("https://www.tradingview.com/chart/?symbol=NSE:CYIENT","Chart 📈")</f>
        <v/>
      </c>
    </row>
    <row r="43" ht="16" customHeight="1">
      <c r="A43" s="8" t="inlineStr">
        <is>
          <t>NIFTY ENERGY</t>
        </is>
      </c>
      <c r="B43" s="17" t="inlineStr">
        <is>
          <t>COALINDIA</t>
        </is>
      </c>
      <c r="C43" s="18" t="n">
        <v>426.1</v>
      </c>
      <c r="D43" s="18" t="n">
        <v>418.5</v>
      </c>
      <c r="E43" s="18" t="n">
        <v>416.6</v>
      </c>
      <c r="F43" s="18" t="n">
        <v>414.63</v>
      </c>
      <c r="G43" s="19">
        <f>HYPERLINK("https://www.tradingview.com/chart/?symbol=NSE:COALINDIA","Chart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2026-09-28T18:35:34Z</dcterms:created>
  <dcterms:modified xmlns:dcterms="http://purl.org/dc/terms/" xmlns:xsi="http://www.w3.org/2001/XMLSchema-instance" xsi:type="dcterms:W3CDTF">2026-09-28T18:35:34Z</dcterms:modified>
</cp:coreProperties>
</file>