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17-Aug-2026  11:31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7</v>
      </c>
      <c r="D4" s="5" t="n">
        <v>8</v>
      </c>
      <c r="E4" s="5" t="n">
        <v>9</v>
      </c>
      <c r="F4" s="6" t="n">
        <v>0.7</v>
      </c>
      <c r="G4" s="6" t="n">
        <v>0.8</v>
      </c>
      <c r="H4" s="6" t="n">
        <v>0.9</v>
      </c>
      <c r="I4" s="7" t="n">
        <v>0.8</v>
      </c>
    </row>
    <row r="5" ht="17" customHeight="1">
      <c r="A5" s="8" t="inlineStr">
        <is>
          <t>NIFTY AUTO</t>
        </is>
      </c>
      <c r="B5" s="9" t="n">
        <v>15</v>
      </c>
      <c r="C5" s="9" t="n">
        <v>11</v>
      </c>
      <c r="D5" s="9" t="n">
        <v>13</v>
      </c>
      <c r="E5" s="9" t="n">
        <v>11</v>
      </c>
      <c r="F5" s="10" t="n">
        <v>0.733</v>
      </c>
      <c r="G5" s="10" t="n">
        <v>0.867</v>
      </c>
      <c r="H5" s="10" t="n">
        <v>0.733</v>
      </c>
      <c r="I5" s="11" t="n">
        <v>0.7776999999999999</v>
      </c>
    </row>
    <row r="6" ht="17" customHeight="1">
      <c r="A6" s="4" t="inlineStr">
        <is>
          <t>NIFTY METAL</t>
        </is>
      </c>
      <c r="B6" s="5" t="n">
        <v>15</v>
      </c>
      <c r="C6" s="5" t="n">
        <v>11</v>
      </c>
      <c r="D6" s="5" t="n">
        <v>11</v>
      </c>
      <c r="E6" s="5" t="n">
        <v>12</v>
      </c>
      <c r="F6" s="6" t="n">
        <v>0.733</v>
      </c>
      <c r="G6" s="6" t="n">
        <v>0.733</v>
      </c>
      <c r="H6" s="6" t="n">
        <v>0.8</v>
      </c>
      <c r="I6" s="7" t="n">
        <v>0.7553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15</v>
      </c>
      <c r="D7" s="9" t="n">
        <v>13</v>
      </c>
      <c r="E7" s="9" t="n">
        <v>11</v>
      </c>
      <c r="F7" s="10" t="n">
        <v>0.75</v>
      </c>
      <c r="G7" s="10" t="n">
        <v>0.65</v>
      </c>
      <c r="H7" s="10" t="n">
        <v>0.55</v>
      </c>
      <c r="I7" s="11" t="n">
        <v>0.65</v>
      </c>
    </row>
    <row r="8" ht="17" customHeight="1">
      <c r="A8" s="4" t="inlineStr">
        <is>
          <t>NIFTY PHARMA</t>
        </is>
      </c>
      <c r="B8" s="5" t="n">
        <v>20</v>
      </c>
      <c r="C8" s="5" t="n">
        <v>9</v>
      </c>
      <c r="D8" s="5" t="n">
        <v>12</v>
      </c>
      <c r="E8" s="5" t="n">
        <v>16</v>
      </c>
      <c r="F8" s="6" t="n">
        <v>0.45</v>
      </c>
      <c r="G8" s="6" t="n">
        <v>0.6</v>
      </c>
      <c r="H8" s="6" t="n">
        <v>0.8</v>
      </c>
      <c r="I8" s="7" t="n">
        <v>0.6167</v>
      </c>
    </row>
    <row r="9" ht="17" customHeight="1">
      <c r="A9" s="8" t="inlineStr">
        <is>
          <t>NIFTY PSU BANK</t>
        </is>
      </c>
      <c r="B9" s="9" t="n">
        <v>12</v>
      </c>
      <c r="C9" s="9" t="n">
        <v>7</v>
      </c>
      <c r="D9" s="9" t="n">
        <v>7</v>
      </c>
      <c r="E9" s="9" t="n">
        <v>7</v>
      </c>
      <c r="F9" s="10" t="n">
        <v>0.583</v>
      </c>
      <c r="G9" s="10" t="n">
        <v>0.583</v>
      </c>
      <c r="H9" s="10" t="n">
        <v>0.583</v>
      </c>
      <c r="I9" s="11" t="n">
        <v>0.583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7</v>
      </c>
      <c r="D10" s="5" t="n">
        <v>7</v>
      </c>
      <c r="E10" s="5" t="n">
        <v>7</v>
      </c>
      <c r="F10" s="6" t="n">
        <v>0.467</v>
      </c>
      <c r="G10" s="6" t="n">
        <v>0.467</v>
      </c>
      <c r="H10" s="6" t="n">
        <v>0.467</v>
      </c>
      <c r="I10" s="7" t="n">
        <v>0.467</v>
      </c>
    </row>
    <row r="11" ht="17" customHeight="1">
      <c r="A11" s="8" t="inlineStr">
        <is>
          <t>NIFTY MEDIA</t>
        </is>
      </c>
      <c r="B11" s="9" t="n">
        <v>10</v>
      </c>
      <c r="C11" s="9" t="n">
        <v>5</v>
      </c>
      <c r="D11" s="9" t="n">
        <v>4</v>
      </c>
      <c r="E11" s="9" t="n">
        <v>5</v>
      </c>
      <c r="F11" s="10" t="n">
        <v>0.5</v>
      </c>
      <c r="G11" s="10" t="n">
        <v>0.4</v>
      </c>
      <c r="H11" s="10" t="n">
        <v>0.5</v>
      </c>
      <c r="I11" s="11" t="n">
        <v>0.4667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5</v>
      </c>
      <c r="D12" s="5" t="n">
        <v>7</v>
      </c>
      <c r="E12" s="5" t="n">
        <v>6</v>
      </c>
      <c r="F12" s="6" t="n">
        <v>0.333</v>
      </c>
      <c r="G12" s="6" t="n">
        <v>0.467</v>
      </c>
      <c r="H12" s="6" t="n">
        <v>0.4</v>
      </c>
      <c r="I12" s="7" t="n">
        <v>0.4</v>
      </c>
    </row>
    <row r="13" ht="17" customHeight="1">
      <c r="A13" s="8" t="inlineStr">
        <is>
          <t>NIFTY FMCG</t>
        </is>
      </c>
      <c r="B13" s="9" t="n">
        <v>15</v>
      </c>
      <c r="C13" s="9" t="n">
        <v>4</v>
      </c>
      <c r="D13" s="9" t="n">
        <v>6</v>
      </c>
      <c r="E13" s="9" t="n">
        <v>6</v>
      </c>
      <c r="F13" s="10" t="n">
        <v>0.267</v>
      </c>
      <c r="G13" s="10" t="n">
        <v>0.4</v>
      </c>
      <c r="H13" s="10" t="n">
        <v>0.4</v>
      </c>
      <c r="I13" s="11" t="n">
        <v>0.3557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7</v>
      </c>
      <c r="D14" s="5" t="n">
        <v>8</v>
      </c>
      <c r="E14" s="5" t="n">
        <v>6</v>
      </c>
      <c r="F14" s="6" t="n">
        <v>0.35</v>
      </c>
      <c r="G14" s="6" t="n">
        <v>0.4</v>
      </c>
      <c r="H14" s="6" t="n">
        <v>0.3</v>
      </c>
      <c r="I14" s="7" t="n">
        <v>0.35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4</v>
      </c>
      <c r="E15" s="9" t="n">
        <v>4</v>
      </c>
      <c r="F15" s="10" t="n">
        <v>0.25</v>
      </c>
      <c r="G15" s="10" t="n">
        <v>0.333</v>
      </c>
      <c r="H15" s="10" t="n">
        <v>0.333</v>
      </c>
      <c r="I15" s="11" t="n">
        <v>0.3053</v>
      </c>
    </row>
    <row r="16" ht="17" customHeight="1">
      <c r="A16" s="4" t="inlineStr">
        <is>
          <t>NIFTY IT</t>
        </is>
      </c>
      <c r="B16" s="5" t="n">
        <v>10</v>
      </c>
      <c r="C16" s="5" t="n">
        <v>2</v>
      </c>
      <c r="D16" s="5" t="n">
        <v>4</v>
      </c>
      <c r="E16" s="5" t="n">
        <v>2</v>
      </c>
      <c r="F16" s="6" t="n">
        <v>0.2</v>
      </c>
      <c r="G16" s="6" t="n">
        <v>0.4</v>
      </c>
      <c r="H16" s="6" t="n">
        <v>0.2</v>
      </c>
      <c r="I16" s="7" t="n">
        <v>0.2667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7</v>
      </c>
      <c r="E17" s="9" t="n">
        <v>14</v>
      </c>
      <c r="F17" s="10" t="n">
        <v>0.2</v>
      </c>
      <c r="G17" s="10" t="n">
        <v>0.175</v>
      </c>
      <c r="H17" s="10" t="n">
        <v>0.35</v>
      </c>
      <c r="I17" s="11" t="n">
        <v>0.2417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BRIGADE</t>
        </is>
      </c>
      <c r="C3" s="14" t="n">
        <v>593.7</v>
      </c>
      <c r="D3" s="14" t="n">
        <v>575.79</v>
      </c>
      <c r="E3" s="14" t="n">
        <v>555.67</v>
      </c>
      <c r="F3" s="14" t="n">
        <v>578</v>
      </c>
      <c r="G3" s="15">
        <f>HYPERLINK("https://www.tradingview.com/chart/?symbol=NSE:BRIGADE","Chart 📈")</f>
        <v/>
      </c>
    </row>
    <row r="4" ht="16" customHeight="1">
      <c r="A4" s="16" t="inlineStr">
        <is>
          <t>NIFTY REALTY</t>
        </is>
      </c>
      <c r="B4" s="13" t="inlineStr">
        <is>
          <t>DLF</t>
        </is>
      </c>
      <c r="C4" s="14" t="n">
        <v>671</v>
      </c>
      <c r="D4" s="14" t="n">
        <v>654.92</v>
      </c>
      <c r="E4" s="14" t="n">
        <v>637.78</v>
      </c>
      <c r="F4" s="14" t="n">
        <v>639.35</v>
      </c>
      <c r="G4" s="15">
        <f>HYPERLINK("https://www.tradingview.com/chart/?symbol=NSE:DLF","Chart 📈")</f>
        <v/>
      </c>
    </row>
    <row r="5" ht="16" customHeight="1">
      <c r="A5" s="16" t="inlineStr">
        <is>
          <t>NIFTY REALTY</t>
        </is>
      </c>
      <c r="B5" s="13" t="inlineStr">
        <is>
          <t>GODREJPROP</t>
        </is>
      </c>
      <c r="C5" s="14" t="n">
        <v>2054</v>
      </c>
      <c r="D5" s="14" t="n">
        <v>2051.52</v>
      </c>
      <c r="E5" s="14" t="n">
        <v>1985.53</v>
      </c>
      <c r="F5" s="14" t="n">
        <v>1895.7</v>
      </c>
      <c r="G5" s="15">
        <f>HYPERLINK("https://www.tradingview.com/chart/?symbol=NSE:GODREJPROP","Chart 📈")</f>
        <v/>
      </c>
    </row>
    <row r="6" ht="16" customHeight="1">
      <c r="A6" s="16" t="inlineStr">
        <is>
          <t>NIFTY REALTY</t>
        </is>
      </c>
      <c r="B6" s="13" t="inlineStr">
        <is>
          <t>LODHA</t>
        </is>
      </c>
      <c r="C6" s="14" t="n">
        <v>1254</v>
      </c>
      <c r="D6" s="14" t="n">
        <v>1208.04</v>
      </c>
      <c r="E6" s="14" t="n">
        <v>1119.76</v>
      </c>
      <c r="F6" s="14" t="n">
        <v>1044.86</v>
      </c>
      <c r="G6" s="15">
        <f>HYPERLINK("https://www.tradingview.com/chart/?symbol=NSE:LODHA","Chart 📈")</f>
        <v/>
      </c>
    </row>
    <row r="7" ht="16" customHeight="1">
      <c r="A7" s="16" t="inlineStr">
        <is>
          <t>NIFTY REALTY</t>
        </is>
      </c>
      <c r="B7" s="13" t="inlineStr">
        <is>
          <t>MAHLIFE</t>
        </is>
      </c>
      <c r="C7" s="14" t="n">
        <v>386.65</v>
      </c>
      <c r="D7" s="14" t="n">
        <v>382.2</v>
      </c>
      <c r="E7" s="14" t="n">
        <v>369.52</v>
      </c>
      <c r="F7" s="14" t="n">
        <v>356.99</v>
      </c>
      <c r="G7" s="15">
        <f>HYPERLINK("https://www.tradingview.com/chart/?symbol=NSE:MAHLIFE","Chart 📈")</f>
        <v/>
      </c>
    </row>
    <row r="8" ht="16" customHeight="1">
      <c r="A8" s="16" t="inlineStr">
        <is>
          <t>NIFTY REALTY</t>
        </is>
      </c>
      <c r="B8" s="13" t="inlineStr">
        <is>
          <t>OBEROIRLTY</t>
        </is>
      </c>
      <c r="C8" s="14" t="n">
        <v>1931</v>
      </c>
      <c r="D8" s="14" t="n">
        <v>1830.64</v>
      </c>
      <c r="E8" s="14" t="n">
        <v>1796.9</v>
      </c>
      <c r="F8" s="14" t="n">
        <v>1691.12</v>
      </c>
      <c r="G8" s="15">
        <f>HYPERLINK("https://www.tradingview.com/chart/?symbol=NSE:OBEROIRLTY","Chart 📈")</f>
        <v/>
      </c>
    </row>
    <row r="9" ht="16" customHeight="1">
      <c r="A9" s="16" t="inlineStr">
        <is>
          <t>NIFTY REALTY</t>
        </is>
      </c>
      <c r="B9" s="13" t="inlineStr">
        <is>
          <t>RAYMOND</t>
        </is>
      </c>
      <c r="C9" s="14" t="n">
        <v>647.85</v>
      </c>
      <c r="D9" s="14" t="n">
        <v>617.28</v>
      </c>
      <c r="E9" s="14" t="n">
        <v>591.64</v>
      </c>
      <c r="F9" s="14" t="n">
        <v>529</v>
      </c>
      <c r="G9" s="15">
        <f>HYPERLINK("https://www.tradingview.com/chart/?symbol=NSE:RAYMOND","Chart 📈")</f>
        <v/>
      </c>
    </row>
    <row r="10" ht="16" customHeight="1">
      <c r="A10" s="8" t="inlineStr">
        <is>
          <t>NIFTY AUTO</t>
        </is>
      </c>
      <c r="B10" s="17" t="inlineStr">
        <is>
          <t>ASHOKLEY</t>
        </is>
      </c>
      <c r="C10" s="18" t="n">
        <v>177.1</v>
      </c>
      <c r="D10" s="18" t="n">
        <v>169.27</v>
      </c>
      <c r="E10" s="18" t="n">
        <v>163.77</v>
      </c>
      <c r="F10" s="18" t="n">
        <v>160.48</v>
      </c>
      <c r="G10" s="19">
        <f>HYPERLINK("https://www.tradingview.com/chart/?symbol=NSE:ASHOKLEY","Chart 📈")</f>
        <v/>
      </c>
    </row>
    <row r="11" ht="16" customHeight="1">
      <c r="A11" s="20" t="inlineStr">
        <is>
          <t>NIFTY AUTO</t>
        </is>
      </c>
      <c r="B11" s="17" t="inlineStr">
        <is>
          <t>BAJAJ-AUTO</t>
        </is>
      </c>
      <c r="C11" s="18" t="n">
        <v>11663</v>
      </c>
      <c r="D11" s="18" t="n">
        <v>11398.76</v>
      </c>
      <c r="E11" s="18" t="n">
        <v>10868.99</v>
      </c>
      <c r="F11" s="18" t="n">
        <v>9897.389999999999</v>
      </c>
      <c r="G11" s="19">
        <f>HYPERLINK("https://www.tradingview.com/chart/?symbol=NSE:BAJAJ-AUTO","Chart 📈")</f>
        <v/>
      </c>
    </row>
    <row r="12" ht="16" customHeight="1">
      <c r="A12" s="20" t="inlineStr">
        <is>
          <t>NIFTY AUTO</t>
        </is>
      </c>
      <c r="B12" s="17" t="inlineStr">
        <is>
          <t>BALKRISIND</t>
        </is>
      </c>
      <c r="C12" s="18" t="n">
        <v>2407.2</v>
      </c>
      <c r="D12" s="18" t="n">
        <v>2352.11</v>
      </c>
      <c r="E12" s="18" t="n">
        <v>2267.43</v>
      </c>
      <c r="F12" s="18" t="n">
        <v>2273.98</v>
      </c>
      <c r="G12" s="19">
        <f>HYPERLINK("https://www.tradingview.com/chart/?symbol=NSE:BALKRISIND","Chart 📈")</f>
        <v/>
      </c>
    </row>
    <row r="13" ht="16" customHeight="1">
      <c r="A13" s="20" t="inlineStr">
        <is>
          <t>NIFTY AUTO</t>
        </is>
      </c>
      <c r="B13" s="17" t="inlineStr">
        <is>
          <t>BOSCHLTD</t>
        </is>
      </c>
      <c r="C13" s="18" t="n">
        <v>46970</v>
      </c>
      <c r="D13" s="18" t="n">
        <v>43550.71</v>
      </c>
      <c r="E13" s="18" t="n">
        <v>41414.04</v>
      </c>
      <c r="F13" s="18" t="n">
        <v>38354.28</v>
      </c>
      <c r="G13" s="19">
        <f>HYPERLINK("https://www.tradingview.com/chart/?symbol=NSE:BOSCHLTD","Chart 📈")</f>
        <v/>
      </c>
    </row>
    <row r="14" ht="16" customHeight="1">
      <c r="A14" s="20" t="inlineStr">
        <is>
          <t>NIFTY AUTO</t>
        </is>
      </c>
      <c r="B14" s="17" t="inlineStr">
        <is>
          <t>EICHERMOT</t>
        </is>
      </c>
      <c r="C14" s="18" t="n">
        <v>8050</v>
      </c>
      <c r="D14" s="18" t="n">
        <v>7870.56</v>
      </c>
      <c r="E14" s="18" t="n">
        <v>7617.78</v>
      </c>
      <c r="F14" s="18" t="n">
        <v>7181.68</v>
      </c>
      <c r="G14" s="19">
        <f>HYPERLINK("https://www.tradingview.com/chart/?symbol=NSE:EICHERMOT","Chart 📈")</f>
        <v/>
      </c>
    </row>
    <row r="15" ht="16" customHeight="1">
      <c r="A15" s="20" t="inlineStr">
        <is>
          <t>NIFTY AUTO</t>
        </is>
      </c>
      <c r="B15" s="17" t="inlineStr">
        <is>
          <t>EXIDEIND</t>
        </is>
      </c>
      <c r="C15" s="18" t="n">
        <v>475.7</v>
      </c>
      <c r="D15" s="18" t="n">
        <v>461.8</v>
      </c>
      <c r="E15" s="18" t="n">
        <v>431.49</v>
      </c>
      <c r="F15" s="18" t="n">
        <v>383.72</v>
      </c>
      <c r="G15" s="19">
        <f>HYPERLINK("https://www.tradingview.com/chart/?symbol=NSE:EXIDEIND","Chart 📈")</f>
        <v/>
      </c>
    </row>
    <row r="16" ht="16" customHeight="1">
      <c r="A16" s="20" t="inlineStr">
        <is>
          <t>NIFTY AUTO</t>
        </is>
      </c>
      <c r="B16" s="17" t="inlineStr">
        <is>
          <t>HEROMOTOCO</t>
        </is>
      </c>
      <c r="C16" s="18" t="n">
        <v>5745</v>
      </c>
      <c r="D16" s="18" t="n">
        <v>5485.02</v>
      </c>
      <c r="E16" s="18" t="n">
        <v>5220.2</v>
      </c>
      <c r="F16" s="18" t="n">
        <v>5162.86</v>
      </c>
      <c r="G16" s="19">
        <f>HYPERLINK("https://www.tradingview.com/chart/?symbol=NSE:HEROMOTOCO","Chart 📈")</f>
        <v/>
      </c>
    </row>
    <row r="17" ht="16" customHeight="1">
      <c r="A17" s="20" t="inlineStr">
        <is>
          <t>NIFTY AUTO</t>
        </is>
      </c>
      <c r="B17" s="17" t="inlineStr">
        <is>
          <t>M&amp;M</t>
        </is>
      </c>
      <c r="C17" s="18" t="n">
        <v>3390.4</v>
      </c>
      <c r="D17" s="18" t="n">
        <v>3358.15</v>
      </c>
      <c r="E17" s="18" t="n">
        <v>3251.86</v>
      </c>
      <c r="F17" s="18" t="n">
        <v>3265.42</v>
      </c>
      <c r="G17" s="19">
        <f>HYPERLINK("https://www.tradingview.com/chart/?symbol=NSE:M&amp;M","Chart 📈")</f>
        <v/>
      </c>
    </row>
    <row r="18" ht="16" customHeight="1">
      <c r="A18" s="20" t="inlineStr">
        <is>
          <t>NIFTY AUTO</t>
        </is>
      </c>
      <c r="B18" s="17" t="inlineStr">
        <is>
          <t>MOTHERSON</t>
        </is>
      </c>
      <c r="C18" s="18" t="n">
        <v>168.06</v>
      </c>
      <c r="D18" s="18" t="n">
        <v>158.49</v>
      </c>
      <c r="E18" s="18" t="n">
        <v>150</v>
      </c>
      <c r="F18" s="18" t="n">
        <v>130.3</v>
      </c>
      <c r="G18" s="19">
        <f>HYPERLINK("https://www.tradingview.com/chart/?symbol=NSE:MOTHERSON","Chart 📈")</f>
        <v/>
      </c>
    </row>
    <row r="19" ht="16" customHeight="1">
      <c r="A19" s="20" t="inlineStr">
        <is>
          <t>NIFTY AUTO</t>
        </is>
      </c>
      <c r="B19" s="17" t="inlineStr">
        <is>
          <t>TVSMOTOR</t>
        </is>
      </c>
      <c r="C19" s="18" t="n">
        <v>4385.9</v>
      </c>
      <c r="D19" s="18" t="n">
        <v>4206.25</v>
      </c>
      <c r="E19" s="18" t="n">
        <v>3930.97</v>
      </c>
      <c r="F19" s="18" t="n">
        <v>3646.85</v>
      </c>
      <c r="G19" s="19">
        <f>HYPERLINK("https://www.tradingview.com/chart/?symbol=NSE:TVSMOTOR","Chart 📈")</f>
        <v/>
      </c>
    </row>
    <row r="20" ht="16" customHeight="1">
      <c r="A20" s="12" t="inlineStr">
        <is>
          <t>NIFTY METAL</t>
        </is>
      </c>
      <c r="B20" s="13" t="inlineStr">
        <is>
          <t>APLAPOLLO</t>
        </is>
      </c>
      <c r="C20" s="14" t="n">
        <v>2081.3</v>
      </c>
      <c r="D20" s="14" t="n">
        <v>1953.71</v>
      </c>
      <c r="E20" s="14" t="n">
        <v>1900.9</v>
      </c>
      <c r="F20" s="14" t="n">
        <v>1876.94</v>
      </c>
      <c r="G20" s="15">
        <f>HYPERLINK("https://www.tradingview.com/chart/?symbol=NSE:APLAPOLLO","Chart 📈")</f>
        <v/>
      </c>
    </row>
    <row r="21" ht="16" customHeight="1">
      <c r="A21" s="16" t="inlineStr">
        <is>
          <t>NIFTY METAL</t>
        </is>
      </c>
      <c r="B21" s="13" t="inlineStr">
        <is>
          <t>HINDALCO</t>
        </is>
      </c>
      <c r="C21" s="14" t="n">
        <v>1049.9</v>
      </c>
      <c r="D21" s="14" t="n">
        <v>1016.57</v>
      </c>
      <c r="E21" s="14" t="n">
        <v>1003.1</v>
      </c>
      <c r="F21" s="14" t="n">
        <v>944.91</v>
      </c>
      <c r="G21" s="15">
        <f>HYPERLINK("https://www.tradingview.com/chart/?symbol=NSE:HINDALCO","Chart 📈")</f>
        <v/>
      </c>
    </row>
    <row r="22" ht="16" customHeight="1">
      <c r="A22" s="16" t="inlineStr">
        <is>
          <t>NIFTY METAL</t>
        </is>
      </c>
      <c r="B22" s="13" t="inlineStr">
        <is>
          <t>HINDCOPPER</t>
        </is>
      </c>
      <c r="C22" s="14" t="n">
        <v>572.65</v>
      </c>
      <c r="D22" s="14" t="n">
        <v>521.4</v>
      </c>
      <c r="E22" s="14" t="n">
        <v>514.6</v>
      </c>
      <c r="F22" s="14" t="n">
        <v>479.82</v>
      </c>
      <c r="G22" s="15">
        <f>HYPERLINK("https://www.tradingview.com/chart/?symbol=NSE:HINDCOPPER","Chart 📈")</f>
        <v/>
      </c>
    </row>
    <row r="23" ht="16" customHeight="1">
      <c r="A23" s="16" t="inlineStr">
        <is>
          <t>NIFTY METAL</t>
        </is>
      </c>
      <c r="B23" s="13" t="inlineStr">
        <is>
          <t>HINDZINC</t>
        </is>
      </c>
      <c r="C23" s="14" t="n">
        <v>567.5</v>
      </c>
      <c r="D23" s="14" t="n">
        <v>564.37</v>
      </c>
      <c r="E23" s="14" t="n">
        <v>561.39</v>
      </c>
      <c r="F23" s="14" t="n">
        <v>550.54</v>
      </c>
      <c r="G23" s="15">
        <f>HYPERLINK("https://www.tradingview.com/chart/?symbol=NSE:HINDZINC","Chart 📈")</f>
        <v/>
      </c>
    </row>
    <row r="24" ht="16" customHeight="1">
      <c r="A24" s="16" t="inlineStr">
        <is>
          <t>NIFTY METAL</t>
        </is>
      </c>
      <c r="B24" s="13" t="inlineStr">
        <is>
          <t>JINDALSTEL</t>
        </is>
      </c>
      <c r="C24" s="14" t="n">
        <v>1116.1</v>
      </c>
      <c r="D24" s="14" t="n">
        <v>1092.69</v>
      </c>
      <c r="E24" s="14" t="n">
        <v>1099.31</v>
      </c>
      <c r="F24" s="14" t="n">
        <v>1110.95</v>
      </c>
      <c r="G24" s="15">
        <f>HYPERLINK("https://www.tradingview.com/chart/?symbol=NSE:JINDALSTEL","Chart 📈")</f>
        <v/>
      </c>
    </row>
    <row r="25" ht="16" customHeight="1">
      <c r="A25" s="16" t="inlineStr">
        <is>
          <t>NIFTY METAL</t>
        </is>
      </c>
      <c r="B25" s="13" t="inlineStr">
        <is>
          <t>JSL</t>
        </is>
      </c>
      <c r="C25" s="14" t="n">
        <v>744</v>
      </c>
      <c r="D25" s="14" t="n">
        <v>731.84</v>
      </c>
      <c r="E25" s="14" t="n">
        <v>725.3200000000001</v>
      </c>
      <c r="F25" s="14" t="n">
        <v>740.35</v>
      </c>
      <c r="G25" s="15">
        <f>HYPERLINK("https://www.tradingview.com/chart/?symbol=NSE:JSL","Chart 📈")</f>
        <v/>
      </c>
    </row>
    <row r="26" ht="16" customHeight="1">
      <c r="A26" s="16" t="inlineStr">
        <is>
          <t>NIFTY METAL</t>
        </is>
      </c>
      <c r="B26" s="13" t="inlineStr">
        <is>
          <t>JSWSTEEL</t>
        </is>
      </c>
      <c r="C26" s="14" t="n">
        <v>1277.8</v>
      </c>
      <c r="D26" s="14" t="n">
        <v>1275.8</v>
      </c>
      <c r="E26" s="14" t="n">
        <v>1263.32</v>
      </c>
      <c r="F26" s="14" t="n">
        <v>1214.17</v>
      </c>
      <c r="G26" s="15">
        <f>HYPERLINK("https://www.tradingview.com/chart/?symbol=NSE:JSWSTEEL","Chart 📈")</f>
        <v/>
      </c>
    </row>
    <row r="27" ht="16" customHeight="1">
      <c r="A27" s="16" t="inlineStr">
        <is>
          <t>NIFTY METAL</t>
        </is>
      </c>
      <c r="B27" s="13" t="inlineStr">
        <is>
          <t>NATIONALUM</t>
        </is>
      </c>
      <c r="C27" s="14" t="n">
        <v>387.55</v>
      </c>
      <c r="D27" s="14" t="n">
        <v>374.49</v>
      </c>
      <c r="E27" s="14" t="n">
        <v>370.31</v>
      </c>
      <c r="F27" s="14" t="n">
        <v>343.45</v>
      </c>
      <c r="G27" s="15">
        <f>HYPERLINK("https://www.tradingview.com/chart/?symbol=NSE:NATIONALUM","Chart 📈")</f>
        <v/>
      </c>
    </row>
    <row r="28" ht="16" customHeight="1">
      <c r="A28" s="16" t="inlineStr">
        <is>
          <t>NIFTY METAL</t>
        </is>
      </c>
      <c r="B28" s="13" t="inlineStr">
        <is>
          <t>SAIL</t>
        </is>
      </c>
      <c r="C28" s="14" t="n">
        <v>173.6</v>
      </c>
      <c r="D28" s="14" t="n">
        <v>170.81</v>
      </c>
      <c r="E28" s="14" t="n">
        <v>172.32</v>
      </c>
      <c r="F28" s="14" t="n">
        <v>162.55</v>
      </c>
      <c r="G28" s="15">
        <f>HYPERLINK("https://www.tradingview.com/chart/?symbol=NSE:SAIL","Chart 📈")</f>
        <v/>
      </c>
    </row>
    <row r="29" ht="16" customHeight="1">
      <c r="A29" s="16" t="inlineStr">
        <is>
          <t>NIFTY METAL</t>
        </is>
      </c>
      <c r="B29" s="13" t="inlineStr">
        <is>
          <t>WELCORP</t>
        </is>
      </c>
      <c r="C29" s="14" t="n">
        <v>1882</v>
      </c>
      <c r="D29" s="14" t="n">
        <v>1762.5</v>
      </c>
      <c r="E29" s="14" t="n">
        <v>1612.78</v>
      </c>
      <c r="F29" s="14" t="n">
        <v>1229.14</v>
      </c>
      <c r="G29" s="15">
        <f>HYPERLINK("https://www.tradingview.com/chart/?symbol=NSE:WELCORP","Chart 📈")</f>
        <v/>
      </c>
    </row>
    <row r="30" ht="16" customHeight="1">
      <c r="A30" s="8" t="inlineStr">
        <is>
          <t>NIFTY MIDSMALL IT &amp; TELECOM</t>
        </is>
      </c>
      <c r="B30" s="17" t="inlineStr">
        <is>
          <t>AFFLE</t>
        </is>
      </c>
      <c r="C30" s="18" t="n">
        <v>1703.9</v>
      </c>
      <c r="D30" s="18" t="n">
        <v>1620.73</v>
      </c>
      <c r="E30" s="18" t="n">
        <v>1557.72</v>
      </c>
      <c r="F30" s="18" t="n">
        <v>1584.97</v>
      </c>
      <c r="G30" s="19">
        <f>HYPERLINK("https://www.tradingview.com/chart/?symbol=NSE:AFFLE","Chart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COFORGE</t>
        </is>
      </c>
      <c r="C31" s="18" t="n">
        <v>1806</v>
      </c>
      <c r="D31" s="18" t="n">
        <v>1718.42</v>
      </c>
      <c r="E31" s="18" t="n">
        <v>1592.74</v>
      </c>
      <c r="F31" s="18" t="n">
        <v>1509.23</v>
      </c>
      <c r="G31" s="19">
        <f>HYPERLINK("https://www.tradingview.com/chart/?symbol=NSE:COFORGE","Chart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HFCL</t>
        </is>
      </c>
      <c r="C32" s="18" t="n">
        <v>219.5</v>
      </c>
      <c r="D32" s="18" t="n">
        <v>211.48</v>
      </c>
      <c r="E32" s="18" t="n">
        <v>198.28</v>
      </c>
      <c r="F32" s="18" t="n">
        <v>137.19</v>
      </c>
      <c r="G32" s="19">
        <f>HYPERLINK("https://www.tradingview.com/chart/?symbol=NSE:HFCL","Chart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IDEA</t>
        </is>
      </c>
      <c r="C33" s="18" t="n">
        <v>13.71</v>
      </c>
      <c r="D33" s="18" t="n">
        <v>13.34</v>
      </c>
      <c r="E33" s="18" t="n">
        <v>13.35</v>
      </c>
      <c r="F33" s="18" t="n">
        <v>11.59</v>
      </c>
      <c r="G33" s="19">
        <f>HYPERLINK("https://www.tradingview.com/chart/?symbol=NSE:IDEA","Chart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MPHASIS</t>
        </is>
      </c>
      <c r="C34" s="18" t="n">
        <v>2510</v>
      </c>
      <c r="D34" s="18" t="n">
        <v>2438.35</v>
      </c>
      <c r="E34" s="18" t="n">
        <v>2352.49</v>
      </c>
      <c r="F34" s="18" t="n">
        <v>2389.56</v>
      </c>
      <c r="G34" s="19">
        <f>HYPERLINK("https://www.tradingview.com/chart/?symbol=NSE:MPHASIS","Chart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OFSS</t>
        </is>
      </c>
      <c r="C35" s="18" t="n">
        <v>11789</v>
      </c>
      <c r="D35" s="18" t="n">
        <v>11525.55</v>
      </c>
      <c r="E35" s="18" t="n">
        <v>10963.28</v>
      </c>
      <c r="F35" s="18" t="n">
        <v>9251.809999999999</v>
      </c>
      <c r="G35" s="19">
        <f>HYPERLINK("https://www.tradingview.com/chart/?symbol=NSE:OFSS","Chart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PERSISTENT</t>
        </is>
      </c>
      <c r="C36" s="18" t="n">
        <v>5570</v>
      </c>
      <c r="D36" s="18" t="n">
        <v>5407.18</v>
      </c>
      <c r="E36" s="18" t="n">
        <v>5216.44</v>
      </c>
      <c r="F36" s="18" t="n">
        <v>5251.01</v>
      </c>
      <c r="G36" s="19">
        <f>HYPERLINK("https://www.tradingview.com/chart/?symbol=NSE:PERSISTENT","Chart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SONATSOFTW</t>
        </is>
      </c>
      <c r="C37" s="18" t="n">
        <v>320.4</v>
      </c>
      <c r="D37" s="18" t="n">
        <v>317.02</v>
      </c>
      <c r="E37" s="18" t="n">
        <v>300.18</v>
      </c>
      <c r="F37" s="18" t="n">
        <v>296.94</v>
      </c>
      <c r="G37" s="19">
        <f>HYPERLINK("https://www.tradingview.com/chart/?symbol=NSE:SONATSOFTW","Chart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TATATECH</t>
        </is>
      </c>
      <c r="C38" s="18" t="n">
        <v>841.65</v>
      </c>
      <c r="D38" s="18" t="n">
        <v>803.7</v>
      </c>
      <c r="E38" s="18" t="n">
        <v>756.3</v>
      </c>
      <c r="F38" s="18" t="n">
        <v>680.38</v>
      </c>
      <c r="G38" s="19">
        <f>HYPERLINK("https://www.tradingview.com/chart/?symbol=NSE:TATATECH","Chart 📈")</f>
        <v/>
      </c>
    </row>
    <row r="39" ht="16" customHeight="1">
      <c r="A39" s="12" t="inlineStr">
        <is>
          <t>NIFTY PHARMA</t>
        </is>
      </c>
      <c r="B39" s="13" t="inlineStr">
        <is>
          <t>AJANTPHARM</t>
        </is>
      </c>
      <c r="C39" s="14" t="n">
        <v>3718.2</v>
      </c>
      <c r="D39" s="14" t="n">
        <v>3495.72</v>
      </c>
      <c r="E39" s="14" t="n">
        <v>3350.31</v>
      </c>
      <c r="F39" s="14" t="n">
        <v>3006.15</v>
      </c>
      <c r="G39" s="15">
        <f>HYPERLINK("https://www.tradingview.com/chart/?symbol=NSE:AJANTPHARM","Chart 📈")</f>
        <v/>
      </c>
    </row>
    <row r="40" ht="16" customHeight="1">
      <c r="A40" s="16" t="inlineStr">
        <is>
          <t>NIFTY PHARMA</t>
        </is>
      </c>
      <c r="B40" s="13" t="inlineStr">
        <is>
          <t>AUROPHARMA</t>
        </is>
      </c>
      <c r="C40" s="14" t="n">
        <v>1627.2</v>
      </c>
      <c r="D40" s="14" t="n">
        <v>1606.37</v>
      </c>
      <c r="E40" s="14" t="n">
        <v>1557.25</v>
      </c>
      <c r="F40" s="14" t="n">
        <v>1381.36</v>
      </c>
      <c r="G40" s="15">
        <f>HYPERLINK("https://www.tradingview.com/chart/?symbol=NSE:AUROPHARMA","Chart 📈")</f>
        <v/>
      </c>
    </row>
    <row r="41" ht="16" customHeight="1">
      <c r="A41" s="16" t="inlineStr">
        <is>
          <t>NIFTY PHARMA</t>
        </is>
      </c>
      <c r="B41" s="13" t="inlineStr">
        <is>
          <t>DIVISLAB</t>
        </is>
      </c>
      <c r="C41" s="14" t="n">
        <v>8481.5</v>
      </c>
      <c r="D41" s="14" t="n">
        <v>8078.3</v>
      </c>
      <c r="E41" s="14" t="n">
        <v>7507.53</v>
      </c>
      <c r="F41" s="14" t="n">
        <v>6738.51</v>
      </c>
      <c r="G41" s="15">
        <f>HYPERLINK("https://www.tradingview.com/chart/?symbol=NSE:DIVISLAB","Chart 📈")</f>
        <v/>
      </c>
    </row>
    <row r="42" ht="16" customHeight="1">
      <c r="A42" s="16" t="inlineStr">
        <is>
          <t>NIFTY PHARMA</t>
        </is>
      </c>
      <c r="B42" s="13" t="inlineStr">
        <is>
          <t>GLAND</t>
        </is>
      </c>
      <c r="C42" s="14" t="n">
        <v>2910.2</v>
      </c>
      <c r="D42" s="14" t="n">
        <v>2670.33</v>
      </c>
      <c r="E42" s="14" t="n">
        <v>2476.79</v>
      </c>
      <c r="F42" s="14" t="n">
        <v>2107.44</v>
      </c>
      <c r="G42" s="15">
        <f>HYPERLINK("https://www.tradingview.com/chart/?symbol=NSE:GLAND","Chart 📈")</f>
        <v/>
      </c>
    </row>
    <row r="43" ht="16" customHeight="1">
      <c r="A43" s="16" t="inlineStr">
        <is>
          <t>NIFTY PHARMA</t>
        </is>
      </c>
      <c r="B43" s="13" t="inlineStr">
        <is>
          <t>GLENMARK</t>
        </is>
      </c>
      <c r="C43" s="14" t="n">
        <v>2329</v>
      </c>
      <c r="D43" s="14" t="n">
        <v>2266.19</v>
      </c>
      <c r="E43" s="14" t="n">
        <v>2246.06</v>
      </c>
      <c r="F43" s="14" t="n">
        <v>2155.58</v>
      </c>
      <c r="G43" s="15">
        <f>HYPERLINK("https://www.tradingview.com/chart/?symbol=NSE:GLENMARK","Chart 📈")</f>
        <v/>
      </c>
    </row>
    <row r="44" ht="16" customHeight="1">
      <c r="A44" s="16" t="inlineStr">
        <is>
          <t>NIFTY PHARMA</t>
        </is>
      </c>
      <c r="B44" s="13" t="inlineStr">
        <is>
          <t>GRANULES</t>
        </is>
      </c>
      <c r="C44" s="14" t="n">
        <v>861.55</v>
      </c>
      <c r="D44" s="14" t="n">
        <v>851.98</v>
      </c>
      <c r="E44" s="14" t="n">
        <v>826.28</v>
      </c>
      <c r="F44" s="14" t="n">
        <v>698.4400000000001</v>
      </c>
      <c r="G44" s="15">
        <f>HYPERLINK("https://www.tradingview.com/chart/?symbol=NSE:GRANULES","Chart 📈")</f>
        <v/>
      </c>
    </row>
    <row r="45" ht="16" customHeight="1">
      <c r="A45" s="16" t="inlineStr">
        <is>
          <t>NIFTY PHARMA</t>
        </is>
      </c>
      <c r="B45" s="13" t="inlineStr">
        <is>
          <t>IPCALAB</t>
        </is>
      </c>
      <c r="C45" s="14" t="n">
        <v>1884.6</v>
      </c>
      <c r="D45" s="14" t="n">
        <v>1762.68</v>
      </c>
      <c r="E45" s="14" t="n">
        <v>1720.29</v>
      </c>
      <c r="F45" s="14" t="n">
        <v>1571.1</v>
      </c>
      <c r="G45" s="15">
        <f>HYPERLINK("https://www.tradingview.com/chart/?symbol=NSE:IPCALAB","Chart 📈")</f>
        <v/>
      </c>
    </row>
    <row r="46" ht="16" customHeight="1">
      <c r="A46" s="16" t="inlineStr">
        <is>
          <t>NIFTY PHARMA</t>
        </is>
      </c>
      <c r="B46" s="13" t="inlineStr">
        <is>
          <t>JBCHEPHARM</t>
        </is>
      </c>
      <c r="C46" s="14" t="n">
        <v>2408.9</v>
      </c>
      <c r="D46" s="14" t="n">
        <v>2383.66</v>
      </c>
      <c r="E46" s="14" t="n">
        <v>2287.69</v>
      </c>
      <c r="F46" s="14" t="n">
        <v>2042.21</v>
      </c>
      <c r="G46" s="15">
        <f>HYPERLINK("https://www.tradingview.com/chart/?symbol=NSE:JBCHEPHARM","Chart 📈")</f>
        <v/>
      </c>
    </row>
    <row r="47" ht="16" customHeight="1">
      <c r="A47" s="16" t="inlineStr">
        <is>
          <t>NIFTY PHARMA</t>
        </is>
      </c>
      <c r="B47" s="13" t="inlineStr">
        <is>
          <t>LAURUSLABS</t>
        </is>
      </c>
      <c r="C47" s="14" t="n">
        <v>1809.7</v>
      </c>
      <c r="D47" s="14" t="n">
        <v>1764.75</v>
      </c>
      <c r="E47" s="14" t="n">
        <v>1620.63</v>
      </c>
      <c r="F47" s="14" t="n">
        <v>1283.65</v>
      </c>
      <c r="G47" s="15">
        <f>HYPERLINK("https://www.tradingview.com/chart/?symbol=NSE:LAURUSLABS","Chart 📈")</f>
        <v/>
      </c>
    </row>
    <row r="48" ht="16" customHeight="1">
      <c r="A48" s="8" t="inlineStr">
        <is>
          <t>NIFTY PSU BANK</t>
        </is>
      </c>
      <c r="B48" s="17" t="inlineStr">
        <is>
          <t>BANKINDIA</t>
        </is>
      </c>
      <c r="C48" s="18" t="n">
        <v>143.75</v>
      </c>
      <c r="D48" s="18" t="n">
        <v>142.53</v>
      </c>
      <c r="E48" s="18" t="n">
        <v>142.3</v>
      </c>
      <c r="F48" s="18" t="n">
        <v>139.61</v>
      </c>
      <c r="G48" s="19">
        <f>HYPERLINK("https://www.tradingview.com/chart/?symbol=NSE:BANKINDIA","Chart 📈")</f>
        <v/>
      </c>
    </row>
    <row r="49" ht="16" customHeight="1">
      <c r="A49" s="20" t="inlineStr">
        <is>
          <t>NIFTY PSU BANK</t>
        </is>
      </c>
      <c r="B49" s="17" t="inlineStr">
        <is>
          <t>CANBK</t>
        </is>
      </c>
      <c r="C49" s="18" t="n">
        <v>131.1</v>
      </c>
      <c r="D49" s="18" t="n">
        <v>129.13</v>
      </c>
      <c r="E49" s="18" t="n">
        <v>128.67</v>
      </c>
      <c r="F49" s="18" t="n">
        <v>129.43</v>
      </c>
      <c r="G49" s="19">
        <f>HYPERLINK("https://www.tradingview.com/chart/?symbol=NSE:CANBK","Chart 📈")</f>
        <v/>
      </c>
    </row>
    <row r="50" ht="16" customHeight="1">
      <c r="A50" s="20" t="inlineStr">
        <is>
          <t>NIFTY PSU BANK</t>
        </is>
      </c>
      <c r="B50" s="17" t="inlineStr">
        <is>
          <t>INDIANB</t>
        </is>
      </c>
      <c r="C50" s="18" t="n">
        <v>881.2</v>
      </c>
      <c r="D50" s="18" t="n">
        <v>864.09</v>
      </c>
      <c r="E50" s="18" t="n">
        <v>848.9400000000001</v>
      </c>
      <c r="F50" s="18" t="n">
        <v>825.99</v>
      </c>
      <c r="G50" s="19">
        <f>HYPERLINK("https://www.tradingview.com/chart/?symbol=NSE:INDIANB","Chart 📈")</f>
        <v/>
      </c>
    </row>
    <row r="51" ht="16" customHeight="1">
      <c r="A51" s="20" t="inlineStr">
        <is>
          <t>NIFTY PSU BANK</t>
        </is>
      </c>
      <c r="B51" s="17" t="inlineStr">
        <is>
          <t>MAHABANK</t>
        </is>
      </c>
      <c r="C51" s="18" t="n">
        <v>81.09999999999999</v>
      </c>
      <c r="D51" s="18" t="n">
        <v>80.56</v>
      </c>
      <c r="E51" s="18" t="n">
        <v>81.06999999999999</v>
      </c>
      <c r="F51" s="18" t="n">
        <v>72.44</v>
      </c>
      <c r="G51" s="19">
        <f>HYPERLINK("https://www.tradingview.com/chart/?symbol=NSE:MAHABANK","Chart 📈")</f>
        <v/>
      </c>
    </row>
    <row r="52" ht="16" customHeight="1">
      <c r="A52" s="20" t="inlineStr">
        <is>
          <t>NIFTY PSU BANK</t>
        </is>
      </c>
      <c r="B52" s="17" t="inlineStr">
        <is>
          <t>PNB</t>
        </is>
      </c>
      <c r="C52" s="18" t="n">
        <v>117.32</v>
      </c>
      <c r="D52" s="18" t="n">
        <v>113.63</v>
      </c>
      <c r="E52" s="18" t="n">
        <v>110.37</v>
      </c>
      <c r="F52" s="18" t="n">
        <v>109.8</v>
      </c>
      <c r="G52" s="19">
        <f>HYPERLINK("https://www.tradingview.com/chart/?symbol=NSE:PNB","Chart 📈")</f>
        <v/>
      </c>
    </row>
    <row r="53" ht="16" customHeight="1">
      <c r="A53" s="20" t="inlineStr">
        <is>
          <t>NIFTY PSU BANK</t>
        </is>
      </c>
      <c r="B53" s="17" t="inlineStr">
        <is>
          <t>SBIN</t>
        </is>
      </c>
      <c r="C53" s="18" t="n">
        <v>1061.2</v>
      </c>
      <c r="D53" s="18" t="n">
        <v>1055.52</v>
      </c>
      <c r="E53" s="18" t="n">
        <v>1039.87</v>
      </c>
      <c r="F53" s="18" t="n">
        <v>1002.48</v>
      </c>
      <c r="G53" s="19">
        <f>HYPERLINK("https://www.tradingview.com/chart/?symbol=NSE:SBIN","Chart 📈")</f>
        <v/>
      </c>
    </row>
    <row r="54" ht="16" customHeight="1">
      <c r="A54" s="20" t="inlineStr">
        <is>
          <t>NIFTY PSU BANK</t>
        </is>
      </c>
      <c r="B54" s="17" t="inlineStr">
        <is>
          <t>UNIONBANK</t>
        </is>
      </c>
      <c r="C54" s="18" t="n">
        <v>188.9</v>
      </c>
      <c r="D54" s="18" t="n">
        <v>178.83</v>
      </c>
      <c r="E54" s="18" t="n">
        <v>173.07</v>
      </c>
      <c r="F54" s="18" t="n">
        <v>163.7</v>
      </c>
      <c r="G54" s="19">
        <f>HYPERLINK("https://www.tradingview.com/chart/?symbol=NSE:UNIONBANK","Chart 📈")</f>
        <v/>
      </c>
    </row>
    <row r="55" ht="16" customHeight="1">
      <c r="A55" s="12" t="inlineStr">
        <is>
          <t>NIFTY CONSUMER DURABLES</t>
        </is>
      </c>
      <c r="B55" s="13" t="inlineStr">
        <is>
          <t>DIXON</t>
        </is>
      </c>
      <c r="C55" s="14" t="n">
        <v>14025</v>
      </c>
      <c r="D55" s="14" t="n">
        <v>13938.71</v>
      </c>
      <c r="E55" s="14" t="n">
        <v>13305.61</v>
      </c>
      <c r="F55" s="14" t="n">
        <v>12922.19</v>
      </c>
      <c r="G55" s="15">
        <f>HYPERLINK("https://www.tradingview.com/chart/?symbol=NSE:DIXON","Chart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HAVELLS</t>
        </is>
      </c>
      <c r="C56" s="14" t="n">
        <v>1299</v>
      </c>
      <c r="D56" s="14" t="n">
        <v>1261.83</v>
      </c>
      <c r="E56" s="14" t="n">
        <v>1234.79</v>
      </c>
      <c r="F56" s="14" t="n">
        <v>1298.07</v>
      </c>
      <c r="G56" s="15">
        <f>HYPERLINK("https://www.tradingview.com/chart/?symbol=NSE:HAVELLS","Chart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KAJARIACER</t>
        </is>
      </c>
      <c r="C57" s="14" t="n">
        <v>1251.6</v>
      </c>
      <c r="D57" s="14" t="n">
        <v>1218.82</v>
      </c>
      <c r="E57" s="14" t="n">
        <v>1191.75</v>
      </c>
      <c r="F57" s="14" t="n">
        <v>1132.64</v>
      </c>
      <c r="G57" s="15">
        <f>HYPERLINK("https://www.tradingview.com/chart/?symbol=NSE:KAJARIACER","Chart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KALYANKJIL</t>
        </is>
      </c>
      <c r="C58" s="14" t="n">
        <v>610</v>
      </c>
      <c r="D58" s="14" t="n">
        <v>583.3099999999999</v>
      </c>
      <c r="E58" s="14" t="n">
        <v>518.75</v>
      </c>
      <c r="F58" s="14" t="n">
        <v>460.35</v>
      </c>
      <c r="G58" s="15">
        <f>HYPERLINK("https://www.tradingview.com/chart/?symbol=NSE:KALYANKJIL","Chart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TITAN</t>
        </is>
      </c>
      <c r="C59" s="14" t="n">
        <v>5068.5</v>
      </c>
      <c r="D59" s="14" t="n">
        <v>4912.85</v>
      </c>
      <c r="E59" s="14" t="n">
        <v>4675.27</v>
      </c>
      <c r="F59" s="14" t="n">
        <v>4252.28</v>
      </c>
      <c r="G59" s="15">
        <f>HYPERLINK("https://www.tradingview.com/chart/?symbol=NSE:TITAN","Chart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VGUARD</t>
        </is>
      </c>
      <c r="C60" s="14" t="n">
        <v>343.95</v>
      </c>
      <c r="D60" s="14" t="n">
        <v>317.57</v>
      </c>
      <c r="E60" s="14" t="n">
        <v>311.62</v>
      </c>
      <c r="F60" s="14" t="n">
        <v>323.25</v>
      </c>
      <c r="G60" s="15">
        <f>HYPERLINK("https://www.tradingview.com/chart/?symbol=NSE:VGUARD","Chart 📈")</f>
        <v/>
      </c>
    </row>
    <row r="61" ht="16" customHeight="1">
      <c r="A61" s="8" t="inlineStr">
        <is>
          <t>NIFTY MEDIA</t>
        </is>
      </c>
      <c r="B61" s="17" t="inlineStr">
        <is>
          <t>NAZARA</t>
        </is>
      </c>
      <c r="C61" s="18" t="n">
        <v>350.1</v>
      </c>
      <c r="D61" s="18" t="n">
        <v>337.22</v>
      </c>
      <c r="E61" s="18" t="n">
        <v>316.71</v>
      </c>
      <c r="F61" s="18" t="n">
        <v>291.67</v>
      </c>
      <c r="G61" s="19">
        <f>HYPERLINK("https://www.tradingview.com/chart/?symbol=NSE:NAZARA","Chart 📈")</f>
        <v/>
      </c>
    </row>
    <row r="62" ht="16" customHeight="1">
      <c r="A62" s="20" t="inlineStr">
        <is>
          <t>NIFTY MEDIA</t>
        </is>
      </c>
      <c r="B62" s="17" t="inlineStr">
        <is>
          <t>PVRINOX</t>
        </is>
      </c>
      <c r="C62" s="18" t="n">
        <v>1192</v>
      </c>
      <c r="D62" s="18" t="n">
        <v>1130.91</v>
      </c>
      <c r="E62" s="18" t="n">
        <v>1071.73</v>
      </c>
      <c r="F62" s="18" t="n">
        <v>1036.59</v>
      </c>
      <c r="G62" s="19">
        <f>HYPERLINK("https://www.tradingview.com/chart/?symbol=NSE:PVRINOX","Chart 📈")</f>
        <v/>
      </c>
    </row>
    <row r="63" ht="16" customHeight="1">
      <c r="A63" s="20" t="inlineStr">
        <is>
          <t>NIFTY MEDIA</t>
        </is>
      </c>
      <c r="B63" s="17" t="inlineStr">
        <is>
          <t>SAREGAMA</t>
        </is>
      </c>
      <c r="C63" s="18" t="n">
        <v>523.4</v>
      </c>
      <c r="D63" s="18" t="n">
        <v>519.0599999999999</v>
      </c>
      <c r="E63" s="18" t="n">
        <v>490.99</v>
      </c>
      <c r="F63" s="18" t="n">
        <v>431.89</v>
      </c>
      <c r="G63" s="19">
        <f>HYPERLINK("https://www.tradingview.com/chart/?symbol=NSE:SAREGAMA","Chart 📈")</f>
        <v/>
      </c>
    </row>
    <row r="64" ht="16" customHeight="1">
      <c r="A64" s="20" t="inlineStr">
        <is>
          <t>NIFTY MEDIA</t>
        </is>
      </c>
      <c r="B64" s="17" t="inlineStr">
        <is>
          <t>ZEEL</t>
        </is>
      </c>
      <c r="C64" s="18" t="n">
        <v>104.87</v>
      </c>
      <c r="D64" s="18" t="n">
        <v>100.49</v>
      </c>
      <c r="E64" s="18" t="n">
        <v>100.85</v>
      </c>
      <c r="F64" s="18" t="n">
        <v>97.87</v>
      </c>
      <c r="G64" s="19">
        <f>HYPERLINK("https://www.tradingview.com/chart/?symbol=NSE:ZEEL","Chart 📈")</f>
        <v/>
      </c>
    </row>
    <row r="65" ht="16" customHeight="1">
      <c r="A65" s="12" t="inlineStr">
        <is>
          <t>NIFTY OIL &amp; GAS</t>
        </is>
      </c>
      <c r="B65" s="13" t="inlineStr">
        <is>
          <t>CASTROLIND</t>
        </is>
      </c>
      <c r="C65" s="14" t="n">
        <v>187.55</v>
      </c>
      <c r="D65" s="14" t="n">
        <v>183.82</v>
      </c>
      <c r="E65" s="14" t="n">
        <v>181.02</v>
      </c>
      <c r="F65" s="14" t="n">
        <v>180.1</v>
      </c>
      <c r="G65" s="15">
        <f>HYPERLINK("https://www.tradingview.com/chart/?symbol=NSE:CASTROLIND","Chart 📈")</f>
        <v/>
      </c>
    </row>
    <row r="66" ht="16" customHeight="1">
      <c r="A66" s="16" t="inlineStr">
        <is>
          <t>NIFTY OIL &amp; GAS</t>
        </is>
      </c>
      <c r="B66" s="13" t="inlineStr">
        <is>
          <t>OIL</t>
        </is>
      </c>
      <c r="C66" s="14" t="n">
        <v>474.65</v>
      </c>
      <c r="D66" s="14" t="n">
        <v>456.03</v>
      </c>
      <c r="E66" s="14" t="n">
        <v>450.75</v>
      </c>
      <c r="F66" s="14" t="n">
        <v>445.19</v>
      </c>
      <c r="G66" s="15">
        <f>HYPERLINK("https://www.tradingview.com/chart/?symbol=NSE:OIL","Chart 📈")</f>
        <v/>
      </c>
    </row>
    <row r="67" ht="16" customHeight="1">
      <c r="A67" s="16" t="inlineStr">
        <is>
          <t>NIFTY OIL &amp; GAS</t>
        </is>
      </c>
      <c r="B67" s="13" t="inlineStr">
        <is>
          <t>PETRONET</t>
        </is>
      </c>
      <c r="C67" s="14" t="n">
        <v>281.8</v>
      </c>
      <c r="D67" s="14" t="n">
        <v>279.42</v>
      </c>
      <c r="E67" s="14" t="n">
        <v>277.88</v>
      </c>
      <c r="F67" s="14" t="n">
        <v>275.06</v>
      </c>
      <c r="G67" s="15">
        <f>HYPERLINK("https://www.tradingview.com/chart/?symbol=NSE:PETRONET","Chart 📈")</f>
        <v/>
      </c>
    </row>
    <row r="68" ht="16" customHeight="1">
      <c r="A68" s="8" t="inlineStr">
        <is>
          <t>NIFTY FMCG</t>
        </is>
      </c>
      <c r="B68" s="17" t="inlineStr">
        <is>
          <t>BALRAMCHIN</t>
        </is>
      </c>
      <c r="C68" s="18" t="n">
        <v>655.75</v>
      </c>
      <c r="D68" s="18" t="n">
        <v>619.16</v>
      </c>
      <c r="E68" s="18" t="n">
        <v>588.8200000000001</v>
      </c>
      <c r="F68" s="18" t="n">
        <v>531.02</v>
      </c>
      <c r="G68" s="19">
        <f>HYPERLINK("https://www.tradingview.com/chart/?symbol=NSE:BALRAMCHIN","Chart 📈")</f>
        <v/>
      </c>
    </row>
    <row r="69" ht="16" customHeight="1">
      <c r="A69" s="20" t="inlineStr">
        <is>
          <t>NIFTY FMCG</t>
        </is>
      </c>
      <c r="B69" s="17" t="inlineStr">
        <is>
          <t>BRITANNIA</t>
        </is>
      </c>
      <c r="C69" s="18" t="n">
        <v>5521</v>
      </c>
      <c r="D69" s="18" t="n">
        <v>5468.87</v>
      </c>
      <c r="E69" s="18" t="n">
        <v>5378.09</v>
      </c>
      <c r="F69" s="18" t="n">
        <v>5484.51</v>
      </c>
      <c r="G69" s="19">
        <f>HYPERLINK("https://www.tradingview.com/chart/?symbol=NSE:BRITANNIA","Chart 📈")</f>
        <v/>
      </c>
    </row>
    <row r="70" ht="16" customHeight="1">
      <c r="A70" s="20" t="inlineStr">
        <is>
          <t>NIFTY FMCG</t>
        </is>
      </c>
      <c r="B70" s="17" t="inlineStr">
        <is>
          <t>RADICO</t>
        </is>
      </c>
      <c r="C70" s="18" t="n">
        <v>4693.4</v>
      </c>
      <c r="D70" s="18" t="n">
        <v>4427.03</v>
      </c>
      <c r="E70" s="18" t="n">
        <v>4122.24</v>
      </c>
      <c r="F70" s="18" t="n">
        <v>3475.84</v>
      </c>
      <c r="G70" s="19">
        <f>HYPERLINK("https://www.tradingview.com/chart/?symbol=NSE:RADICO","Chart 📈")</f>
        <v/>
      </c>
    </row>
    <row r="71" ht="16" customHeight="1">
      <c r="A71" s="20" t="inlineStr">
        <is>
          <t>NIFTY FMCG</t>
        </is>
      </c>
      <c r="B71" s="17" t="inlineStr">
        <is>
          <t>UNITDSPR</t>
        </is>
      </c>
      <c r="C71" s="18" t="n">
        <v>1545</v>
      </c>
      <c r="D71" s="18" t="n">
        <v>1494.54</v>
      </c>
      <c r="E71" s="18" t="n">
        <v>1425.73</v>
      </c>
      <c r="F71" s="18" t="n">
        <v>1355.26</v>
      </c>
      <c r="G71" s="19">
        <f>HYPERLINK("https://www.tradingview.com/chart/?symbol=NSE:UNITDSPR","Chart 📈")</f>
        <v/>
      </c>
    </row>
    <row r="72" ht="16" customHeight="1">
      <c r="A72" s="12" t="inlineStr">
        <is>
          <t>NIFTY FINANCIAL SERVICES</t>
        </is>
      </c>
      <c r="B72" s="13" t="inlineStr">
        <is>
          <t>BAJAJFINSV</t>
        </is>
      </c>
      <c r="C72" s="14" t="n">
        <v>2005</v>
      </c>
      <c r="D72" s="14" t="n">
        <v>1987.04</v>
      </c>
      <c r="E72" s="14" t="n">
        <v>1913.43</v>
      </c>
      <c r="F72" s="14" t="n">
        <v>1895.93</v>
      </c>
      <c r="G72" s="15">
        <f>HYPERLINK("https://www.tradingview.com/chart/?symbol=NSE:BAJAJFINSV","Chart 📈")</f>
        <v/>
      </c>
    </row>
    <row r="73" ht="16" customHeight="1">
      <c r="A73" s="16" t="inlineStr">
        <is>
          <t>NIFTY FINANCIAL SERVICES</t>
        </is>
      </c>
      <c r="B73" s="13" t="inlineStr">
        <is>
          <t>BAJFINANCE</t>
        </is>
      </c>
      <c r="C73" s="14" t="n">
        <v>1089.3</v>
      </c>
      <c r="D73" s="14" t="n">
        <v>1084.28</v>
      </c>
      <c r="E73" s="14" t="n">
        <v>1038.1</v>
      </c>
      <c r="F73" s="14" t="n">
        <v>973.24</v>
      </c>
      <c r="G73" s="15">
        <f>HYPERLINK("https://www.tradingview.com/chart/?symbol=NSE:BAJFINANCE","Chart 📈")</f>
        <v/>
      </c>
    </row>
    <row r="74" ht="16" customHeight="1">
      <c r="A74" s="16" t="inlineStr">
        <is>
          <t>NIFTY FINANCIAL SERVICES</t>
        </is>
      </c>
      <c r="B74" s="13" t="inlineStr">
        <is>
          <t>CHOLAFIN</t>
        </is>
      </c>
      <c r="C74" s="14" t="n">
        <v>1884.7</v>
      </c>
      <c r="D74" s="14" t="n">
        <v>1858.83</v>
      </c>
      <c r="E74" s="14" t="n">
        <v>1783.21</v>
      </c>
      <c r="F74" s="14" t="n">
        <v>1667.32</v>
      </c>
      <c r="G74" s="15">
        <f>HYPERLINK("https://www.tradingview.com/chart/?symbol=NSE:CHOLAFIN","Chart 📈")</f>
        <v/>
      </c>
    </row>
    <row r="75" ht="16" customHeight="1">
      <c r="A75" s="16" t="inlineStr">
        <is>
          <t>NIFTY FINANCIAL SERVICES</t>
        </is>
      </c>
      <c r="B75" s="13" t="inlineStr">
        <is>
          <t>MCX</t>
        </is>
      </c>
      <c r="C75" s="14" t="n">
        <v>2933.1</v>
      </c>
      <c r="D75" s="14" t="n">
        <v>2805.53</v>
      </c>
      <c r="E75" s="14" t="n">
        <v>2810.97</v>
      </c>
      <c r="F75" s="14" t="n">
        <v>2564.36</v>
      </c>
      <c r="G75" s="15">
        <f>HYPERLINK("https://www.tradingview.com/chart/?symbol=NSE:MCX","Chart 📈")</f>
        <v/>
      </c>
    </row>
    <row r="76" ht="16" customHeight="1">
      <c r="A76" s="16" t="inlineStr">
        <is>
          <t>NIFTY FINANCIAL SERVICES</t>
        </is>
      </c>
      <c r="B76" s="13" t="inlineStr">
        <is>
          <t>SHRIRAMFIN</t>
        </is>
      </c>
      <c r="C76" s="14" t="n">
        <v>1122</v>
      </c>
      <c r="D76" s="14" t="n">
        <v>1092.29</v>
      </c>
      <c r="E76" s="14" t="n">
        <v>1050.14</v>
      </c>
      <c r="F76" s="14" t="n">
        <v>947.15</v>
      </c>
      <c r="G76" s="15">
        <f>HYPERLINK("https://www.tradingview.com/chart/?symbol=NSE:SHRIRAMFIN","Chart 📈")</f>
        <v/>
      </c>
    </row>
    <row r="77" ht="16" customHeight="1">
      <c r="A77" s="8" t="inlineStr">
        <is>
          <t>NIFTY BANK</t>
        </is>
      </c>
      <c r="B77" s="17" t="inlineStr">
        <is>
          <t>AUBANK</t>
        </is>
      </c>
      <c r="C77" s="18" t="n">
        <v>1072.2</v>
      </c>
      <c r="D77" s="18" t="n">
        <v>1061.15</v>
      </c>
      <c r="E77" s="18" t="n">
        <v>1040.15</v>
      </c>
      <c r="F77" s="18" t="n">
        <v>970.28</v>
      </c>
      <c r="G77" s="19">
        <f>HYPERLINK("https://www.tradingview.com/chart/?symbol=NSE:AUBANK","Chart 📈")</f>
        <v/>
      </c>
    </row>
    <row r="78" ht="16" customHeight="1">
      <c r="A78" s="20" t="inlineStr">
        <is>
          <t>NIFTY BANK</t>
        </is>
      </c>
      <c r="B78" s="17" t="inlineStr">
        <is>
          <t>FEDERALBNK</t>
        </is>
      </c>
      <c r="C78" s="18" t="n">
        <v>354.1</v>
      </c>
      <c r="D78" s="18" t="n">
        <v>351.47</v>
      </c>
      <c r="E78" s="18" t="n">
        <v>337.29</v>
      </c>
      <c r="F78" s="18" t="n">
        <v>291.35</v>
      </c>
      <c r="G78" s="19">
        <f>HYPERLINK("https://www.tradingview.com/chart/?symbol=NSE:FEDERALBNK","Chart 📈")</f>
        <v/>
      </c>
    </row>
    <row r="79" ht="16" customHeight="1">
      <c r="A79" s="20" t="inlineStr">
        <is>
          <t>NIFTY BANK</t>
        </is>
      </c>
      <c r="B79" s="17" t="inlineStr">
        <is>
          <t>IDFCFIRSTB</t>
        </is>
      </c>
      <c r="C79" s="18" t="n">
        <v>85.05</v>
      </c>
      <c r="D79" s="18" t="n">
        <v>84.09999999999999</v>
      </c>
      <c r="E79" s="18" t="n">
        <v>80.76000000000001</v>
      </c>
      <c r="F79" s="18" t="n">
        <v>75.87</v>
      </c>
      <c r="G79" s="19">
        <f>HYPERLINK("https://www.tradingview.com/chart/?symbol=NSE:IDFCFIRSTB","Chart 📈")</f>
        <v/>
      </c>
    </row>
    <row r="80" ht="16" customHeight="1">
      <c r="A80" s="12" t="inlineStr">
        <is>
          <t>NIFTY IT</t>
        </is>
      </c>
      <c r="B80" s="13" t="inlineStr">
        <is>
          <t>HCLTECH</t>
        </is>
      </c>
      <c r="C80" s="14" t="n">
        <v>1325</v>
      </c>
      <c r="D80" s="14" t="n">
        <v>1317.07</v>
      </c>
      <c r="E80" s="14" t="n">
        <v>1257.08</v>
      </c>
      <c r="F80" s="14" t="n">
        <v>1312.44</v>
      </c>
      <c r="G80" s="15">
        <f>HYPERLINK("https://www.tradingview.com/chart/?symbol=NSE:HCLTECH","Chart 📈")</f>
        <v/>
      </c>
    </row>
    <row r="81" ht="16" customHeight="1">
      <c r="A81" s="16" t="inlineStr">
        <is>
          <t>NIFTY IT</t>
        </is>
      </c>
      <c r="B81" s="13" t="inlineStr">
        <is>
          <t>TECHM</t>
        </is>
      </c>
      <c r="C81" s="14" t="n">
        <v>1610</v>
      </c>
      <c r="D81" s="14" t="n">
        <v>1604.05</v>
      </c>
      <c r="E81" s="14" t="n">
        <v>1535.95</v>
      </c>
      <c r="F81" s="14" t="n">
        <v>1469.25</v>
      </c>
      <c r="G81" s="15">
        <f>HYPERLINK("https://www.tradingview.com/chart/?symbol=NSE:TECHM","Chart 📈")</f>
        <v/>
      </c>
    </row>
    <row r="82" ht="16" customHeight="1">
      <c r="A82" s="8" t="inlineStr">
        <is>
          <t>NIFTY ENERGY</t>
        </is>
      </c>
      <c r="B82" s="17" t="inlineStr">
        <is>
          <t>ABB</t>
        </is>
      </c>
      <c r="C82" s="18" t="n">
        <v>7660</v>
      </c>
      <c r="D82" s="18" t="n">
        <v>7487.52</v>
      </c>
      <c r="E82" s="18" t="n">
        <v>7234.12</v>
      </c>
      <c r="F82" s="18" t="n">
        <v>6398.02</v>
      </c>
      <c r="G82" s="19">
        <f>HYPERLINK("https://www.tradingview.com/chart/?symbol=NSE:ABB","Chart 📈")</f>
        <v/>
      </c>
    </row>
    <row r="83" ht="16" customHeight="1">
      <c r="A83" s="20" t="inlineStr">
        <is>
          <t>NIFTY ENERGY</t>
        </is>
      </c>
      <c r="B83" s="17" t="inlineStr">
        <is>
          <t>BHEL</t>
        </is>
      </c>
      <c r="C83" s="18" t="n">
        <v>435.95</v>
      </c>
      <c r="D83" s="18" t="n">
        <v>413.41</v>
      </c>
      <c r="E83" s="18" t="n">
        <v>402.5</v>
      </c>
      <c r="F83" s="18" t="n">
        <v>337.41</v>
      </c>
      <c r="G83" s="19">
        <f>HYPERLINK("https://www.tradingview.com/chart/?symbol=NSE:BHEL","Chart 📈")</f>
        <v/>
      </c>
    </row>
    <row r="84" ht="16" customHeight="1">
      <c r="A84" s="20" t="inlineStr">
        <is>
          <t>NIFTY ENERGY</t>
        </is>
      </c>
      <c r="B84" s="17" t="inlineStr">
        <is>
          <t>CESC</t>
        </is>
      </c>
      <c r="C84" s="18" t="n">
        <v>170.22</v>
      </c>
      <c r="D84" s="18" t="n">
        <v>165.09</v>
      </c>
      <c r="E84" s="18" t="n">
        <v>166.87</v>
      </c>
      <c r="F84" s="18" t="n">
        <v>166.38</v>
      </c>
      <c r="G84" s="19">
        <f>HYPERLINK("https://www.tradingview.com/chart/?symbol=NSE:CESC","Chart 📈")</f>
        <v/>
      </c>
    </row>
    <row r="85" ht="16" customHeight="1">
      <c r="A85" s="20" t="inlineStr">
        <is>
          <t>NIFTY ENERGY</t>
        </is>
      </c>
      <c r="B85" s="17" t="inlineStr">
        <is>
          <t>CGPOWER</t>
        </is>
      </c>
      <c r="C85" s="18" t="n">
        <v>898.8</v>
      </c>
      <c r="D85" s="18" t="n">
        <v>884.3</v>
      </c>
      <c r="E85" s="18" t="n">
        <v>885.97</v>
      </c>
      <c r="F85" s="18" t="n">
        <v>803.21</v>
      </c>
      <c r="G85" s="19">
        <f>HYPERLINK("https://www.tradingview.com/chart/?symbol=NSE:CGPOWER","Chart 📈")</f>
        <v/>
      </c>
    </row>
    <row r="86" ht="16" customHeight="1">
      <c r="A86" s="20" t="inlineStr">
        <is>
          <t>NIFTY ENERGY</t>
        </is>
      </c>
      <c r="B86" s="17" t="inlineStr">
        <is>
          <t>POWERINDIA</t>
        </is>
      </c>
      <c r="C86" s="18" t="n">
        <v>35450</v>
      </c>
      <c r="D86" s="18" t="n">
        <v>33743.35</v>
      </c>
      <c r="E86" s="18" t="n">
        <v>33238.95</v>
      </c>
      <c r="F86" s="18" t="n">
        <v>28467.81</v>
      </c>
      <c r="G86" s="19">
        <f>HYPERLINK("https://www.tradingview.com/chart/?symbol=NSE:POWERINDIA","Chart 📈")</f>
        <v/>
      </c>
    </row>
    <row r="87" ht="16" customHeight="1">
      <c r="A87" s="20" t="inlineStr">
        <is>
          <t>NIFTY ENERGY</t>
        </is>
      </c>
      <c r="B87" s="17" t="inlineStr">
        <is>
          <t>SIEMENS</t>
        </is>
      </c>
      <c r="C87" s="18" t="n">
        <v>3943</v>
      </c>
      <c r="D87" s="18" t="n">
        <v>3854.23</v>
      </c>
      <c r="E87" s="18" t="n">
        <v>3733.18</v>
      </c>
      <c r="F87" s="18" t="n">
        <v>3466.76</v>
      </c>
      <c r="G87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2026-08-17T11:31:55Z</dcterms:created>
  <dcterms:modified xmlns:dcterms="http://purl.org/dc/terms/" xmlns:xsi="http://www.w3.org/2001/XMLSchema-instance" xsi:type="dcterms:W3CDTF">2026-08-17T11:31:55Z</dcterms:modified>
</cp:coreProperties>
</file>