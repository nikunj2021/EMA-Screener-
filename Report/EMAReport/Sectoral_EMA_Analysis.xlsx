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24-Sep-2026  15:54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14</v>
      </c>
      <c r="D4" s="5" t="n">
        <v>13</v>
      </c>
      <c r="E4" s="5" t="n">
        <v>13</v>
      </c>
      <c r="F4" s="6" t="n">
        <v>0.7</v>
      </c>
      <c r="G4" s="6" t="n">
        <v>0.65</v>
      </c>
      <c r="H4" s="6" t="n">
        <v>0.65</v>
      </c>
      <c r="I4" s="7" t="n">
        <v>0.6667000000000001</v>
      </c>
    </row>
    <row r="5" ht="17" customHeight="1">
      <c r="A5" s="8" t="inlineStr">
        <is>
          <t>NIFTY METAL</t>
        </is>
      </c>
      <c r="B5" s="9" t="n">
        <v>15</v>
      </c>
      <c r="C5" s="9" t="n">
        <v>8</v>
      </c>
      <c r="D5" s="9" t="n">
        <v>8</v>
      </c>
      <c r="E5" s="9" t="n">
        <v>11</v>
      </c>
      <c r="F5" s="10" t="n">
        <v>0.5329999999999999</v>
      </c>
      <c r="G5" s="10" t="n">
        <v>0.5329999999999999</v>
      </c>
      <c r="H5" s="10" t="n">
        <v>0.733</v>
      </c>
      <c r="I5" s="11" t="n">
        <v>0.5997</v>
      </c>
    </row>
    <row r="6" ht="17" customHeight="1">
      <c r="A6" s="4" t="inlineStr">
        <is>
          <t>NIFTY REALTY</t>
        </is>
      </c>
      <c r="B6" s="5" t="n">
        <v>10</v>
      </c>
      <c r="C6" s="5" t="n">
        <v>4</v>
      </c>
      <c r="D6" s="5" t="n">
        <v>4</v>
      </c>
      <c r="E6" s="5" t="n">
        <v>6</v>
      </c>
      <c r="F6" s="6" t="n">
        <v>0.4</v>
      </c>
      <c r="G6" s="6" t="n">
        <v>0.4</v>
      </c>
      <c r="H6" s="6" t="n">
        <v>0.6</v>
      </c>
      <c r="I6" s="7" t="n">
        <v>0.4667</v>
      </c>
    </row>
    <row r="7" ht="17" customHeight="1">
      <c r="A7" s="8" t="inlineStr">
        <is>
          <t>NIFTY MEDIA</t>
        </is>
      </c>
      <c r="B7" s="9" t="n">
        <v>10</v>
      </c>
      <c r="C7" s="9" t="n">
        <v>4</v>
      </c>
      <c r="D7" s="9" t="n">
        <v>5</v>
      </c>
      <c r="E7" s="9" t="n">
        <v>4</v>
      </c>
      <c r="F7" s="10" t="n">
        <v>0.4</v>
      </c>
      <c r="G7" s="10" t="n">
        <v>0.5</v>
      </c>
      <c r="H7" s="10" t="n">
        <v>0.4</v>
      </c>
      <c r="I7" s="11" t="n">
        <v>0.4333</v>
      </c>
    </row>
    <row r="8" ht="17" customHeight="1">
      <c r="A8" s="4" t="inlineStr">
        <is>
          <t>NIFTY OIL &amp; GAS</t>
        </is>
      </c>
      <c r="B8" s="5" t="n">
        <v>15</v>
      </c>
      <c r="C8" s="5" t="n">
        <v>4</v>
      </c>
      <c r="D8" s="5" t="n">
        <v>6</v>
      </c>
      <c r="E8" s="5" t="n">
        <v>5</v>
      </c>
      <c r="F8" s="6" t="n">
        <v>0.267</v>
      </c>
      <c r="G8" s="6" t="n">
        <v>0.4</v>
      </c>
      <c r="H8" s="6" t="n">
        <v>0.333</v>
      </c>
      <c r="I8" s="7" t="n">
        <v>0.3333</v>
      </c>
    </row>
    <row r="9" ht="17" customHeight="1">
      <c r="A9" s="8" t="inlineStr">
        <is>
          <t>NIFTY PSU BANK</t>
        </is>
      </c>
      <c r="B9" s="9" t="n">
        <v>12</v>
      </c>
      <c r="C9" s="9" t="n">
        <v>3</v>
      </c>
      <c r="D9" s="9" t="n">
        <v>3</v>
      </c>
      <c r="E9" s="9" t="n">
        <v>3</v>
      </c>
      <c r="F9" s="10" t="n">
        <v>0.25</v>
      </c>
      <c r="G9" s="10" t="n">
        <v>0.25</v>
      </c>
      <c r="H9" s="10" t="n">
        <v>0.25</v>
      </c>
      <c r="I9" s="11" t="n">
        <v>0.25</v>
      </c>
    </row>
    <row r="10" ht="17" customHeight="1">
      <c r="A10" s="4" t="inlineStr">
        <is>
          <t>NIFTY FMCG</t>
        </is>
      </c>
      <c r="B10" s="5" t="n">
        <v>15</v>
      </c>
      <c r="C10" s="5" t="n">
        <v>5</v>
      </c>
      <c r="D10" s="5" t="n">
        <v>2</v>
      </c>
      <c r="E10" s="5" t="n">
        <v>4</v>
      </c>
      <c r="F10" s="6" t="n">
        <v>0.333</v>
      </c>
      <c r="G10" s="6" t="n">
        <v>0.133</v>
      </c>
      <c r="H10" s="6" t="n">
        <v>0.267</v>
      </c>
      <c r="I10" s="7" t="n">
        <v>0.2443</v>
      </c>
    </row>
    <row r="11" ht="17" customHeight="1">
      <c r="A11" s="8" t="inlineStr">
        <is>
          <t>NIFTY AUTO</t>
        </is>
      </c>
      <c r="B11" s="9" t="n">
        <v>15</v>
      </c>
      <c r="C11" s="9" t="n">
        <v>2</v>
      </c>
      <c r="D11" s="9" t="n">
        <v>2</v>
      </c>
      <c r="E11" s="9" t="n">
        <v>7</v>
      </c>
      <c r="F11" s="10" t="n">
        <v>0.133</v>
      </c>
      <c r="G11" s="10" t="n">
        <v>0.133</v>
      </c>
      <c r="H11" s="10" t="n">
        <v>0.467</v>
      </c>
      <c r="I11" s="11" t="n">
        <v>0.2443</v>
      </c>
    </row>
    <row r="12" ht="17" customHeight="1">
      <c r="A12" s="4" t="inlineStr">
        <is>
          <t>NIFTY CONSUMER DURABLES</t>
        </is>
      </c>
      <c r="B12" s="5" t="n">
        <v>15</v>
      </c>
      <c r="C12" s="5" t="n">
        <v>3</v>
      </c>
      <c r="D12" s="5" t="n">
        <v>3</v>
      </c>
      <c r="E12" s="5" t="n">
        <v>4</v>
      </c>
      <c r="F12" s="6" t="n">
        <v>0.2</v>
      </c>
      <c r="G12" s="6" t="n">
        <v>0.2</v>
      </c>
      <c r="H12" s="6" t="n">
        <v>0.267</v>
      </c>
      <c r="I12" s="7" t="n">
        <v>0.2223</v>
      </c>
    </row>
    <row r="13" ht="17" customHeight="1">
      <c r="A13" s="8" t="inlineStr">
        <is>
          <t>NIFTY FINANCIAL SERVICES</t>
        </is>
      </c>
      <c r="B13" s="9" t="n">
        <v>20</v>
      </c>
      <c r="C13" s="9" t="n">
        <v>5</v>
      </c>
      <c r="D13" s="9" t="n">
        <v>2</v>
      </c>
      <c r="E13" s="9" t="n">
        <v>4</v>
      </c>
      <c r="F13" s="10" t="n">
        <v>0.25</v>
      </c>
      <c r="G13" s="10" t="n">
        <v>0.1</v>
      </c>
      <c r="H13" s="10" t="n">
        <v>0.2</v>
      </c>
      <c r="I13" s="11" t="n">
        <v>0.1833</v>
      </c>
    </row>
    <row r="14" ht="17" customHeight="1">
      <c r="A14" s="4" t="inlineStr">
        <is>
          <t>NIFTY MIDSMALL IT &amp; TELECOM</t>
        </is>
      </c>
      <c r="B14" s="5" t="n">
        <v>20</v>
      </c>
      <c r="C14" s="5" t="n">
        <v>2</v>
      </c>
      <c r="D14" s="5" t="n">
        <v>3</v>
      </c>
      <c r="E14" s="5" t="n">
        <v>6</v>
      </c>
      <c r="F14" s="6" t="n">
        <v>0.1</v>
      </c>
      <c r="G14" s="6" t="n">
        <v>0.15</v>
      </c>
      <c r="H14" s="6" t="n">
        <v>0.3</v>
      </c>
      <c r="I14" s="7" t="n">
        <v>0.1833</v>
      </c>
    </row>
    <row r="15" ht="17" customHeight="1">
      <c r="A15" s="8" t="inlineStr">
        <is>
          <t>NIFTY ENERGY</t>
        </is>
      </c>
      <c r="B15" s="9" t="n">
        <v>40</v>
      </c>
      <c r="C15" s="9" t="n">
        <v>1</v>
      </c>
      <c r="D15" s="9" t="n">
        <v>1</v>
      </c>
      <c r="E15" s="9" t="n">
        <v>11</v>
      </c>
      <c r="F15" s="10" t="n">
        <v>0.025</v>
      </c>
      <c r="G15" s="10" t="n">
        <v>0.025</v>
      </c>
      <c r="H15" s="10" t="n">
        <v>0.275</v>
      </c>
      <c r="I15" s="11" t="n">
        <v>0.1083</v>
      </c>
    </row>
    <row r="16" ht="17" customHeight="1">
      <c r="A16" s="4" t="inlineStr">
        <is>
          <t>NIFTY BANK</t>
        </is>
      </c>
      <c r="B16" s="5" t="n">
        <v>12</v>
      </c>
      <c r="C16" s="5" t="n">
        <v>0</v>
      </c>
      <c r="D16" s="5" t="n">
        <v>0</v>
      </c>
      <c r="E16" s="5" t="n">
        <v>3</v>
      </c>
      <c r="F16" s="6" t="n">
        <v>0</v>
      </c>
      <c r="G16" s="6" t="n">
        <v>0</v>
      </c>
      <c r="H16" s="6" t="n">
        <v>0.25</v>
      </c>
      <c r="I16" s="7" t="n">
        <v>0.0833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1</v>
      </c>
      <c r="F17" s="10" t="n">
        <v>0</v>
      </c>
      <c r="G17" s="10" t="n">
        <v>0</v>
      </c>
      <c r="H17" s="10" t="n">
        <v>0.1</v>
      </c>
      <c r="I17" s="11" t="n">
        <v>0.0333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ABBOTINDIA</t>
        </is>
      </c>
      <c r="C3" s="14" t="n">
        <v>26860</v>
      </c>
      <c r="D3" s="14" t="n">
        <v>26458.72</v>
      </c>
      <c r="E3" s="14" t="n">
        <v>26511.28</v>
      </c>
      <c r="F3" s="14" t="n">
        <v>26790.32</v>
      </c>
      <c r="G3" s="15">
        <f>HYPERLINK("https://www.tradingview.com/chart/?symbol=NSE:ABBOTINDIA","Chart 📈")</f>
        <v/>
      </c>
    </row>
    <row r="4" ht="16" customHeight="1">
      <c r="A4" s="16" t="inlineStr">
        <is>
          <t>NIFTY PHARMA</t>
        </is>
      </c>
      <c r="B4" s="13" t="inlineStr">
        <is>
          <t>AJANTPHARM</t>
        </is>
      </c>
      <c r="C4" s="14" t="n">
        <v>3539.5</v>
      </c>
      <c r="D4" s="14" t="n">
        <v>3535.45</v>
      </c>
      <c r="E4" s="14" t="n">
        <v>3481.7</v>
      </c>
      <c r="F4" s="14" t="n">
        <v>3128.84</v>
      </c>
      <c r="G4" s="15">
        <f>HYPERLINK("https://www.tradingview.com/chart/?symbol=NSE:AJANTPHARM","Chart 📈")</f>
        <v/>
      </c>
    </row>
    <row r="5" ht="16" customHeight="1">
      <c r="A5" s="16" t="inlineStr">
        <is>
          <t>NIFTY PHARMA</t>
        </is>
      </c>
      <c r="B5" s="13" t="inlineStr">
        <is>
          <t>AUROPHARMA</t>
        </is>
      </c>
      <c r="C5" s="14" t="n">
        <v>1716</v>
      </c>
      <c r="D5" s="14" t="n">
        <v>1681.36</v>
      </c>
      <c r="E5" s="14" t="n">
        <v>1636.14</v>
      </c>
      <c r="F5" s="14" t="n">
        <v>1451.76</v>
      </c>
      <c r="G5" s="15">
        <f>HYPERLINK("https://www.tradingview.com/chart/?symbol=NSE:AUROPHARMA","Chart 📈")</f>
        <v/>
      </c>
    </row>
    <row r="6" ht="16" customHeight="1">
      <c r="A6" s="16" t="inlineStr">
        <is>
          <t>NIFTY PHARMA</t>
        </is>
      </c>
      <c r="B6" s="13" t="inlineStr">
        <is>
          <t>DIVISLAB</t>
        </is>
      </c>
      <c r="C6" s="14" t="n">
        <v>9602</v>
      </c>
      <c r="D6" s="14" t="n">
        <v>9259.940000000001</v>
      </c>
      <c r="E6" s="14" t="n">
        <v>8678.370000000001</v>
      </c>
      <c r="F6" s="14" t="n">
        <v>7322.83</v>
      </c>
      <c r="G6" s="15">
        <f>HYPERLINK("https://www.tradingview.com/chart/?symbol=NSE:DIVISLAB","Chart 📈")</f>
        <v/>
      </c>
    </row>
    <row r="7" ht="16" customHeight="1">
      <c r="A7" s="16" t="inlineStr">
        <is>
          <t>NIFTY PHARMA</t>
        </is>
      </c>
      <c r="B7" s="13" t="inlineStr">
        <is>
          <t>GLENMARK</t>
        </is>
      </c>
      <c r="C7" s="14" t="n">
        <v>2430.4</v>
      </c>
      <c r="D7" s="14" t="n">
        <v>2424.63</v>
      </c>
      <c r="E7" s="14" t="n">
        <v>2368.07</v>
      </c>
      <c r="F7" s="14" t="n">
        <v>2223.35</v>
      </c>
      <c r="G7" s="15">
        <f>HYPERLINK("https://www.tradingview.com/chart/?symbol=NSE:GLENMARK","Chart 📈")</f>
        <v/>
      </c>
    </row>
    <row r="8" ht="16" customHeight="1">
      <c r="A8" s="16" t="inlineStr">
        <is>
          <t>NIFTY PHARMA</t>
        </is>
      </c>
      <c r="B8" s="13" t="inlineStr">
        <is>
          <t>IPCALAB</t>
        </is>
      </c>
      <c r="C8" s="14" t="n">
        <v>1997.1</v>
      </c>
      <c r="D8" s="14" t="n">
        <v>1959.02</v>
      </c>
      <c r="E8" s="14" t="n">
        <v>1884.03</v>
      </c>
      <c r="F8" s="14" t="n">
        <v>1663.15</v>
      </c>
      <c r="G8" s="15">
        <f>HYPERLINK("https://www.tradingview.com/chart/?symbol=NSE:IPCALAB","Chart 📈")</f>
        <v/>
      </c>
    </row>
    <row r="9" ht="16" customHeight="1">
      <c r="A9" s="16" t="inlineStr">
        <is>
          <t>NIFTY PHARMA</t>
        </is>
      </c>
      <c r="B9" s="13" t="inlineStr">
        <is>
          <t>LAURUSLABS</t>
        </is>
      </c>
      <c r="C9" s="14" t="n">
        <v>2026.2</v>
      </c>
      <c r="D9" s="14" t="n">
        <v>1942.44</v>
      </c>
      <c r="E9" s="14" t="n">
        <v>1828.29</v>
      </c>
      <c r="F9" s="14" t="n">
        <v>1440.9</v>
      </c>
      <c r="G9" s="15">
        <f>HYPERLINK("https://www.tradingview.com/chart/?symbol=NSE:LAURUSLABS","Chart 📈")</f>
        <v/>
      </c>
    </row>
    <row r="10" ht="16" customHeight="1">
      <c r="A10" s="16" t="inlineStr">
        <is>
          <t>NIFTY PHARMA</t>
        </is>
      </c>
      <c r="B10" s="13" t="inlineStr">
        <is>
          <t>MANKIND</t>
        </is>
      </c>
      <c r="C10" s="14" t="n">
        <v>2500</v>
      </c>
      <c r="D10" s="14" t="n">
        <v>2373.38</v>
      </c>
      <c r="E10" s="14" t="n">
        <v>2391.17</v>
      </c>
      <c r="F10" s="14" t="n">
        <v>2364.32</v>
      </c>
      <c r="G10" s="15">
        <f>HYPERLINK("https://www.tradingview.com/chart/?symbol=NSE:MANKIND","Chart 📈")</f>
        <v/>
      </c>
    </row>
    <row r="11" ht="16" customHeight="1">
      <c r="A11" s="16" t="inlineStr">
        <is>
          <t>NIFTY PHARMA</t>
        </is>
      </c>
      <c r="B11" s="13" t="inlineStr">
        <is>
          <t>TORNTPHARM</t>
        </is>
      </c>
      <c r="C11" s="14" t="n">
        <v>4928.5</v>
      </c>
      <c r="D11" s="14" t="n">
        <v>4926.46</v>
      </c>
      <c r="E11" s="14" t="n">
        <v>4889.22</v>
      </c>
      <c r="F11" s="14" t="n">
        <v>4482.44</v>
      </c>
      <c r="G11" s="15">
        <f>HYPERLINK("https://www.tradingview.com/chart/?symbol=NSE:TORNTPHARM","Chart 📈")</f>
        <v/>
      </c>
    </row>
    <row r="12" ht="16" customHeight="1">
      <c r="A12" s="16" t="inlineStr">
        <is>
          <t>NIFTY PHARMA</t>
        </is>
      </c>
      <c r="B12" s="13" t="inlineStr">
        <is>
          <t>ZYDUSLIFE</t>
        </is>
      </c>
      <c r="C12" s="14" t="n">
        <v>1180.3</v>
      </c>
      <c r="D12" s="14" t="n">
        <v>1145.36</v>
      </c>
      <c r="E12" s="14" t="n">
        <v>1131.98</v>
      </c>
      <c r="F12" s="14" t="n">
        <v>1053.41</v>
      </c>
      <c r="G12" s="15">
        <f>HYPERLINK("https://www.tradingview.com/chart/?symbol=NSE:ZYDUSLIFE","Chart 📈")</f>
        <v/>
      </c>
    </row>
    <row r="13" ht="16" customHeight="1">
      <c r="A13" s="8" t="inlineStr">
        <is>
          <t>NIFTY METAL</t>
        </is>
      </c>
      <c r="B13" s="17" t="inlineStr">
        <is>
          <t>APLAPOLLO</t>
        </is>
      </c>
      <c r="C13" s="18" t="n">
        <v>2184.8</v>
      </c>
      <c r="D13" s="18" t="n">
        <v>2166.23</v>
      </c>
      <c r="E13" s="18" t="n">
        <v>2084.2</v>
      </c>
      <c r="F13" s="18" t="n">
        <v>1948.36</v>
      </c>
      <c r="G13" s="19">
        <f>HYPERLINK("https://www.tradingview.com/chart/?symbol=NSE:APLAPOLLO","Chart 📈")</f>
        <v/>
      </c>
    </row>
    <row r="14" ht="16" customHeight="1">
      <c r="A14" s="20" t="inlineStr">
        <is>
          <t>NIFTY METAL</t>
        </is>
      </c>
      <c r="B14" s="17" t="inlineStr">
        <is>
          <t>HINDZINC</t>
        </is>
      </c>
      <c r="C14" s="18" t="n">
        <v>587.15</v>
      </c>
      <c r="D14" s="18" t="n">
        <v>586.42</v>
      </c>
      <c r="E14" s="18" t="n">
        <v>579.61</v>
      </c>
      <c r="F14" s="18" t="n">
        <v>561.5700000000001</v>
      </c>
      <c r="G14" s="19">
        <f>HYPERLINK("https://www.tradingview.com/chart/?symbol=NSE:HINDZINC","Chart 📈")</f>
        <v/>
      </c>
    </row>
    <row r="15" ht="16" customHeight="1">
      <c r="A15" s="20" t="inlineStr">
        <is>
          <t>NIFTY METAL</t>
        </is>
      </c>
      <c r="B15" s="17" t="inlineStr">
        <is>
          <t>JINDALSTEL</t>
        </is>
      </c>
      <c r="C15" s="18" t="n">
        <v>1157.8</v>
      </c>
      <c r="D15" s="18" t="n">
        <v>1136.84</v>
      </c>
      <c r="E15" s="18" t="n">
        <v>1126.64</v>
      </c>
      <c r="F15" s="18" t="n">
        <v>1121.36</v>
      </c>
      <c r="G15" s="19">
        <f>HYPERLINK("https://www.tradingview.com/chart/?symbol=NSE:JINDALSTEL","Chart 📈")</f>
        <v/>
      </c>
    </row>
    <row r="16" ht="16" customHeight="1">
      <c r="A16" s="20" t="inlineStr">
        <is>
          <t>NIFTY METAL</t>
        </is>
      </c>
      <c r="B16" s="17" t="inlineStr">
        <is>
          <t>RATNAMANI</t>
        </is>
      </c>
      <c r="C16" s="18" t="n">
        <v>2824.2</v>
      </c>
      <c r="D16" s="18" t="n">
        <v>2724.54</v>
      </c>
      <c r="E16" s="18" t="n">
        <v>2622.74</v>
      </c>
      <c r="F16" s="18" t="n">
        <v>2500.61</v>
      </c>
      <c r="G16" s="19">
        <f>HYPERLINK("https://www.tradingview.com/chart/?symbol=NSE:RATNAMANI","Chart 📈")</f>
        <v/>
      </c>
    </row>
    <row r="17" ht="16" customHeight="1">
      <c r="A17" s="20" t="inlineStr">
        <is>
          <t>NIFTY METAL</t>
        </is>
      </c>
      <c r="B17" s="17" t="inlineStr">
        <is>
          <t>SAIL</t>
        </is>
      </c>
      <c r="C17" s="18" t="n">
        <v>184</v>
      </c>
      <c r="D17" s="18" t="n">
        <v>181.13</v>
      </c>
      <c r="E17" s="18" t="n">
        <v>179.49</v>
      </c>
      <c r="F17" s="18" t="n">
        <v>168.81</v>
      </c>
      <c r="G17" s="19">
        <f>HYPERLINK("https://www.tradingview.com/chart/?symbol=NSE:SAIL","Chart 📈")</f>
        <v/>
      </c>
    </row>
    <row r="18" ht="16" customHeight="1">
      <c r="A18" s="20" t="inlineStr">
        <is>
          <t>NIFTY METAL</t>
        </is>
      </c>
      <c r="B18" s="17" t="inlineStr">
        <is>
          <t>WELCORP</t>
        </is>
      </c>
      <c r="C18" s="18" t="n">
        <v>2692.2</v>
      </c>
      <c r="D18" s="18" t="n">
        <v>2552.63</v>
      </c>
      <c r="E18" s="18" t="n">
        <v>2238.91</v>
      </c>
      <c r="F18" s="18" t="n">
        <v>1539.9</v>
      </c>
      <c r="G18" s="19">
        <f>HYPERLINK("https://www.tradingview.com/chart/?symbol=NSE:WELCORP","Chart 📈")</f>
        <v/>
      </c>
    </row>
    <row r="19" ht="16" customHeight="1">
      <c r="A19" s="12" t="inlineStr">
        <is>
          <t>NIFTY REALTY</t>
        </is>
      </c>
      <c r="B19" s="13" t="inlineStr">
        <is>
          <t>DLF</t>
        </is>
      </c>
      <c r="C19" s="14" t="n">
        <v>670.4</v>
      </c>
      <c r="D19" s="14" t="n">
        <v>659.53</v>
      </c>
      <c r="E19" s="14" t="n">
        <v>655.11</v>
      </c>
      <c r="F19" s="14" t="n">
        <v>643.11</v>
      </c>
      <c r="G19" s="15">
        <f>HYPERLINK("https://www.tradingview.com/chart/?symbol=NSE:DLF","Chart 📈")</f>
        <v/>
      </c>
    </row>
    <row r="20" ht="16" customHeight="1">
      <c r="A20" s="16" t="inlineStr">
        <is>
          <t>NIFTY REALTY</t>
        </is>
      </c>
      <c r="B20" s="13" t="inlineStr">
        <is>
          <t>OBEROIRLTY</t>
        </is>
      </c>
      <c r="C20" s="14" t="n">
        <v>1837.5</v>
      </c>
      <c r="D20" s="14" t="n">
        <v>1810.79</v>
      </c>
      <c r="E20" s="14" t="n">
        <v>1812.82</v>
      </c>
      <c r="F20" s="14" t="n">
        <v>1722.64</v>
      </c>
      <c r="G20" s="15">
        <f>HYPERLINK("https://www.tradingview.com/chart/?symbol=NSE:OBEROIRLTY","Chart 📈")</f>
        <v/>
      </c>
    </row>
    <row r="21" ht="16" customHeight="1">
      <c r="A21" s="16" t="inlineStr">
        <is>
          <t>NIFTY REALTY</t>
        </is>
      </c>
      <c r="B21" s="13" t="inlineStr">
        <is>
          <t>PHOENIXLTD</t>
        </is>
      </c>
      <c r="C21" s="14" t="n">
        <v>1955</v>
      </c>
      <c r="D21" s="14" t="n">
        <v>1915.22</v>
      </c>
      <c r="E21" s="14" t="n">
        <v>1916.91</v>
      </c>
      <c r="F21" s="14" t="n">
        <v>1826.92</v>
      </c>
      <c r="G21" s="15">
        <f>HYPERLINK("https://www.tradingview.com/chart/?symbol=NSE:PHOENIXLTD","Chart 📈")</f>
        <v/>
      </c>
    </row>
    <row r="22" ht="16" customHeight="1">
      <c r="A22" s="16" t="inlineStr">
        <is>
          <t>NIFTY REALTY</t>
        </is>
      </c>
      <c r="B22" s="13" t="inlineStr">
        <is>
          <t>RAYMOND</t>
        </is>
      </c>
      <c r="C22" s="14" t="n">
        <v>1203.85</v>
      </c>
      <c r="D22" s="14" t="n">
        <v>934.47</v>
      </c>
      <c r="E22" s="14" t="n">
        <v>782.8</v>
      </c>
      <c r="F22" s="14" t="n">
        <v>603.26</v>
      </c>
      <c r="G22" s="15">
        <f>HYPERLINK("https://www.tradingview.com/chart/?symbol=NSE:RAYMOND","Chart 📈")</f>
        <v/>
      </c>
    </row>
    <row r="23" ht="16" customHeight="1">
      <c r="A23" s="8" t="inlineStr">
        <is>
          <t>NIFTY MEDIA</t>
        </is>
      </c>
      <c r="B23" s="17" t="inlineStr">
        <is>
          <t>NAZARA</t>
        </is>
      </c>
      <c r="C23" s="18" t="n">
        <v>374.55</v>
      </c>
      <c r="D23" s="18" t="n">
        <v>365.52</v>
      </c>
      <c r="E23" s="18" t="n">
        <v>349.88</v>
      </c>
      <c r="F23" s="18" t="n">
        <v>305.29</v>
      </c>
      <c r="G23" s="19">
        <f>HYPERLINK("https://www.tradingview.com/chart/?symbol=NSE:NAZARA","Chart 📈")</f>
        <v/>
      </c>
    </row>
    <row r="24" ht="16" customHeight="1">
      <c r="A24" s="20" t="inlineStr">
        <is>
          <t>NIFTY MEDIA</t>
        </is>
      </c>
      <c r="B24" s="17" t="inlineStr">
        <is>
          <t>PVRINOX</t>
        </is>
      </c>
      <c r="C24" s="18" t="n">
        <v>1256.7</v>
      </c>
      <c r="D24" s="18" t="n">
        <v>1255.71</v>
      </c>
      <c r="E24" s="18" t="n">
        <v>1191.31</v>
      </c>
      <c r="F24" s="18" t="n">
        <v>1090.28</v>
      </c>
      <c r="G24" s="19">
        <f>HYPERLINK("https://www.tradingview.com/chart/?symbol=NSE:PVRINOX","Chart 📈")</f>
        <v/>
      </c>
    </row>
    <row r="25" ht="16" customHeight="1">
      <c r="A25" s="20" t="inlineStr">
        <is>
          <t>NIFTY MEDIA</t>
        </is>
      </c>
      <c r="B25" s="17" t="inlineStr">
        <is>
          <t>TIPSMUSIC</t>
        </is>
      </c>
      <c r="C25" s="18" t="n">
        <v>662.05</v>
      </c>
      <c r="D25" s="18" t="n">
        <v>657.83</v>
      </c>
      <c r="E25" s="18" t="n">
        <v>657.95</v>
      </c>
      <c r="F25" s="18" t="n">
        <v>622.01</v>
      </c>
      <c r="G25" s="19">
        <f>HYPERLINK("https://www.tradingview.com/chart/?symbol=NSE:TIPSMUSIC","Chart 📈")</f>
        <v/>
      </c>
    </row>
    <row r="26" ht="16" customHeight="1">
      <c r="A26" s="12" t="inlineStr">
        <is>
          <t>NIFTY OIL &amp; GAS</t>
        </is>
      </c>
      <c r="B26" s="13" t="inlineStr">
        <is>
          <t>AEGISLOG</t>
        </is>
      </c>
      <c r="C26" s="14" t="n">
        <v>1369.7</v>
      </c>
      <c r="D26" s="14" t="n">
        <v>1357.09</v>
      </c>
      <c r="E26" s="14" t="n">
        <v>1295.98</v>
      </c>
      <c r="F26" s="14" t="n">
        <v>1019.57</v>
      </c>
      <c r="G26" s="15">
        <f>HYPERLINK("https://www.tradingview.com/chart/?symbol=NSE:AEGISLOG","Chart 📈")</f>
        <v/>
      </c>
    </row>
    <row r="27" ht="16" customHeight="1">
      <c r="A27" s="16" t="inlineStr">
        <is>
          <t>NIFTY OIL &amp; GAS</t>
        </is>
      </c>
      <c r="B27" s="13" t="inlineStr">
        <is>
          <t>CASTROLIND</t>
        </is>
      </c>
      <c r="C27" s="14" t="n">
        <v>194.8</v>
      </c>
      <c r="D27" s="14" t="n">
        <v>190.55</v>
      </c>
      <c r="E27" s="14" t="n">
        <v>186.91</v>
      </c>
      <c r="F27" s="14" t="n">
        <v>182.13</v>
      </c>
      <c r="G27" s="15">
        <f>HYPERLINK("https://www.tradingview.com/chart/?symbol=NSE:CASTROLIND","Chart 📈")</f>
        <v/>
      </c>
    </row>
    <row r="28" ht="16" customHeight="1">
      <c r="A28" s="16" t="inlineStr">
        <is>
          <t>NIFTY OIL &amp; GAS</t>
        </is>
      </c>
      <c r="B28" s="13" t="inlineStr">
        <is>
          <t>GAIL</t>
        </is>
      </c>
      <c r="C28" s="14" t="n">
        <v>173.85</v>
      </c>
      <c r="D28" s="14" t="n">
        <v>173.15</v>
      </c>
      <c r="E28" s="14" t="n">
        <v>172.77</v>
      </c>
      <c r="F28" s="14" t="n">
        <v>168.47</v>
      </c>
      <c r="G28" s="15">
        <f>HYPERLINK("https://www.tradingview.com/chart/?symbol=NSE:GAIL","Chart 📈")</f>
        <v/>
      </c>
    </row>
    <row r="29" ht="16" customHeight="1">
      <c r="A29" s="8" t="inlineStr">
        <is>
          <t>NIFTY PSU BANK</t>
        </is>
      </c>
      <c r="B29" s="17" t="inlineStr">
        <is>
          <t>PNB</t>
        </is>
      </c>
      <c r="C29" s="18" t="n">
        <v>117.12</v>
      </c>
      <c r="D29" s="18" t="n">
        <v>116.57</v>
      </c>
      <c r="E29" s="18" t="n">
        <v>114.57</v>
      </c>
      <c r="F29" s="18" t="n">
        <v>111.78</v>
      </c>
      <c r="G29" s="19">
        <f>HYPERLINK("https://www.tradingview.com/chart/?symbol=NSE:PNB","Chart 📈")</f>
        <v/>
      </c>
    </row>
    <row r="30" ht="16" customHeight="1">
      <c r="A30" s="12" t="inlineStr">
        <is>
          <t>NIFTY FMCG</t>
        </is>
      </c>
      <c r="B30" s="13" t="inlineStr">
        <is>
          <t>RADICO</t>
        </is>
      </c>
      <c r="C30" s="14" t="n">
        <v>4481.3</v>
      </c>
      <c r="D30" s="14" t="n">
        <v>4479.44</v>
      </c>
      <c r="E30" s="14" t="n">
        <v>4377.19</v>
      </c>
      <c r="F30" s="14" t="n">
        <v>3738.53</v>
      </c>
      <c r="G30" s="15">
        <f>HYPERLINK("https://www.tradingview.com/chart/?symbol=NSE:RADICO","Chart 📈")</f>
        <v/>
      </c>
    </row>
    <row r="31" ht="16" customHeight="1">
      <c r="A31" s="8" t="inlineStr">
        <is>
          <t>NIFTY AUTO</t>
        </is>
      </c>
      <c r="B31" s="17" t="inlineStr">
        <is>
          <t>BOSCHLTD</t>
        </is>
      </c>
      <c r="C31" s="18" t="n">
        <v>47750</v>
      </c>
      <c r="D31" s="18" t="n">
        <v>47664.2</v>
      </c>
      <c r="E31" s="18" t="n">
        <v>45817.49</v>
      </c>
      <c r="F31" s="18" t="n">
        <v>40611.84</v>
      </c>
      <c r="G31" s="19">
        <f>HYPERLINK("https://www.tradingview.com/chart/?symbol=NSE:BOSCHLTD","Chart 📈")</f>
        <v/>
      </c>
    </row>
    <row r="32" ht="16" customHeight="1">
      <c r="A32" s="12" t="inlineStr">
        <is>
          <t>NIFTY CONSUMER DURABLES</t>
        </is>
      </c>
      <c r="B32" s="13" t="inlineStr">
        <is>
          <t>KAJARIACER</t>
        </is>
      </c>
      <c r="C32" s="14" t="n">
        <v>1221.8</v>
      </c>
      <c r="D32" s="14" t="n">
        <v>1214.61</v>
      </c>
      <c r="E32" s="14" t="n">
        <v>1206.04</v>
      </c>
      <c r="F32" s="14" t="n">
        <v>1143.84</v>
      </c>
      <c r="G32" s="15">
        <f>HYPERLINK("https://www.tradingview.com/chart/?symbol=NSE:KAJARIACER","Chart 📈")</f>
        <v/>
      </c>
    </row>
    <row r="33" ht="16" customHeight="1">
      <c r="A33" s="8" t="inlineStr">
        <is>
          <t>NIFTY FINANCIAL SERVICES</t>
        </is>
      </c>
      <c r="B33" s="17" t="inlineStr">
        <is>
          <t>LICHSGFIN</t>
        </is>
      </c>
      <c r="C33" s="18" t="n">
        <v>564.25</v>
      </c>
      <c r="D33" s="18" t="n">
        <v>550.1</v>
      </c>
      <c r="E33" s="18" t="n">
        <v>537.48</v>
      </c>
      <c r="F33" s="18" t="n">
        <v>533.49</v>
      </c>
      <c r="G33" s="19">
        <f>HYPERLINK("https://www.tradingview.com/chart/?symbol=NSE:LICHSGFIN","Chart 📈")</f>
        <v/>
      </c>
    </row>
    <row r="34" ht="16" customHeight="1">
      <c r="A34" s="20" t="inlineStr">
        <is>
          <t>NIFTY FINANCIAL SERVICES</t>
        </is>
      </c>
      <c r="B34" s="17" t="inlineStr">
        <is>
          <t>MCX</t>
        </is>
      </c>
      <c r="C34" s="18" t="n">
        <v>3427.7</v>
      </c>
      <c r="D34" s="18" t="n">
        <v>3256.52</v>
      </c>
      <c r="E34" s="18" t="n">
        <v>3119.48</v>
      </c>
      <c r="F34" s="18" t="n">
        <v>2726.34</v>
      </c>
      <c r="G34" s="19">
        <f>HYPERLINK("https://www.tradingview.com/chart/?symbol=NSE:MCX","Chart 📈")</f>
        <v/>
      </c>
    </row>
    <row r="35" ht="16" customHeight="1">
      <c r="A35" s="12" t="inlineStr">
        <is>
          <t>NIFTY MIDSMALL IT &amp; TELECOM</t>
        </is>
      </c>
      <c r="B35" s="13" t="inlineStr">
        <is>
          <t>CYIENT</t>
        </is>
      </c>
      <c r="C35" s="14" t="n">
        <v>1057.8</v>
      </c>
      <c r="D35" s="14" t="n">
        <v>1054.64</v>
      </c>
      <c r="E35" s="14" t="n">
        <v>995.4</v>
      </c>
      <c r="F35" s="14" t="n">
        <v>976.3099999999999</v>
      </c>
      <c r="G35" s="15">
        <f>HYPERLINK("https://www.tradingview.com/chart/?symbol=NSE:CYIENT","Chart 📈")</f>
        <v/>
      </c>
    </row>
    <row r="36" ht="16" customHeight="1">
      <c r="A36" s="8" t="inlineStr">
        <is>
          <t>NIFTY ENERGY</t>
        </is>
      </c>
      <c r="B36" s="17" t="inlineStr">
        <is>
          <t>COALINDIA</t>
        </is>
      </c>
      <c r="C36" s="18" t="n">
        <v>422</v>
      </c>
      <c r="D36" s="18" t="n">
        <v>417.7</v>
      </c>
      <c r="E36" s="18" t="n">
        <v>416.21</v>
      </c>
      <c r="F36" s="18" t="n">
        <v>414.87</v>
      </c>
      <c r="G36" s="19">
        <f>HYPERLINK("https://www.tradingview.com/chart/?symbol=NSE:COALINDIA","Chart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2026-09-24T15:54:47Z</dcterms:created>
  <dcterms:modified xmlns:dcterms="http://purl.org/dc/terms/" xmlns:xsi="http://www.w3.org/2001/XMLSchema-instance" xsi:type="dcterms:W3CDTF">2026-09-24T15:54:47Z</dcterms:modified>
</cp:coreProperties>
</file>