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07-May-2026  17:37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20</v>
      </c>
      <c r="D4" s="5" t="n">
        <v>20</v>
      </c>
      <c r="E4" s="5" t="n">
        <v>18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METAL</t>
        </is>
      </c>
      <c r="B5" s="9" t="n">
        <v>15</v>
      </c>
      <c r="C5" s="9" t="n">
        <v>11</v>
      </c>
      <c r="D5" s="9" t="n">
        <v>13</v>
      </c>
      <c r="E5" s="9" t="n">
        <v>14</v>
      </c>
      <c r="F5" s="10" t="n">
        <v>0.733</v>
      </c>
      <c r="G5" s="10" t="n">
        <v>0.867</v>
      </c>
      <c r="H5" s="10" t="n">
        <v>0.9329999999999999</v>
      </c>
      <c r="I5" s="11" t="n">
        <v>0.8443000000000001</v>
      </c>
    </row>
    <row r="6" ht="17" customHeight="1">
      <c r="A6" s="4" t="inlineStr">
        <is>
          <t>NIFTY REALTY</t>
        </is>
      </c>
      <c r="B6" s="5" t="n">
        <v>10</v>
      </c>
      <c r="C6" s="5" t="n">
        <v>10</v>
      </c>
      <c r="D6" s="5" t="n">
        <v>10</v>
      </c>
      <c r="E6" s="5" t="n">
        <v>4</v>
      </c>
      <c r="F6" s="6" t="n">
        <v>1</v>
      </c>
      <c r="G6" s="6" t="n">
        <v>1</v>
      </c>
      <c r="H6" s="6" t="n">
        <v>0.4</v>
      </c>
      <c r="I6" s="7" t="n">
        <v>0.8</v>
      </c>
    </row>
    <row r="7" ht="17" customHeight="1">
      <c r="A7" s="8" t="inlineStr">
        <is>
          <t>NIFTY OIL &amp; GAS</t>
        </is>
      </c>
      <c r="B7" s="9" t="n">
        <v>15</v>
      </c>
      <c r="C7" s="9" t="n">
        <v>13</v>
      </c>
      <c r="D7" s="9" t="n">
        <v>12</v>
      </c>
      <c r="E7" s="9" t="n">
        <v>10</v>
      </c>
      <c r="F7" s="10" t="n">
        <v>0.867</v>
      </c>
      <c r="G7" s="10" t="n">
        <v>0.8</v>
      </c>
      <c r="H7" s="10" t="n">
        <v>0.667</v>
      </c>
      <c r="I7" s="11" t="n">
        <v>0.778</v>
      </c>
    </row>
    <row r="8" ht="17" customHeight="1">
      <c r="A8" s="4" t="inlineStr">
        <is>
          <t>NIFTY AUTO</t>
        </is>
      </c>
      <c r="B8" s="5" t="n">
        <v>15</v>
      </c>
      <c r="C8" s="5" t="n">
        <v>13</v>
      </c>
      <c r="D8" s="5" t="n">
        <v>11</v>
      </c>
      <c r="E8" s="5" t="n">
        <v>10</v>
      </c>
      <c r="F8" s="6" t="n">
        <v>0.867</v>
      </c>
      <c r="G8" s="6" t="n">
        <v>0.733</v>
      </c>
      <c r="H8" s="6" t="n">
        <v>0.667</v>
      </c>
      <c r="I8" s="7" t="n">
        <v>0.7556999999999999</v>
      </c>
    </row>
    <row r="9" ht="17" customHeight="1">
      <c r="A9" s="8" t="inlineStr">
        <is>
          <t>NIFTY MEDIA</t>
        </is>
      </c>
      <c r="B9" s="9" t="n">
        <v>10</v>
      </c>
      <c r="C9" s="9" t="n">
        <v>9</v>
      </c>
      <c r="D9" s="9" t="n">
        <v>9</v>
      </c>
      <c r="E9" s="9" t="n">
        <v>3</v>
      </c>
      <c r="F9" s="10" t="n">
        <v>0.9</v>
      </c>
      <c r="G9" s="10" t="n">
        <v>0.9</v>
      </c>
      <c r="H9" s="10" t="n">
        <v>0.3</v>
      </c>
      <c r="I9" s="11" t="n">
        <v>0.7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16</v>
      </c>
      <c r="D10" s="5" t="n">
        <v>12</v>
      </c>
      <c r="E10" s="5" t="n">
        <v>10</v>
      </c>
      <c r="F10" s="6" t="n">
        <v>0.8</v>
      </c>
      <c r="G10" s="6" t="n">
        <v>0.6</v>
      </c>
      <c r="H10" s="6" t="n">
        <v>0.5</v>
      </c>
      <c r="I10" s="7" t="n">
        <v>0.6333</v>
      </c>
    </row>
    <row r="11" ht="17" customHeight="1">
      <c r="A11" s="8" t="inlineStr">
        <is>
          <t>NIFTY FMCG</t>
        </is>
      </c>
      <c r="B11" s="9" t="n">
        <v>15</v>
      </c>
      <c r="C11" s="9" t="n">
        <v>10</v>
      </c>
      <c r="D11" s="9" t="n">
        <v>10</v>
      </c>
      <c r="E11" s="9" t="n">
        <v>7</v>
      </c>
      <c r="F11" s="10" t="n">
        <v>0.667</v>
      </c>
      <c r="G11" s="10" t="n">
        <v>0.667</v>
      </c>
      <c r="H11" s="10" t="n">
        <v>0.467</v>
      </c>
      <c r="I11" s="11" t="n">
        <v>0.6003000000000001</v>
      </c>
    </row>
    <row r="12" ht="17" customHeight="1">
      <c r="A12" s="4" t="inlineStr">
        <is>
          <t>NIFTY ENERGY</t>
        </is>
      </c>
      <c r="B12" s="5" t="n">
        <v>40</v>
      </c>
      <c r="C12" s="5" t="n">
        <v>23</v>
      </c>
      <c r="D12" s="5" t="n">
        <v>25</v>
      </c>
      <c r="E12" s="5" t="n">
        <v>24</v>
      </c>
      <c r="F12" s="6" t="n">
        <v>0.575</v>
      </c>
      <c r="G12" s="6" t="n">
        <v>0.625</v>
      </c>
      <c r="H12" s="6" t="n">
        <v>0.6</v>
      </c>
      <c r="I12" s="7" t="n">
        <v>0.6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9</v>
      </c>
      <c r="D13" s="9" t="n">
        <v>9</v>
      </c>
      <c r="E13" s="9" t="n">
        <v>6</v>
      </c>
      <c r="F13" s="10" t="n">
        <v>0.6</v>
      </c>
      <c r="G13" s="10" t="n">
        <v>0.6</v>
      </c>
      <c r="H13" s="10" t="n">
        <v>0.4</v>
      </c>
      <c r="I13" s="11" t="n">
        <v>0.5333</v>
      </c>
    </row>
    <row r="14" ht="17" customHeight="1">
      <c r="A14" s="4" t="inlineStr">
        <is>
          <t>NIFTY MIDSMALL IT &amp; TELECOM</t>
        </is>
      </c>
      <c r="B14" s="5" t="n">
        <v>20</v>
      </c>
      <c r="C14" s="5" t="n">
        <v>14</v>
      </c>
      <c r="D14" s="5" t="n">
        <v>12</v>
      </c>
      <c r="E14" s="5" t="n">
        <v>6</v>
      </c>
      <c r="F14" s="6" t="n">
        <v>0.7</v>
      </c>
      <c r="G14" s="6" t="n">
        <v>0.6</v>
      </c>
      <c r="H14" s="6" t="n">
        <v>0.3</v>
      </c>
      <c r="I14" s="7" t="n">
        <v>0.5333</v>
      </c>
    </row>
    <row r="15" ht="17" customHeight="1">
      <c r="A15" s="8" t="inlineStr">
        <is>
          <t>NIFTY PSU BANK</t>
        </is>
      </c>
      <c r="B15" s="9" t="n">
        <v>12</v>
      </c>
      <c r="C15" s="9" t="n">
        <v>6</v>
      </c>
      <c r="D15" s="9" t="n">
        <v>6</v>
      </c>
      <c r="E15" s="9" t="n">
        <v>6</v>
      </c>
      <c r="F15" s="10" t="n">
        <v>0.5</v>
      </c>
      <c r="G15" s="10" t="n">
        <v>0.5</v>
      </c>
      <c r="H15" s="10" t="n">
        <v>0.5</v>
      </c>
      <c r="I15" s="11" t="n">
        <v>0.5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3</v>
      </c>
      <c r="F16" s="6" t="n">
        <v>0.333</v>
      </c>
      <c r="G16" s="6" t="n">
        <v>0.333</v>
      </c>
      <c r="H16" s="6" t="n">
        <v>0.25</v>
      </c>
      <c r="I16" s="7" t="n">
        <v>0.3053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3078.4</v>
      </c>
      <c r="D3" s="14" t="n">
        <v>2874.34</v>
      </c>
      <c r="E3" s="14" t="n">
        <v>2855.96</v>
      </c>
      <c r="F3" s="14" t="n">
        <v>2724.55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5590.5</v>
      </c>
      <c r="D4" s="14" t="n">
        <v>5446.89</v>
      </c>
      <c r="E4" s="14" t="n">
        <v>5453.83</v>
      </c>
      <c r="F4" s="14" t="n">
        <v>5406.51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1478.7</v>
      </c>
      <c r="D5" s="14" t="n">
        <v>1397.98</v>
      </c>
      <c r="E5" s="14" t="n">
        <v>1333.33</v>
      </c>
      <c r="F5" s="14" t="n">
        <v>1225.41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382.25</v>
      </c>
      <c r="D6" s="14" t="n">
        <v>364.28</v>
      </c>
      <c r="E6" s="14" t="n">
        <v>367.2</v>
      </c>
      <c r="F6" s="14" t="n">
        <v>369.94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6702.5</v>
      </c>
      <c r="D7" s="14" t="n">
        <v>6409.18</v>
      </c>
      <c r="E7" s="14" t="n">
        <v>6287.53</v>
      </c>
      <c r="F7" s="14" t="n">
        <v>6284.67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1307.6</v>
      </c>
      <c r="D8" s="14" t="n">
        <v>1287.36</v>
      </c>
      <c r="E8" s="14" t="n">
        <v>1273.41</v>
      </c>
      <c r="F8" s="14" t="n">
        <v>1253.03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1870.6</v>
      </c>
      <c r="D9" s="14" t="n">
        <v>1771.42</v>
      </c>
      <c r="E9" s="14" t="n">
        <v>1752.62</v>
      </c>
      <c r="F9" s="14" t="n">
        <v>1745.06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2371.6</v>
      </c>
      <c r="D10" s="14" t="n">
        <v>2317.67</v>
      </c>
      <c r="E10" s="14" t="n">
        <v>2219.42</v>
      </c>
      <c r="F10" s="14" t="n">
        <v>2008.36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743.5</v>
      </c>
      <c r="D11" s="14" t="n">
        <v>686.65</v>
      </c>
      <c r="E11" s="14" t="n">
        <v>645.9400000000001</v>
      </c>
      <c r="F11" s="14" t="n">
        <v>576.7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1560.1</v>
      </c>
      <c r="D12" s="14" t="n">
        <v>1523.28</v>
      </c>
      <c r="E12" s="14" t="n">
        <v>1507.04</v>
      </c>
      <c r="F12" s="14" t="n">
        <v>1449.1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2143.2</v>
      </c>
      <c r="D13" s="14" t="n">
        <v>2053.67</v>
      </c>
      <c r="E13" s="14" t="n">
        <v>2020.88</v>
      </c>
      <c r="F13" s="14" t="n">
        <v>1862.47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1206.5</v>
      </c>
      <c r="D14" s="14" t="n">
        <v>1121.25</v>
      </c>
      <c r="E14" s="14" t="n">
        <v>1079.78</v>
      </c>
      <c r="F14" s="14" t="n">
        <v>968.47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2460.1</v>
      </c>
      <c r="D15" s="14" t="n">
        <v>2341.69</v>
      </c>
      <c r="E15" s="14" t="n">
        <v>2302.75</v>
      </c>
      <c r="F15" s="14" t="n">
        <v>2161.99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2375.2</v>
      </c>
      <c r="D16" s="14" t="n">
        <v>2228.47</v>
      </c>
      <c r="E16" s="14" t="n">
        <v>2170.76</v>
      </c>
      <c r="F16" s="14" t="n">
        <v>2248.47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1155.2</v>
      </c>
      <c r="D17" s="14" t="n">
        <v>1093.58</v>
      </c>
      <c r="E17" s="14" t="n">
        <v>1034.92</v>
      </c>
      <c r="F17" s="14" t="n">
        <v>930.29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1834.4</v>
      </c>
      <c r="D18" s="14" t="n">
        <v>1756.84</v>
      </c>
      <c r="E18" s="14" t="n">
        <v>1739.4</v>
      </c>
      <c r="F18" s="14" t="n">
        <v>1716.9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4362.7</v>
      </c>
      <c r="D19" s="14" t="n">
        <v>4220.57</v>
      </c>
      <c r="E19" s="14" t="n">
        <v>4181.99</v>
      </c>
      <c r="F19" s="14" t="n">
        <v>3888.44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940.3</v>
      </c>
      <c r="D20" s="14" t="n">
        <v>916.9</v>
      </c>
      <c r="E20" s="14" t="n">
        <v>911.23</v>
      </c>
      <c r="F20" s="14" t="n">
        <v>921.61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2513.7</v>
      </c>
      <c r="D21" s="18" t="n">
        <v>2320.84</v>
      </c>
      <c r="E21" s="18" t="n">
        <v>2199.63</v>
      </c>
      <c r="F21" s="18" t="n">
        <v>2249.07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1055.7</v>
      </c>
      <c r="D22" s="18" t="n">
        <v>1026.22</v>
      </c>
      <c r="E22" s="18" t="n">
        <v>983.15</v>
      </c>
      <c r="F22" s="18" t="n">
        <v>867.34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HINDCOPPER</t>
        </is>
      </c>
      <c r="C23" s="18" t="n">
        <v>568.6</v>
      </c>
      <c r="D23" s="18" t="n">
        <v>542.29</v>
      </c>
      <c r="E23" s="18" t="n">
        <v>533.8099999999999</v>
      </c>
      <c r="F23" s="18" t="n">
        <v>439.82</v>
      </c>
      <c r="G23" s="19">
        <f>HYPERLINK("https://www.tradingview.com/chart/?symbol=NSE:HINDCOPPER","Chart 📈")</f>
        <v/>
      </c>
    </row>
    <row r="24" ht="16" customHeight="1">
      <c r="A24" s="20" t="inlineStr">
        <is>
          <t>NIFTY METAL</t>
        </is>
      </c>
      <c r="B24" s="17" t="inlineStr">
        <is>
          <t>HINDZINC</t>
        </is>
      </c>
      <c r="C24" s="18" t="n">
        <v>636.55</v>
      </c>
      <c r="D24" s="18" t="n">
        <v>592.28</v>
      </c>
      <c r="E24" s="18" t="n">
        <v>576.6799999999999</v>
      </c>
      <c r="F24" s="18" t="n">
        <v>532.45</v>
      </c>
      <c r="G24" s="19">
        <f>HYPERLINK("https://www.tradingview.com/chart/?symbol=NSE:HINDZINC","Chart 📈")</f>
        <v/>
      </c>
    </row>
    <row r="25" ht="16" customHeight="1">
      <c r="A25" s="20" t="inlineStr">
        <is>
          <t>NIFTY METAL</t>
        </is>
      </c>
      <c r="B25" s="17" t="inlineStr">
        <is>
          <t>JINDALSTEL</t>
        </is>
      </c>
      <c r="C25" s="18" t="n">
        <v>1258.2</v>
      </c>
      <c r="D25" s="18" t="n">
        <v>1239.96</v>
      </c>
      <c r="E25" s="18" t="n">
        <v>1205.54</v>
      </c>
      <c r="F25" s="18" t="n">
        <v>1097.09</v>
      </c>
      <c r="G25" s="19">
        <f>HYPERLINK("https://www.tradingview.com/chart/?symbol=NSE:JINDALSTEL","Chart 📈")</f>
        <v/>
      </c>
    </row>
    <row r="26" ht="16" customHeight="1">
      <c r="A26" s="20" t="inlineStr">
        <is>
          <t>NIFTY METAL</t>
        </is>
      </c>
      <c r="B26" s="17" t="inlineStr">
        <is>
          <t>JSWSTEEL</t>
        </is>
      </c>
      <c r="C26" s="18" t="n">
        <v>1283.4</v>
      </c>
      <c r="D26" s="18" t="n">
        <v>1249.84</v>
      </c>
      <c r="E26" s="18" t="n">
        <v>1222.95</v>
      </c>
      <c r="F26" s="18" t="n">
        <v>1155.44</v>
      </c>
      <c r="G26" s="19">
        <f>HYPERLINK("https://www.tradingview.com/chart/?symbol=NSE:JSWSTEEL","Chart 📈")</f>
        <v/>
      </c>
    </row>
    <row r="27" ht="16" customHeight="1">
      <c r="A27" s="20" t="inlineStr">
        <is>
          <t>NIFTY METAL</t>
        </is>
      </c>
      <c r="B27" s="17" t="inlineStr">
        <is>
          <t>NMDC</t>
        </is>
      </c>
      <c r="C27" s="18" t="n">
        <v>90.14</v>
      </c>
      <c r="D27" s="18" t="n">
        <v>87.95</v>
      </c>
      <c r="E27" s="18" t="n">
        <v>84.52</v>
      </c>
      <c r="F27" s="18" t="n">
        <v>77.3</v>
      </c>
      <c r="G27" s="19">
        <f>HYPERLINK("https://www.tradingview.com/chart/?symbol=NSE:NMDC","Chart 📈")</f>
        <v/>
      </c>
    </row>
    <row r="28" ht="16" customHeight="1">
      <c r="A28" s="20" t="inlineStr">
        <is>
          <t>NIFTY METAL</t>
        </is>
      </c>
      <c r="B28" s="17" t="inlineStr">
        <is>
          <t>RATNAMANI</t>
        </is>
      </c>
      <c r="C28" s="18" t="n">
        <v>2827.1</v>
      </c>
      <c r="D28" s="18" t="n">
        <v>2568.66</v>
      </c>
      <c r="E28" s="18" t="n">
        <v>2436.33</v>
      </c>
      <c r="F28" s="18" t="n">
        <v>2409.37</v>
      </c>
      <c r="G28" s="19">
        <f>HYPERLINK("https://www.tradingview.com/chart/?symbol=NSE:RATNAMANI","Chart 📈")</f>
        <v/>
      </c>
    </row>
    <row r="29" ht="16" customHeight="1">
      <c r="A29" s="20" t="inlineStr">
        <is>
          <t>NIFTY METAL</t>
        </is>
      </c>
      <c r="B29" s="17" t="inlineStr">
        <is>
          <t>SAIL</t>
        </is>
      </c>
      <c r="C29" s="18" t="n">
        <v>187.28</v>
      </c>
      <c r="D29" s="18" t="n">
        <v>178.28</v>
      </c>
      <c r="E29" s="18" t="n">
        <v>167.8</v>
      </c>
      <c r="F29" s="18" t="n">
        <v>147.35</v>
      </c>
      <c r="G29" s="19">
        <f>HYPERLINK("https://www.tradingview.com/chart/?symbol=NSE:SAIL","Chart 📈")</f>
        <v/>
      </c>
    </row>
    <row r="30" ht="16" customHeight="1">
      <c r="A30" s="20" t="inlineStr">
        <is>
          <t>NIFTY METAL</t>
        </is>
      </c>
      <c r="B30" s="17" t="inlineStr">
        <is>
          <t>TATASTEEL</t>
        </is>
      </c>
      <c r="C30" s="18" t="n">
        <v>217.09</v>
      </c>
      <c r="D30" s="18" t="n">
        <v>210.46</v>
      </c>
      <c r="E30" s="18" t="n">
        <v>204.25</v>
      </c>
      <c r="F30" s="18" t="n">
        <v>184.57</v>
      </c>
      <c r="G30" s="19">
        <f>HYPERLINK("https://www.tradingview.com/chart/?symbol=NSE:TATASTEEL","Chart 📈")</f>
        <v/>
      </c>
    </row>
    <row r="31" ht="16" customHeight="1">
      <c r="A31" s="20" t="inlineStr">
        <is>
          <t>NIFTY METAL</t>
        </is>
      </c>
      <c r="B31" s="17" t="inlineStr">
        <is>
          <t>WELCORP</t>
        </is>
      </c>
      <c r="C31" s="18" t="n">
        <v>1299.2</v>
      </c>
      <c r="D31" s="18" t="n">
        <v>1161.22</v>
      </c>
      <c r="E31" s="18" t="n">
        <v>1018.12</v>
      </c>
      <c r="F31" s="18" t="n">
        <v>885.15</v>
      </c>
      <c r="G31" s="19">
        <f>HYPERLINK("https://www.tradingview.com/chart/?symbol=NSE:WELCORP","Chart 📈")</f>
        <v/>
      </c>
    </row>
    <row r="32" ht="16" customHeight="1">
      <c r="A32" s="12" t="inlineStr">
        <is>
          <t>NIFTY REALTY</t>
        </is>
      </c>
      <c r="B32" s="13" t="inlineStr">
        <is>
          <t>OBEROIRLTY</t>
        </is>
      </c>
      <c r="C32" s="14" t="n">
        <v>1675</v>
      </c>
      <c r="D32" s="14" t="n">
        <v>1662.54</v>
      </c>
      <c r="E32" s="14" t="n">
        <v>1611.42</v>
      </c>
      <c r="F32" s="14" t="n">
        <v>1615.68</v>
      </c>
      <c r="G32" s="15">
        <f>HYPERLINK("https://www.tradingview.com/chart/?symbol=NSE:OBEROIRLTY","Chart 📈")</f>
        <v/>
      </c>
    </row>
    <row r="33" ht="16" customHeight="1">
      <c r="A33" s="16" t="inlineStr">
        <is>
          <t>NIFTY REALTY</t>
        </is>
      </c>
      <c r="B33" s="13" t="inlineStr">
        <is>
          <t>PHOENIXLTD</t>
        </is>
      </c>
      <c r="C33" s="14" t="n">
        <v>1829.5</v>
      </c>
      <c r="D33" s="14" t="n">
        <v>1761.67</v>
      </c>
      <c r="E33" s="14" t="n">
        <v>1718.09</v>
      </c>
      <c r="F33" s="14" t="n">
        <v>1675.63</v>
      </c>
      <c r="G33" s="15">
        <f>HYPERLINK("https://www.tradingview.com/chart/?symbol=NSE:PHOENIXLTD","Chart 📈")</f>
        <v/>
      </c>
    </row>
    <row r="34" ht="16" customHeight="1">
      <c r="A34" s="16" t="inlineStr">
        <is>
          <t>NIFTY REALTY</t>
        </is>
      </c>
      <c r="B34" s="13" t="inlineStr">
        <is>
          <t>PRESTIGE</t>
        </is>
      </c>
      <c r="C34" s="14" t="n">
        <v>1483.5</v>
      </c>
      <c r="D34" s="14" t="n">
        <v>1389.4</v>
      </c>
      <c r="E34" s="14" t="n">
        <v>1376.81</v>
      </c>
      <c r="F34" s="14" t="n">
        <v>1473.31</v>
      </c>
      <c r="G34" s="15">
        <f>HYPERLINK("https://www.tradingview.com/chart/?symbol=NSE:PRESTIGE","Chart 📈")</f>
        <v/>
      </c>
    </row>
    <row r="35" ht="16" customHeight="1">
      <c r="A35" s="16" t="inlineStr">
        <is>
          <t>NIFTY REALTY</t>
        </is>
      </c>
      <c r="B35" s="13" t="inlineStr">
        <is>
          <t>SOBHA</t>
        </is>
      </c>
      <c r="C35" s="14" t="n">
        <v>1451</v>
      </c>
      <c r="D35" s="14" t="n">
        <v>1395.46</v>
      </c>
      <c r="E35" s="14" t="n">
        <v>1375.33</v>
      </c>
      <c r="F35" s="14" t="n">
        <v>1424.44</v>
      </c>
      <c r="G35" s="15">
        <f>HYPERLINK("https://www.tradingview.com/chart/?symbol=NSE:SOBHA","Chart 📈")</f>
        <v/>
      </c>
    </row>
    <row r="36" ht="16" customHeight="1">
      <c r="A36" s="8" t="inlineStr">
        <is>
          <t>NIFTY OIL &amp; GAS</t>
        </is>
      </c>
      <c r="B36" s="17" t="inlineStr">
        <is>
          <t>AEGISLOG</t>
        </is>
      </c>
      <c r="C36" s="18" t="n">
        <v>739.65</v>
      </c>
      <c r="D36" s="18" t="n">
        <v>695.96</v>
      </c>
      <c r="E36" s="18" t="n">
        <v>678.62</v>
      </c>
      <c r="F36" s="18" t="n">
        <v>714.17</v>
      </c>
      <c r="G36" s="19">
        <f>HYPERLINK("https://www.tradingview.com/chart/?symbol=NSE:AEGISLOG","Chart 📈")</f>
        <v/>
      </c>
    </row>
    <row r="37" ht="16" customHeight="1">
      <c r="A37" s="20" t="inlineStr">
        <is>
          <t>NIFTY OIL &amp; GAS</t>
        </is>
      </c>
      <c r="B37" s="17" t="inlineStr">
        <is>
          <t>ATGL</t>
        </is>
      </c>
      <c r="C37" s="18" t="n">
        <v>644.25</v>
      </c>
      <c r="D37" s="18" t="n">
        <v>619.36</v>
      </c>
      <c r="E37" s="18" t="n">
        <v>584.6799999999999</v>
      </c>
      <c r="F37" s="18" t="n">
        <v>585.5599999999999</v>
      </c>
      <c r="G37" s="19">
        <f>HYPERLINK("https://www.tradingview.com/chart/?symbol=NSE:ATGL","Chart 📈")</f>
        <v/>
      </c>
    </row>
    <row r="38" ht="16" customHeight="1">
      <c r="A38" s="20" t="inlineStr">
        <is>
          <t>NIFTY OIL &amp; GAS</t>
        </is>
      </c>
      <c r="B38" s="17" t="inlineStr">
        <is>
          <t>GAIL</t>
        </is>
      </c>
      <c r="C38" s="18" t="n">
        <v>167.26</v>
      </c>
      <c r="D38" s="18" t="n">
        <v>161.23</v>
      </c>
      <c r="E38" s="18" t="n">
        <v>158.23</v>
      </c>
      <c r="F38" s="18" t="n">
        <v>164.93</v>
      </c>
      <c r="G38" s="19">
        <f>HYPERLINK("https://www.tradingview.com/chart/?symbol=NSE:GAIL","Chart 📈")</f>
        <v/>
      </c>
    </row>
    <row r="39" ht="16" customHeight="1">
      <c r="A39" s="20" t="inlineStr">
        <is>
          <t>NIFTY OIL &amp; GAS</t>
        </is>
      </c>
      <c r="B39" s="17" t="inlineStr">
        <is>
          <t>GSPL</t>
        </is>
      </c>
      <c r="C39" s="18" t="n">
        <v>296.75</v>
      </c>
      <c r="D39" s="18" t="n">
        <v>278.16</v>
      </c>
      <c r="E39" s="18" t="n">
        <v>275.3</v>
      </c>
      <c r="F39" s="18" t="n">
        <v>292.74</v>
      </c>
      <c r="G39" s="19">
        <f>HYPERLINK("https://www.tradingview.com/chart/?symbol=NSE:GSPL","Chart 📈")</f>
        <v/>
      </c>
    </row>
    <row r="40" ht="16" customHeight="1">
      <c r="A40" s="20" t="inlineStr">
        <is>
          <t>NIFTY OIL &amp; GAS</t>
        </is>
      </c>
      <c r="B40" s="17" t="inlineStr">
        <is>
          <t>GUJGASLTD</t>
        </is>
      </c>
      <c r="C40" s="18" t="n">
        <v>408.95</v>
      </c>
      <c r="D40" s="18" t="n">
        <v>375.27</v>
      </c>
      <c r="E40" s="18" t="n">
        <v>372.74</v>
      </c>
      <c r="F40" s="18" t="n">
        <v>401.89</v>
      </c>
      <c r="G40" s="19">
        <f>HYPERLINK("https://www.tradingview.com/chart/?symbol=NSE:GUJGASLTD","Chart 📈")</f>
        <v/>
      </c>
    </row>
    <row r="41" ht="16" customHeight="1">
      <c r="A41" s="20" t="inlineStr">
        <is>
          <t>NIFTY OIL &amp; GAS</t>
        </is>
      </c>
      <c r="B41" s="17" t="inlineStr">
        <is>
          <t>MGL</t>
        </is>
      </c>
      <c r="C41" s="18" t="n">
        <v>1179.8</v>
      </c>
      <c r="D41" s="18" t="n">
        <v>1115.55</v>
      </c>
      <c r="E41" s="18" t="n">
        <v>1089.43</v>
      </c>
      <c r="F41" s="18" t="n">
        <v>1164.54</v>
      </c>
      <c r="G41" s="19">
        <f>HYPERLINK("https://www.tradingview.com/chart/?symbol=NSE:MGL","Chart 📈")</f>
        <v/>
      </c>
    </row>
    <row r="42" ht="16" customHeight="1">
      <c r="A42" s="20" t="inlineStr">
        <is>
          <t>NIFTY OIL &amp; GAS</t>
        </is>
      </c>
      <c r="B42" s="17" t="inlineStr">
        <is>
          <t>PETRONET</t>
        </is>
      </c>
      <c r="C42" s="18" t="n">
        <v>282.1</v>
      </c>
      <c r="D42" s="18" t="n">
        <v>276.39</v>
      </c>
      <c r="E42" s="18" t="n">
        <v>277.07</v>
      </c>
      <c r="F42" s="18" t="n">
        <v>281.13</v>
      </c>
      <c r="G42" s="19">
        <f>HYPERLINK("https://www.tradingview.com/chart/?symbol=NSE:PETRONET","Chart 📈")</f>
        <v/>
      </c>
    </row>
    <row r="43" ht="16" customHeight="1">
      <c r="A43" s="20" t="inlineStr">
        <is>
          <t>NIFTY OIL &amp; GAS</t>
        </is>
      </c>
      <c r="B43" s="17" t="inlineStr">
        <is>
          <t>RELIANCE</t>
        </is>
      </c>
      <c r="C43" s="18" t="n">
        <v>1436.2</v>
      </c>
      <c r="D43" s="18" t="n">
        <v>1400.6</v>
      </c>
      <c r="E43" s="18" t="n">
        <v>1396.65</v>
      </c>
      <c r="F43" s="18" t="n">
        <v>1425.45</v>
      </c>
      <c r="G43" s="19">
        <f>HYPERLINK("https://www.tradingview.com/chart/?symbol=NSE:RELIANCE","Chart 📈")</f>
        <v/>
      </c>
    </row>
    <row r="44" ht="16" customHeight="1">
      <c r="A44" s="12" t="inlineStr">
        <is>
          <t>NIFTY AUTO</t>
        </is>
      </c>
      <c r="B44" s="13" t="inlineStr">
        <is>
          <t>BAJAJ-AUTO</t>
        </is>
      </c>
      <c r="C44" s="14" t="n">
        <v>10605</v>
      </c>
      <c r="D44" s="14" t="n">
        <v>9835.889999999999</v>
      </c>
      <c r="E44" s="14" t="n">
        <v>9613.440000000001</v>
      </c>
      <c r="F44" s="14" t="n">
        <v>9145.65</v>
      </c>
      <c r="G44" s="15">
        <f>HYPERLINK("https://www.tradingview.com/chart/?symbol=NSE:BAJAJ-AUTO","Chart 📈")</f>
        <v/>
      </c>
    </row>
    <row r="45" ht="16" customHeight="1">
      <c r="A45" s="16" t="inlineStr">
        <is>
          <t>NIFTY AUTO</t>
        </is>
      </c>
      <c r="B45" s="13" t="inlineStr">
        <is>
          <t>BHARATFORG</t>
        </is>
      </c>
      <c r="C45" s="14" t="n">
        <v>1992.9</v>
      </c>
      <c r="D45" s="14" t="n">
        <v>1861.62</v>
      </c>
      <c r="E45" s="14" t="n">
        <v>1788.03</v>
      </c>
      <c r="F45" s="14" t="n">
        <v>1530.97</v>
      </c>
      <c r="G45" s="15">
        <f>HYPERLINK("https://www.tradingview.com/chart/?symbol=NSE:BHARATFORG","Chart 📈")</f>
        <v/>
      </c>
    </row>
    <row r="46" ht="16" customHeight="1">
      <c r="A46" s="16" t="inlineStr">
        <is>
          <t>NIFTY AUTO</t>
        </is>
      </c>
      <c r="B46" s="13" t="inlineStr">
        <is>
          <t>BOSCHLTD</t>
        </is>
      </c>
      <c r="C46" s="14" t="n">
        <v>37895</v>
      </c>
      <c r="D46" s="14" t="n">
        <v>36191.53</v>
      </c>
      <c r="E46" s="14" t="n">
        <v>35310.87</v>
      </c>
      <c r="F46" s="14" t="n">
        <v>35345.15</v>
      </c>
      <c r="G46" s="15">
        <f>HYPERLINK("https://www.tradingview.com/chart/?symbol=NSE:BOSCHLTD","Chart 📈")</f>
        <v/>
      </c>
    </row>
    <row r="47" ht="16" customHeight="1">
      <c r="A47" s="16" t="inlineStr">
        <is>
          <t>NIFTY AUTO</t>
        </is>
      </c>
      <c r="B47" s="13" t="inlineStr">
        <is>
          <t>EICHERMOT</t>
        </is>
      </c>
      <c r="C47" s="14" t="n">
        <v>7327.5</v>
      </c>
      <c r="D47" s="14" t="n">
        <v>7180.16</v>
      </c>
      <c r="E47" s="14" t="n">
        <v>7187.27</v>
      </c>
      <c r="F47" s="14" t="n">
        <v>6877.54</v>
      </c>
      <c r="G47" s="15">
        <f>HYPERLINK("https://www.tradingview.com/chart/?symbol=NSE:EICHERMOT","Chart 📈")</f>
        <v/>
      </c>
    </row>
    <row r="48" ht="16" customHeight="1">
      <c r="A48" s="16" t="inlineStr">
        <is>
          <t>NIFTY AUTO</t>
        </is>
      </c>
      <c r="B48" s="13" t="inlineStr">
        <is>
          <t>EXIDEIND</t>
        </is>
      </c>
      <c r="C48" s="14" t="n">
        <v>364.45</v>
      </c>
      <c r="D48" s="14" t="n">
        <v>345.51</v>
      </c>
      <c r="E48" s="14" t="n">
        <v>334.98</v>
      </c>
      <c r="F48" s="14" t="n">
        <v>352.68</v>
      </c>
      <c r="G48" s="15">
        <f>HYPERLINK("https://www.tradingview.com/chart/?symbol=NSE:EXIDEIND","Chart 📈")</f>
        <v/>
      </c>
    </row>
    <row r="49" ht="16" customHeight="1">
      <c r="A49" s="16" t="inlineStr">
        <is>
          <t>NIFTY AUTO</t>
        </is>
      </c>
      <c r="B49" s="13" t="inlineStr">
        <is>
          <t>HEROMOTOCO</t>
        </is>
      </c>
      <c r="C49" s="14" t="n">
        <v>5343</v>
      </c>
      <c r="D49" s="14" t="n">
        <v>5167.49</v>
      </c>
      <c r="E49" s="14" t="n">
        <v>5267.94</v>
      </c>
      <c r="F49" s="14" t="n">
        <v>5182.6</v>
      </c>
      <c r="G49" s="15">
        <f>HYPERLINK("https://www.tradingview.com/chart/?symbol=NSE:HEROMOTOCO","Chart 📈")</f>
        <v/>
      </c>
    </row>
    <row r="50" ht="16" customHeight="1">
      <c r="A50" s="16" t="inlineStr">
        <is>
          <t>NIFTY AUTO</t>
        </is>
      </c>
      <c r="B50" s="13" t="inlineStr">
        <is>
          <t>M&amp;M</t>
        </is>
      </c>
      <c r="C50" s="14" t="n">
        <v>3370.7</v>
      </c>
      <c r="D50" s="14" t="n">
        <v>3174.21</v>
      </c>
      <c r="E50" s="14" t="n">
        <v>3219.7</v>
      </c>
      <c r="F50" s="14" t="n">
        <v>3346.37</v>
      </c>
      <c r="G50" s="15">
        <f>HYPERLINK("https://www.tradingview.com/chart/?symbol=NSE:M&amp;M","Chart 📈")</f>
        <v/>
      </c>
    </row>
    <row r="51" ht="16" customHeight="1">
      <c r="A51" s="16" t="inlineStr">
        <is>
          <t>NIFTY AUTO</t>
        </is>
      </c>
      <c r="B51" s="13" t="inlineStr">
        <is>
          <t>MOTHERSON</t>
        </is>
      </c>
      <c r="C51" s="14" t="n">
        <v>130.43</v>
      </c>
      <c r="D51" s="14" t="n">
        <v>122.96</v>
      </c>
      <c r="E51" s="14" t="n">
        <v>120.86</v>
      </c>
      <c r="F51" s="14" t="n">
        <v>113.51</v>
      </c>
      <c r="G51" s="15">
        <f>HYPERLINK("https://www.tradingview.com/chart/?symbol=NSE:MOTHERSON","Chart 📈")</f>
        <v/>
      </c>
    </row>
    <row r="52" ht="16" customHeight="1">
      <c r="A52" s="16" t="inlineStr">
        <is>
          <t>NIFTY AUTO</t>
        </is>
      </c>
      <c r="B52" s="13" t="inlineStr">
        <is>
          <t>TVSMOTOR</t>
        </is>
      </c>
      <c r="C52" s="14" t="n">
        <v>3706.7</v>
      </c>
      <c r="D52" s="14" t="n">
        <v>3587.82</v>
      </c>
      <c r="E52" s="14" t="n">
        <v>3607.88</v>
      </c>
      <c r="F52" s="14" t="n">
        <v>3471.76</v>
      </c>
      <c r="G52" s="15">
        <f>HYPERLINK("https://www.tradingview.com/chart/?symbol=NSE:TVSMOTOR","Chart 📈")</f>
        <v/>
      </c>
    </row>
    <row r="53" ht="16" customHeight="1">
      <c r="A53" s="8" t="inlineStr">
        <is>
          <t>NIFTY MEDIA</t>
        </is>
      </c>
      <c r="B53" s="17" t="inlineStr">
        <is>
          <t>NAZARA</t>
        </is>
      </c>
      <c r="C53" s="18" t="n">
        <v>274.35</v>
      </c>
      <c r="D53" s="18" t="n">
        <v>264.08</v>
      </c>
      <c r="E53" s="18" t="n">
        <v>259.41</v>
      </c>
      <c r="F53" s="18" t="n">
        <v>267.79</v>
      </c>
      <c r="G53" s="19">
        <f>HYPERLINK("https://www.tradingview.com/chart/?symbol=NSE:NAZARA","Chart 📈")</f>
        <v/>
      </c>
    </row>
    <row r="54" ht="16" customHeight="1">
      <c r="A54" s="20" t="inlineStr">
        <is>
          <t>NIFTY MEDIA</t>
        </is>
      </c>
      <c r="B54" s="17" t="inlineStr">
        <is>
          <t>PVRINOX</t>
        </is>
      </c>
      <c r="C54" s="18" t="n">
        <v>1066.1</v>
      </c>
      <c r="D54" s="18" t="n">
        <v>1020.28</v>
      </c>
      <c r="E54" s="18" t="n">
        <v>1005.24</v>
      </c>
      <c r="F54" s="18" t="n">
        <v>1021.31</v>
      </c>
      <c r="G54" s="19">
        <f>HYPERLINK("https://www.tradingview.com/chart/?symbol=NSE:PVRINOX","Chart 📈")</f>
        <v/>
      </c>
    </row>
    <row r="55" ht="16" customHeight="1">
      <c r="A55" s="20" t="inlineStr">
        <is>
          <t>NIFTY MEDIA</t>
        </is>
      </c>
      <c r="B55" s="17" t="inlineStr">
        <is>
          <t>TIPSMUSIC</t>
        </is>
      </c>
      <c r="C55" s="18" t="n">
        <v>643.2</v>
      </c>
      <c r="D55" s="18" t="n">
        <v>618.74</v>
      </c>
      <c r="E55" s="18" t="n">
        <v>580.0700000000001</v>
      </c>
      <c r="F55" s="18" t="n">
        <v>562.97</v>
      </c>
      <c r="G55" s="19">
        <f>HYPERLINK("https://www.tradingview.com/chart/?symbol=NSE:TIPSMUSIC","Chart 📈")</f>
        <v/>
      </c>
    </row>
    <row r="56" ht="16" customHeight="1">
      <c r="A56" s="12" t="inlineStr">
        <is>
          <t>NIFTY FINANCIAL SERVICES</t>
        </is>
      </c>
      <c r="B56" s="13" t="inlineStr">
        <is>
          <t>BAJFINANCE</t>
        </is>
      </c>
      <c r="C56" s="14" t="n">
        <v>972.75</v>
      </c>
      <c r="D56" s="14" t="n">
        <v>931.5700000000001</v>
      </c>
      <c r="E56" s="14" t="n">
        <v>925.55</v>
      </c>
      <c r="F56" s="14" t="n">
        <v>946.2</v>
      </c>
      <c r="G56" s="15">
        <f>HYPERLINK("https://www.tradingview.com/chart/?symbol=NSE:BAJFINANCE","Chart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CHOLAFIN</t>
        </is>
      </c>
      <c r="C57" s="14" t="n">
        <v>1689.2</v>
      </c>
      <c r="D57" s="14" t="n">
        <v>1587.1</v>
      </c>
      <c r="E57" s="14" t="n">
        <v>1579.05</v>
      </c>
      <c r="F57" s="14" t="n">
        <v>1608.87</v>
      </c>
      <c r="G57" s="15">
        <f>HYPERLINK("https://www.tradingview.com/chart/?symbol=NSE:CHOLAFIN","Chart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HDFCAMC</t>
        </is>
      </c>
      <c r="C58" s="14" t="n">
        <v>2834.6</v>
      </c>
      <c r="D58" s="14" t="n">
        <v>2710.34</v>
      </c>
      <c r="E58" s="14" t="n">
        <v>2635.83</v>
      </c>
      <c r="F58" s="14" t="n">
        <v>2601.14</v>
      </c>
      <c r="G58" s="15">
        <f>HYPERLINK("https://www.tradingview.com/chart/?symbol=NSE:HDFCAMC","Chart 📈")</f>
        <v/>
      </c>
    </row>
    <row r="59" ht="16" customHeight="1">
      <c r="A59" s="16" t="inlineStr">
        <is>
          <t>NIFTY FINANCIAL SERVICES</t>
        </is>
      </c>
      <c r="B59" s="13" t="inlineStr">
        <is>
          <t>LICHSGFIN</t>
        </is>
      </c>
      <c r="C59" s="14" t="n">
        <v>586.35</v>
      </c>
      <c r="D59" s="14" t="n">
        <v>550.39</v>
      </c>
      <c r="E59" s="14" t="n">
        <v>535</v>
      </c>
      <c r="F59" s="14" t="n">
        <v>545.04</v>
      </c>
      <c r="G59" s="15">
        <f>HYPERLINK("https://www.tradingview.com/chart/?symbol=NSE:LICHSGFIN","Chart 📈")</f>
        <v/>
      </c>
    </row>
    <row r="60" ht="16" customHeight="1">
      <c r="A60" s="16" t="inlineStr">
        <is>
          <t>NIFTY FINANCIAL SERVICES</t>
        </is>
      </c>
      <c r="B60" s="13" t="inlineStr">
        <is>
          <t>MCX</t>
        </is>
      </c>
      <c r="C60" s="14" t="n">
        <v>3042.6</v>
      </c>
      <c r="D60" s="14" t="n">
        <v>2846.3</v>
      </c>
      <c r="E60" s="14" t="n">
        <v>2675.5</v>
      </c>
      <c r="F60" s="14" t="n">
        <v>2188.07</v>
      </c>
      <c r="G60" s="15">
        <f>HYPERLINK("https://www.tradingview.com/chart/?symbol=NSE:MCX","Chart 📈")</f>
        <v/>
      </c>
    </row>
    <row r="61" ht="16" customHeight="1">
      <c r="A61" s="16" t="inlineStr">
        <is>
          <t>NIFTY FINANCIAL SERVICES</t>
        </is>
      </c>
      <c r="B61" s="13" t="inlineStr">
        <is>
          <t>MUTHOOTFIN</t>
        </is>
      </c>
      <c r="C61" s="14" t="n">
        <v>3584.3</v>
      </c>
      <c r="D61" s="14" t="n">
        <v>3478.2</v>
      </c>
      <c r="E61" s="14" t="n">
        <v>3463.19</v>
      </c>
      <c r="F61" s="14" t="n">
        <v>3284.78</v>
      </c>
      <c r="G61" s="15">
        <f>HYPERLINK("https://www.tradingview.com/chart/?symbol=NSE:MUTHOOTFIN","Chart 📈")</f>
        <v/>
      </c>
    </row>
    <row r="62" ht="16" customHeight="1">
      <c r="A62" s="16" t="inlineStr">
        <is>
          <t>NIFTY FINANCIAL SERVICES</t>
        </is>
      </c>
      <c r="B62" s="13" t="inlineStr">
        <is>
          <t>PFC</t>
        </is>
      </c>
      <c r="C62" s="14" t="n">
        <v>457.55</v>
      </c>
      <c r="D62" s="14" t="n">
        <v>452.13</v>
      </c>
      <c r="E62" s="14" t="n">
        <v>431.34</v>
      </c>
      <c r="F62" s="14" t="n">
        <v>399.1</v>
      </c>
      <c r="G62" s="15">
        <f>HYPERLINK("https://www.tradingview.com/chart/?symbol=NSE:PFC","Chart 📈")</f>
        <v/>
      </c>
    </row>
    <row r="63" ht="16" customHeight="1">
      <c r="A63" s="16" t="inlineStr">
        <is>
          <t>NIFTY FINANCIAL SERVICES</t>
        </is>
      </c>
      <c r="B63" s="13" t="inlineStr">
        <is>
          <t>RECLTD</t>
        </is>
      </c>
      <c r="C63" s="14" t="n">
        <v>359.75</v>
      </c>
      <c r="D63" s="14" t="n">
        <v>358.9</v>
      </c>
      <c r="E63" s="14" t="n">
        <v>352.6</v>
      </c>
      <c r="F63" s="14" t="n">
        <v>357.17</v>
      </c>
      <c r="G63" s="15">
        <f>HYPERLINK("https://www.tradingview.com/chart/?symbol=NSE:RECLTD","Chart 📈")</f>
        <v/>
      </c>
    </row>
    <row r="64" ht="16" customHeight="1">
      <c r="A64" s="16" t="inlineStr">
        <is>
          <t>NIFTY FINANCIAL SERVICES</t>
        </is>
      </c>
      <c r="B64" s="13" t="inlineStr">
        <is>
          <t>SHRIRAMFIN</t>
        </is>
      </c>
      <c r="C64" s="14" t="n">
        <v>1015.65</v>
      </c>
      <c r="D64" s="14" t="n">
        <v>984.33</v>
      </c>
      <c r="E64" s="14" t="n">
        <v>985.83</v>
      </c>
      <c r="F64" s="14" t="n">
        <v>878.64</v>
      </c>
      <c r="G64" s="15">
        <f>HYPERLINK("https://www.tradingview.com/chart/?symbol=NSE:SHRIRAMFIN","Chart 📈")</f>
        <v/>
      </c>
    </row>
    <row r="65" ht="16" customHeight="1">
      <c r="A65" s="8" t="inlineStr">
        <is>
          <t>NIFTY FMCG</t>
        </is>
      </c>
      <c r="B65" s="17" t="inlineStr">
        <is>
          <t>BALRAMCHIN</t>
        </is>
      </c>
      <c r="C65" s="18" t="n">
        <v>525.5</v>
      </c>
      <c r="D65" s="18" t="n">
        <v>512.98</v>
      </c>
      <c r="E65" s="18" t="n">
        <v>494.91</v>
      </c>
      <c r="F65" s="18" t="n">
        <v>490.05</v>
      </c>
      <c r="G65" s="19">
        <f>HYPERLINK("https://www.tradingview.com/chart/?symbol=NSE:BALRAMCHIN","Chart 📈")</f>
        <v/>
      </c>
    </row>
    <row r="66" ht="16" customHeight="1">
      <c r="A66" s="20" t="inlineStr">
        <is>
          <t>NIFTY FMCG</t>
        </is>
      </c>
      <c r="B66" s="17" t="inlineStr">
        <is>
          <t>BRITANNIA</t>
        </is>
      </c>
      <c r="C66" s="18" t="n">
        <v>5814</v>
      </c>
      <c r="D66" s="18" t="n">
        <v>5723.6</v>
      </c>
      <c r="E66" s="18" t="n">
        <v>5751.99</v>
      </c>
      <c r="F66" s="18" t="n">
        <v>5778.66</v>
      </c>
      <c r="G66" s="19">
        <f>HYPERLINK("https://www.tradingview.com/chart/?symbol=NSE:BRITANNIA","Chart 📈")</f>
        <v/>
      </c>
    </row>
    <row r="67" ht="16" customHeight="1">
      <c r="A67" s="20" t="inlineStr">
        <is>
          <t>NIFTY FMCG</t>
        </is>
      </c>
      <c r="B67" s="17" t="inlineStr">
        <is>
          <t>MARICO</t>
        </is>
      </c>
      <c r="C67" s="18" t="n">
        <v>832.15</v>
      </c>
      <c r="D67" s="18" t="n">
        <v>782.38</v>
      </c>
      <c r="E67" s="18" t="n">
        <v>769.62</v>
      </c>
      <c r="F67" s="18" t="n">
        <v>747.46</v>
      </c>
      <c r="G67" s="19">
        <f>HYPERLINK("https://www.tradingview.com/chart/?symbol=NSE:MARICO","Chart 📈")</f>
        <v/>
      </c>
    </row>
    <row r="68" ht="16" customHeight="1">
      <c r="A68" s="20" t="inlineStr">
        <is>
          <t>NIFTY FMCG</t>
        </is>
      </c>
      <c r="B68" s="17" t="inlineStr">
        <is>
          <t>NESTLEIND</t>
        </is>
      </c>
      <c r="C68" s="18" t="n">
        <v>1476</v>
      </c>
      <c r="D68" s="18" t="n">
        <v>1393.9</v>
      </c>
      <c r="E68" s="18" t="n">
        <v>1325.84</v>
      </c>
      <c r="F68" s="18" t="n">
        <v>1257.92</v>
      </c>
      <c r="G68" s="19">
        <f>HYPERLINK("https://www.tradingview.com/chart/?symbol=NSE:NESTLEIND","Chart 📈")</f>
        <v/>
      </c>
    </row>
    <row r="69" ht="16" customHeight="1">
      <c r="A69" s="20" t="inlineStr">
        <is>
          <t>NIFTY FMCG</t>
        </is>
      </c>
      <c r="B69" s="17" t="inlineStr">
        <is>
          <t>RADICO</t>
        </is>
      </c>
      <c r="C69" s="18" t="n">
        <v>3407</v>
      </c>
      <c r="D69" s="18" t="n">
        <v>3220.34</v>
      </c>
      <c r="E69" s="18" t="n">
        <v>3032.95</v>
      </c>
      <c r="F69" s="18" t="n">
        <v>2910.48</v>
      </c>
      <c r="G69" s="19">
        <f>HYPERLINK("https://www.tradingview.com/chart/?symbol=NSE:RADICO","Chart 📈")</f>
        <v/>
      </c>
    </row>
    <row r="70" ht="16" customHeight="1">
      <c r="A70" s="20" t="inlineStr">
        <is>
          <t>NIFTY FMCG</t>
        </is>
      </c>
      <c r="B70" s="17" t="inlineStr">
        <is>
          <t>TATACONSUM</t>
        </is>
      </c>
      <c r="C70" s="18" t="n">
        <v>1151.7</v>
      </c>
      <c r="D70" s="18" t="n">
        <v>1136.81</v>
      </c>
      <c r="E70" s="18" t="n">
        <v>1123.8</v>
      </c>
      <c r="F70" s="18" t="n">
        <v>1130.25</v>
      </c>
      <c r="G70" s="19">
        <f>HYPERLINK("https://www.tradingview.com/chart/?symbol=NSE:TATACONSUM","Chart 📈")</f>
        <v/>
      </c>
    </row>
    <row r="71" ht="16" customHeight="1">
      <c r="A71" s="20" t="inlineStr">
        <is>
          <t>NIFTY FMCG</t>
        </is>
      </c>
      <c r="B71" s="17" t="inlineStr">
        <is>
          <t>VBL</t>
        </is>
      </c>
      <c r="C71" s="18" t="n">
        <v>510.6</v>
      </c>
      <c r="D71" s="18" t="n">
        <v>487.02</v>
      </c>
      <c r="E71" s="18" t="n">
        <v>463.86</v>
      </c>
      <c r="F71" s="18" t="n">
        <v>466.58</v>
      </c>
      <c r="G71" s="19">
        <f>HYPERLINK("https://www.tradingview.com/chart/?symbol=NSE:VBL","Chart 📈")</f>
        <v/>
      </c>
    </row>
    <row r="72" ht="16" customHeight="1">
      <c r="A72" s="12" t="inlineStr">
        <is>
          <t>NIFTY ENERGY</t>
        </is>
      </c>
      <c r="B72" s="13" t="inlineStr">
        <is>
          <t>ABB</t>
        </is>
      </c>
      <c r="C72" s="14" t="n">
        <v>7188</v>
      </c>
      <c r="D72" s="14" t="n">
        <v>7070.27</v>
      </c>
      <c r="E72" s="14" t="n">
        <v>6610.86</v>
      </c>
      <c r="F72" s="14" t="n">
        <v>5815.96</v>
      </c>
      <c r="G72" s="15">
        <f>HYPERLINK("https://www.tradingview.com/chart/?symbol=NSE:ABB","Chart 📈")</f>
        <v/>
      </c>
    </row>
    <row r="73" ht="16" customHeight="1">
      <c r="A73" s="16" t="inlineStr">
        <is>
          <t>NIFTY ENERGY</t>
        </is>
      </c>
      <c r="B73" s="13" t="inlineStr">
        <is>
          <t>ADANIENSOL</t>
        </is>
      </c>
      <c r="C73" s="14" t="n">
        <v>1387.1</v>
      </c>
      <c r="D73" s="14" t="n">
        <v>1302.89</v>
      </c>
      <c r="E73" s="14" t="n">
        <v>1170.9</v>
      </c>
      <c r="F73" s="14" t="n">
        <v>1008.99</v>
      </c>
      <c r="G73" s="15">
        <f>HYPERLINK("https://www.tradingview.com/chart/?symbol=NSE:ADANIENSOL","Chart 📈")</f>
        <v/>
      </c>
    </row>
    <row r="74" ht="16" customHeight="1">
      <c r="A74" s="16" t="inlineStr">
        <is>
          <t>NIFTY ENERGY</t>
        </is>
      </c>
      <c r="B74" s="13" t="inlineStr">
        <is>
          <t>ADANIGREEN</t>
        </is>
      </c>
      <c r="C74" s="14" t="n">
        <v>1365</v>
      </c>
      <c r="D74" s="14" t="n">
        <v>1200.62</v>
      </c>
      <c r="E74" s="14" t="n">
        <v>1081.03</v>
      </c>
      <c r="F74" s="14" t="n">
        <v>1002.76</v>
      </c>
      <c r="G74" s="15">
        <f>HYPERLINK("https://www.tradingview.com/chart/?symbol=NSE:ADANIGREEN","Chart 📈")</f>
        <v/>
      </c>
    </row>
    <row r="75" ht="16" customHeight="1">
      <c r="A75" s="16" t="inlineStr">
        <is>
          <t>NIFTY ENERGY</t>
        </is>
      </c>
      <c r="B75" s="13" t="inlineStr">
        <is>
          <t>ADANIPOWER</t>
        </is>
      </c>
      <c r="C75" s="14" t="n">
        <v>230.19</v>
      </c>
      <c r="D75" s="14" t="n">
        <v>209</v>
      </c>
      <c r="E75" s="14" t="n">
        <v>183.98</v>
      </c>
      <c r="F75" s="14" t="n">
        <v>151.59</v>
      </c>
      <c r="G75" s="15">
        <f>HYPERLINK("https://www.tradingview.com/chart/?symbol=NSE:ADANIPOWER","Chart 📈")</f>
        <v/>
      </c>
    </row>
    <row r="76" ht="16" customHeight="1">
      <c r="A76" s="16" t="inlineStr">
        <is>
          <t>NIFTY ENERGY</t>
        </is>
      </c>
      <c r="B76" s="13" t="inlineStr">
        <is>
          <t>BHEL</t>
        </is>
      </c>
      <c r="C76" s="14" t="n">
        <v>406.45</v>
      </c>
      <c r="D76" s="14" t="n">
        <v>341.3</v>
      </c>
      <c r="E76" s="14" t="n">
        <v>306.11</v>
      </c>
      <c r="F76" s="14" t="n">
        <v>270.51</v>
      </c>
      <c r="G76" s="15">
        <f>HYPERLINK("https://www.tradingview.com/chart/?symbol=NSE:BHEL","Chart 📈")</f>
        <v/>
      </c>
    </row>
    <row r="77" ht="16" customHeight="1">
      <c r="A77" s="16" t="inlineStr">
        <is>
          <t>NIFTY ENERGY</t>
        </is>
      </c>
      <c r="B77" s="13" t="inlineStr">
        <is>
          <t>CESC</t>
        </is>
      </c>
      <c r="C77" s="14" t="n">
        <v>186.61</v>
      </c>
      <c r="D77" s="14" t="n">
        <v>179.75</v>
      </c>
      <c r="E77" s="14" t="n">
        <v>169.42</v>
      </c>
      <c r="F77" s="14" t="n">
        <v>163.61</v>
      </c>
      <c r="G77" s="15">
        <f>HYPERLINK("https://www.tradingview.com/chart/?symbol=NSE:CESC","Chart 📈")</f>
        <v/>
      </c>
    </row>
    <row r="78" ht="16" customHeight="1">
      <c r="A78" s="16" t="inlineStr">
        <is>
          <t>NIFTY ENERGY</t>
        </is>
      </c>
      <c r="B78" s="13" t="inlineStr">
        <is>
          <t>CGPOWER</t>
        </is>
      </c>
      <c r="C78" s="14" t="n">
        <v>859.1</v>
      </c>
      <c r="D78" s="14" t="n">
        <v>797.8</v>
      </c>
      <c r="E78" s="14" t="n">
        <v>750.39</v>
      </c>
      <c r="F78" s="14" t="n">
        <v>697.83</v>
      </c>
      <c r="G78" s="15">
        <f>HYPERLINK("https://www.tradingview.com/chart/?symbol=NSE:CGPOWER","Chart 📈")</f>
        <v/>
      </c>
    </row>
    <row r="79" ht="16" customHeight="1">
      <c r="A79" s="16" t="inlineStr">
        <is>
          <t>NIFTY ENERGY</t>
        </is>
      </c>
      <c r="B79" s="13" t="inlineStr">
        <is>
          <t>COALINDIA</t>
        </is>
      </c>
      <c r="C79" s="14" t="n">
        <v>466.65</v>
      </c>
      <c r="D79" s="14" t="n">
        <v>461.82</v>
      </c>
      <c r="E79" s="14" t="n">
        <v>449.56</v>
      </c>
      <c r="F79" s="14" t="n">
        <v>411.41</v>
      </c>
      <c r="G79" s="15">
        <f>HYPERLINK("https://www.tradingview.com/chart/?symbol=NSE:COALINDIA","Chart 📈")</f>
        <v/>
      </c>
    </row>
    <row r="80" ht="16" customHeight="1">
      <c r="A80" s="16" t="inlineStr">
        <is>
          <t>NIFTY ENERGY</t>
        </is>
      </c>
      <c r="B80" s="13" t="inlineStr">
        <is>
          <t>GVT&amp;D</t>
        </is>
      </c>
      <c r="C80" s="14" t="n">
        <v>4768.2</v>
      </c>
      <c r="D80" s="14" t="n">
        <v>4360.77</v>
      </c>
      <c r="E80" s="14" t="n">
        <v>4025.89</v>
      </c>
      <c r="F80" s="14" t="n">
        <v>3257.19</v>
      </c>
      <c r="G80" s="15">
        <f>HYPERLINK("https://www.tradingview.com/chart/?symbol=NSE:GVT&amp;D","Chart 📈")</f>
        <v/>
      </c>
    </row>
    <row r="81" ht="16" customHeight="1">
      <c r="A81" s="16" t="inlineStr">
        <is>
          <t>NIFTY ENERGY</t>
        </is>
      </c>
      <c r="B81" s="13" t="inlineStr">
        <is>
          <t>JPPOWER</t>
        </is>
      </c>
      <c r="C81" s="14" t="n">
        <v>19.39</v>
      </c>
      <c r="D81" s="14" t="n">
        <v>18.77</v>
      </c>
      <c r="E81" s="14" t="n">
        <v>17.42</v>
      </c>
      <c r="F81" s="14" t="n">
        <v>16.89</v>
      </c>
      <c r="G81" s="15">
        <f>HYPERLINK("https://www.tradingview.com/chart/?symbol=NSE:JPPOWER","Chart 📈")</f>
        <v/>
      </c>
    </row>
    <row r="82" ht="16" customHeight="1">
      <c r="A82" s="16" t="inlineStr">
        <is>
          <t>NIFTY ENERGY</t>
        </is>
      </c>
      <c r="B82" s="13" t="inlineStr">
        <is>
          <t>JSWENERGY</t>
        </is>
      </c>
      <c r="C82" s="14" t="n">
        <v>575.9</v>
      </c>
      <c r="D82" s="14" t="n">
        <v>549.0599999999999</v>
      </c>
      <c r="E82" s="14" t="n">
        <v>524.15</v>
      </c>
      <c r="F82" s="14" t="n">
        <v>504.35</v>
      </c>
      <c r="G82" s="15">
        <f>HYPERLINK("https://www.tradingview.com/chart/?symbol=NSE:JSWENERGY","Chart 📈")</f>
        <v/>
      </c>
    </row>
    <row r="83" ht="16" customHeight="1">
      <c r="A83" s="16" t="inlineStr">
        <is>
          <t>NIFTY ENERGY</t>
        </is>
      </c>
      <c r="B83" s="13" t="inlineStr">
        <is>
          <t>NLCINDIA</t>
        </is>
      </c>
      <c r="C83" s="14" t="n">
        <v>328.7</v>
      </c>
      <c r="D83" s="14" t="n">
        <v>305.29</v>
      </c>
      <c r="E83" s="14" t="n">
        <v>285.97</v>
      </c>
      <c r="F83" s="14" t="n">
        <v>258.85</v>
      </c>
      <c r="G83" s="15">
        <f>HYPERLINK("https://www.tradingview.com/chart/?symbol=NSE:NLCINDIA","Chart 📈")</f>
        <v/>
      </c>
    </row>
    <row r="84" ht="16" customHeight="1">
      <c r="A84" s="16" t="inlineStr">
        <is>
          <t>NIFTY ENERGY</t>
        </is>
      </c>
      <c r="B84" s="13" t="inlineStr">
        <is>
          <t>NTPC</t>
        </is>
      </c>
      <c r="C84" s="14" t="n">
        <v>400.35</v>
      </c>
      <c r="D84" s="14" t="n">
        <v>395.33</v>
      </c>
      <c r="E84" s="14" t="n">
        <v>383.94</v>
      </c>
      <c r="F84" s="14" t="n">
        <v>355.13</v>
      </c>
      <c r="G84" s="15">
        <f>HYPERLINK("https://www.tradingview.com/chart/?symbol=NSE:NTPC","Chart 📈")</f>
        <v/>
      </c>
    </row>
    <row r="85" ht="16" customHeight="1">
      <c r="A85" s="16" t="inlineStr">
        <is>
          <t>NIFTY ENERGY</t>
        </is>
      </c>
      <c r="B85" s="13" t="inlineStr">
        <is>
          <t>POWERINDIA</t>
        </is>
      </c>
      <c r="C85" s="14" t="n">
        <v>34875</v>
      </c>
      <c r="D85" s="14" t="n">
        <v>31413.74</v>
      </c>
      <c r="E85" s="14" t="n">
        <v>28016.47</v>
      </c>
      <c r="F85" s="14" t="n">
        <v>22335.97</v>
      </c>
      <c r="G85" s="15">
        <f>HYPERLINK("https://www.tradingview.com/chart/?symbol=NSE:POWERINDIA","Chart 📈")</f>
        <v/>
      </c>
    </row>
    <row r="86" ht="16" customHeight="1">
      <c r="A86" s="16" t="inlineStr">
        <is>
          <t>NIFTY ENERGY</t>
        </is>
      </c>
      <c r="B86" s="13" t="inlineStr">
        <is>
          <t>SCHNEIDER</t>
        </is>
      </c>
      <c r="C86" s="14" t="n">
        <v>1343.4</v>
      </c>
      <c r="D86" s="14" t="n">
        <v>1165.7</v>
      </c>
      <c r="E86" s="14" t="n">
        <v>1026.97</v>
      </c>
      <c r="F86" s="14" t="n">
        <v>850.9400000000001</v>
      </c>
      <c r="G86" s="15">
        <f>HYPERLINK("https://www.tradingview.com/chart/?symbol=NSE:SCHNEIDER","Chart 📈")</f>
        <v/>
      </c>
    </row>
    <row r="87" ht="16" customHeight="1">
      <c r="A87" s="16" t="inlineStr">
        <is>
          <t>NIFTY ENERGY</t>
        </is>
      </c>
      <c r="B87" s="13" t="inlineStr">
        <is>
          <t>SIEMENS</t>
        </is>
      </c>
      <c r="C87" s="14" t="n">
        <v>3871.5</v>
      </c>
      <c r="D87" s="14" t="n">
        <v>3692.46</v>
      </c>
      <c r="E87" s="14" t="n">
        <v>3471.85</v>
      </c>
      <c r="F87" s="14" t="n">
        <v>3235.69</v>
      </c>
      <c r="G87" s="15">
        <f>HYPERLINK("https://www.tradingview.com/chart/?symbol=NSE:SIEMENS","Chart 📈")</f>
        <v/>
      </c>
    </row>
    <row r="88" ht="16" customHeight="1">
      <c r="A88" s="16" t="inlineStr">
        <is>
          <t>NIFTY ENERGY</t>
        </is>
      </c>
      <c r="B88" s="13" t="inlineStr">
        <is>
          <t>SJVN</t>
        </is>
      </c>
      <c r="C88" s="14" t="n">
        <v>79.89</v>
      </c>
      <c r="D88" s="14" t="n">
        <v>77.56</v>
      </c>
      <c r="E88" s="14" t="n">
        <v>75.05</v>
      </c>
      <c r="F88" s="14" t="n">
        <v>79.34</v>
      </c>
      <c r="G88" s="15">
        <f>HYPERLINK("https://www.tradingview.com/chart/?symbol=NSE:SJVN","Chart 📈")</f>
        <v/>
      </c>
    </row>
    <row r="89" ht="16" customHeight="1">
      <c r="A89" s="16" t="inlineStr">
        <is>
          <t>NIFTY ENERGY</t>
        </is>
      </c>
      <c r="B89" s="13" t="inlineStr">
        <is>
          <t>SUZLON</t>
        </is>
      </c>
      <c r="C89" s="14" t="n">
        <v>55.65</v>
      </c>
      <c r="D89" s="14" t="n">
        <v>52.62</v>
      </c>
      <c r="E89" s="14" t="n">
        <v>49.21</v>
      </c>
      <c r="F89" s="14" t="n">
        <v>51.42</v>
      </c>
      <c r="G89" s="15">
        <f>HYPERLINK("https://www.tradingview.com/chart/?symbol=NSE:SUZLON","Chart 📈")</f>
        <v/>
      </c>
    </row>
    <row r="90" ht="16" customHeight="1">
      <c r="A90" s="16" t="inlineStr">
        <is>
          <t>NIFTY ENERGY</t>
        </is>
      </c>
      <c r="B90" s="13" t="inlineStr">
        <is>
          <t>TATAPOWER</t>
        </is>
      </c>
      <c r="C90" s="14" t="n">
        <v>439.25</v>
      </c>
      <c r="D90" s="14" t="n">
        <v>432.38</v>
      </c>
      <c r="E90" s="14" t="n">
        <v>412.12</v>
      </c>
      <c r="F90" s="14" t="n">
        <v>392.04</v>
      </c>
      <c r="G90" s="15">
        <f>HYPERLINK("https://www.tradingview.com/chart/?symbol=NSE:TATAPOWER","Chart 📈")</f>
        <v/>
      </c>
    </row>
    <row r="91" ht="16" customHeight="1">
      <c r="A91" s="16" t="inlineStr">
        <is>
          <t>NIFTY ENERGY</t>
        </is>
      </c>
      <c r="B91" s="13" t="inlineStr">
        <is>
          <t>THERMAX</t>
        </is>
      </c>
      <c r="C91" s="14" t="n">
        <v>4182.3</v>
      </c>
      <c r="D91" s="14" t="n">
        <v>3961.76</v>
      </c>
      <c r="E91" s="14" t="n">
        <v>3641.09</v>
      </c>
      <c r="F91" s="14" t="n">
        <v>3306.32</v>
      </c>
      <c r="G91" s="15">
        <f>HYPERLINK("https://www.tradingview.com/chart/?symbol=NSE:THERMAX","Chart 📈")</f>
        <v/>
      </c>
    </row>
    <row r="92" ht="16" customHeight="1">
      <c r="A92" s="16" t="inlineStr">
        <is>
          <t>NIFTY ENERGY</t>
        </is>
      </c>
      <c r="B92" s="13" t="inlineStr">
        <is>
          <t>TORNTPOWER</t>
        </is>
      </c>
      <c r="C92" s="14" t="n">
        <v>1712.5</v>
      </c>
      <c r="D92" s="14" t="n">
        <v>1652.53</v>
      </c>
      <c r="E92" s="14" t="n">
        <v>1551.16</v>
      </c>
      <c r="F92" s="14" t="n">
        <v>1422.66</v>
      </c>
      <c r="G92" s="15">
        <f>HYPERLINK("https://www.tradingview.com/chart/?symbol=NSE:TORNTPOWER","Chart 📈")</f>
        <v/>
      </c>
    </row>
    <row r="93" ht="16" customHeight="1">
      <c r="A93" s="16" t="inlineStr">
        <is>
          <t>NIFTY ENERGY</t>
        </is>
      </c>
      <c r="B93" s="13" t="inlineStr">
        <is>
          <t>TRITURBINE</t>
        </is>
      </c>
      <c r="C93" s="14" t="n">
        <v>574.1</v>
      </c>
      <c r="D93" s="14" t="n">
        <v>545.21</v>
      </c>
      <c r="E93" s="14" t="n">
        <v>516.62</v>
      </c>
      <c r="F93" s="14" t="n">
        <v>517.12</v>
      </c>
      <c r="G93" s="15">
        <f>HYPERLINK("https://www.tradingview.com/chart/?symbol=NSE:TRITURBINE","Chart 📈")</f>
        <v/>
      </c>
    </row>
    <row r="94" ht="16" customHeight="1">
      <c r="A94" s="8" t="inlineStr">
        <is>
          <t>NIFTY CONSUMER DURABLES</t>
        </is>
      </c>
      <c r="B94" s="17" t="inlineStr">
        <is>
          <t>AMBER</t>
        </is>
      </c>
      <c r="C94" s="18" t="n">
        <v>8842.5</v>
      </c>
      <c r="D94" s="18" t="n">
        <v>7920.18</v>
      </c>
      <c r="E94" s="18" t="n">
        <v>7490.02</v>
      </c>
      <c r="F94" s="18" t="n">
        <v>7128.95</v>
      </c>
      <c r="G94" s="19">
        <f>HYPERLINK("https://www.tradingview.com/chart/?symbol=NSE:AMBER","Chart 📈")</f>
        <v/>
      </c>
    </row>
    <row r="95" ht="16" customHeight="1">
      <c r="A95" s="20" t="inlineStr">
        <is>
          <t>NIFTY CONSUMER DURABLES</t>
        </is>
      </c>
      <c r="B95" s="17" t="inlineStr">
        <is>
          <t>CENTURYPLY</t>
        </is>
      </c>
      <c r="C95" s="18" t="n">
        <v>799.9</v>
      </c>
      <c r="D95" s="18" t="n">
        <v>774.6900000000001</v>
      </c>
      <c r="E95" s="18" t="n">
        <v>754.3099999999999</v>
      </c>
      <c r="F95" s="18" t="n">
        <v>754.98</v>
      </c>
      <c r="G95" s="19">
        <f>HYPERLINK("https://www.tradingview.com/chart/?symbol=NSE:CENTURYPLY","Chart 📈")</f>
        <v/>
      </c>
    </row>
    <row r="96" ht="16" customHeight="1">
      <c r="A96" s="20" t="inlineStr">
        <is>
          <t>NIFTY CONSUMER DURABLES</t>
        </is>
      </c>
      <c r="B96" s="17" t="inlineStr">
        <is>
          <t>CERA</t>
        </is>
      </c>
      <c r="C96" s="18" t="n">
        <v>5456.5</v>
      </c>
      <c r="D96" s="18" t="n">
        <v>5250.59</v>
      </c>
      <c r="E96" s="18" t="n">
        <v>5123.82</v>
      </c>
      <c r="F96" s="18" t="n">
        <v>5401.03</v>
      </c>
      <c r="G96" s="19">
        <f>HYPERLINK("https://www.tradingview.com/chart/?symbol=NSE:CERA","Chart 📈")</f>
        <v/>
      </c>
    </row>
    <row r="97" ht="16" customHeight="1">
      <c r="A97" s="20" t="inlineStr">
        <is>
          <t>NIFTY CONSUMER DURABLES</t>
        </is>
      </c>
      <c r="B97" s="17" t="inlineStr">
        <is>
          <t>CROMPTON</t>
        </is>
      </c>
      <c r="C97" s="18" t="n">
        <v>290.75</v>
      </c>
      <c r="D97" s="18" t="n">
        <v>265.85</v>
      </c>
      <c r="E97" s="18" t="n">
        <v>257.09</v>
      </c>
      <c r="F97" s="18" t="n">
        <v>273.46</v>
      </c>
      <c r="G97" s="19">
        <f>HYPERLINK("https://www.tradingview.com/chart/?symbol=NSE:CROMPTON","Chart 📈")</f>
        <v/>
      </c>
    </row>
    <row r="98" ht="16" customHeight="1">
      <c r="A98" s="12" t="inlineStr">
        <is>
          <t>NIFTY MIDSMALL IT &amp; TELECOM</t>
        </is>
      </c>
      <c r="B98" s="13" t="inlineStr">
        <is>
          <t>HFCL</t>
        </is>
      </c>
      <c r="C98" s="14" t="n">
        <v>146.24</v>
      </c>
      <c r="D98" s="14" t="n">
        <v>109.54</v>
      </c>
      <c r="E98" s="14" t="n">
        <v>91.88</v>
      </c>
      <c r="F98" s="14" t="n">
        <v>78.39</v>
      </c>
      <c r="G98" s="15">
        <f>HYPERLINK("https://www.tradingview.com/chart/?symbol=NSE:HFCL","Chart 📈")</f>
        <v/>
      </c>
    </row>
    <row r="99" ht="16" customHeight="1">
      <c r="A99" s="16" t="inlineStr">
        <is>
          <t>NIFTY MIDSMALL IT &amp; TELECOM</t>
        </is>
      </c>
      <c r="B99" s="13" t="inlineStr">
        <is>
          <t>IDEA</t>
        </is>
      </c>
      <c r="C99" s="14" t="n">
        <v>11.23</v>
      </c>
      <c r="D99" s="14" t="n">
        <v>10.1</v>
      </c>
      <c r="E99" s="14" t="n">
        <v>9.949999999999999</v>
      </c>
      <c r="F99" s="14" t="n">
        <v>9.470000000000001</v>
      </c>
      <c r="G99" s="15">
        <f>HYPERLINK("https://www.tradingview.com/chart/?symbol=NSE:IDEA","Chart 📈")</f>
        <v/>
      </c>
    </row>
    <row r="100" ht="16" customHeight="1">
      <c r="A100" s="16" t="inlineStr">
        <is>
          <t>NIFTY MIDSMALL IT &amp; TELECOM</t>
        </is>
      </c>
      <c r="B100" s="13" t="inlineStr">
        <is>
          <t>OFSS</t>
        </is>
      </c>
      <c r="C100" s="14" t="n">
        <v>9498.5</v>
      </c>
      <c r="D100" s="14" t="n">
        <v>8613.6</v>
      </c>
      <c r="E100" s="14" t="n">
        <v>7821.35</v>
      </c>
      <c r="F100" s="14" t="n">
        <v>7697.53</v>
      </c>
      <c r="G100" s="15">
        <f>HYPERLINK("https://www.tradingview.com/chart/?symbol=NSE:OFSS","Chart 📈")</f>
        <v/>
      </c>
    </row>
    <row r="101" ht="16" customHeight="1">
      <c r="A101" s="16" t="inlineStr">
        <is>
          <t>NIFTY MIDSMALL IT &amp; TELECOM</t>
        </is>
      </c>
      <c r="B101" s="13" t="inlineStr">
        <is>
          <t>TANLA</t>
        </is>
      </c>
      <c r="C101" s="14" t="n">
        <v>574</v>
      </c>
      <c r="D101" s="14" t="n">
        <v>510.53</v>
      </c>
      <c r="E101" s="14" t="n">
        <v>483.58</v>
      </c>
      <c r="F101" s="14" t="n">
        <v>516.24</v>
      </c>
      <c r="G101" s="15">
        <f>HYPERLINK("https://www.tradingview.com/chart/?symbol=NSE:TANLA","Chart 📈")</f>
        <v/>
      </c>
    </row>
    <row r="102" ht="16" customHeight="1">
      <c r="A102" s="16" t="inlineStr">
        <is>
          <t>NIFTY MIDSMALL IT &amp; TELECOM</t>
        </is>
      </c>
      <c r="B102" s="13" t="inlineStr">
        <is>
          <t>TATATECH</t>
        </is>
      </c>
      <c r="C102" s="14" t="n">
        <v>629.25</v>
      </c>
      <c r="D102" s="14" t="n">
        <v>586.01</v>
      </c>
      <c r="E102" s="14" t="n">
        <v>582.59</v>
      </c>
      <c r="F102" s="14" t="n">
        <v>628.76</v>
      </c>
      <c r="G102" s="15">
        <f>HYPERLINK("https://www.tradingview.com/chart/?symbol=NSE:TATATECH","Chart 📈")</f>
        <v/>
      </c>
    </row>
    <row r="103" ht="16" customHeight="1">
      <c r="A103" s="16" t="inlineStr">
        <is>
          <t>NIFTY MIDSMALL IT &amp; TELECOM</t>
        </is>
      </c>
      <c r="B103" s="13" t="inlineStr">
        <is>
          <t>TEJASNET</t>
        </is>
      </c>
      <c r="C103" s="14" t="n">
        <v>533.4</v>
      </c>
      <c r="D103" s="14" t="n">
        <v>433.84</v>
      </c>
      <c r="E103" s="14" t="n">
        <v>422.98</v>
      </c>
      <c r="F103" s="14" t="n">
        <v>482.41</v>
      </c>
      <c r="G103" s="15">
        <f>HYPERLINK("https://www.tradingview.com/chart/?symbol=NSE:TEJASNET","Chart 📈")</f>
        <v/>
      </c>
    </row>
    <row r="104" ht="16" customHeight="1">
      <c r="A104" s="8" t="inlineStr">
        <is>
          <t>NIFTY PSU BANK</t>
        </is>
      </c>
      <c r="B104" s="17" t="inlineStr">
        <is>
          <t>CENTRALBK</t>
        </is>
      </c>
      <c r="C104" s="18" t="n">
        <v>37.24</v>
      </c>
      <c r="D104" s="18" t="n">
        <v>36.04</v>
      </c>
      <c r="E104" s="18" t="n">
        <v>36.01</v>
      </c>
      <c r="F104" s="18" t="n">
        <v>36.44</v>
      </c>
      <c r="G104" s="19">
        <f>HYPERLINK("https://www.tradingview.com/chart/?symbol=NSE:CENTRALBK","Chart 📈")</f>
        <v/>
      </c>
    </row>
    <row r="105" ht="16" customHeight="1">
      <c r="A105" s="20" t="inlineStr">
        <is>
          <t>NIFTY PSU BANK</t>
        </is>
      </c>
      <c r="B105" s="17" t="inlineStr">
        <is>
          <t>MAHABANK</t>
        </is>
      </c>
      <c r="C105" s="18" t="n">
        <v>85.31</v>
      </c>
      <c r="D105" s="18" t="n">
        <v>77.34</v>
      </c>
      <c r="E105" s="18" t="n">
        <v>72.33</v>
      </c>
      <c r="F105" s="18" t="n">
        <v>63.12</v>
      </c>
      <c r="G105" s="19">
        <f>HYPERLINK("https://www.tradingview.com/chart/?symbol=NSE:MAHABANK","Chart 📈")</f>
        <v/>
      </c>
    </row>
    <row r="106" ht="16" customHeight="1">
      <c r="A106" s="20" t="inlineStr">
        <is>
          <t>NIFTY PSU BANK</t>
        </is>
      </c>
      <c r="B106" s="17" t="inlineStr">
        <is>
          <t>SBIN</t>
        </is>
      </c>
      <c r="C106" s="18" t="n">
        <v>1092</v>
      </c>
      <c r="D106" s="18" t="n">
        <v>1080.18</v>
      </c>
      <c r="E106" s="18" t="n">
        <v>1078.89</v>
      </c>
      <c r="F106" s="18" t="n">
        <v>992.39</v>
      </c>
      <c r="G106" s="19">
        <f>HYPERLINK("https://www.tradingview.com/chart/?symbol=NSE:SBIN","Chart 📈")</f>
        <v/>
      </c>
    </row>
    <row r="107" ht="16" customHeight="1">
      <c r="A107" s="12" t="inlineStr">
        <is>
          <t>NIFTY BANK</t>
        </is>
      </c>
      <c r="B107" s="13" t="inlineStr">
        <is>
          <t>AUBANK</t>
        </is>
      </c>
      <c r="C107" s="14" t="n">
        <v>1032.4</v>
      </c>
      <c r="D107" s="14" t="n">
        <v>1004.69</v>
      </c>
      <c r="E107" s="14" t="n">
        <v>978.72</v>
      </c>
      <c r="F107" s="14" t="n">
        <v>903.8099999999999</v>
      </c>
      <c r="G107" s="15">
        <f>HYPERLINK("https://www.tradingview.com/chart/?symbol=NSE:AUBANK","Chart 📈")</f>
        <v/>
      </c>
    </row>
    <row r="108" ht="16" customHeight="1">
      <c r="A108" s="16" t="inlineStr">
        <is>
          <t>NIFTY BANK</t>
        </is>
      </c>
      <c r="B108" s="13" t="inlineStr">
        <is>
          <t>FEDERALBNK</t>
        </is>
      </c>
      <c r="C108" s="14" t="n">
        <v>297.05</v>
      </c>
      <c r="D108" s="14" t="n">
        <v>288.8</v>
      </c>
      <c r="E108" s="14" t="n">
        <v>283.15</v>
      </c>
      <c r="F108" s="14" t="n">
        <v>254.39</v>
      </c>
      <c r="G108" s="15">
        <f>HYPERLINK("https://www.tradingview.com/chart/?symbol=NSE:FEDERALBNK","Chart 📈")</f>
        <v/>
      </c>
    </row>
    <row r="109" ht="16" customHeight="1">
      <c r="A109" s="16" t="inlineStr">
        <is>
          <t>NIFTY BANK</t>
        </is>
      </c>
      <c r="B109" s="13" t="inlineStr">
        <is>
          <t>INDUSINDBK</t>
        </is>
      </c>
      <c r="C109" s="14" t="n">
        <v>946.95</v>
      </c>
      <c r="D109" s="14" t="n">
        <v>887.8099999999999</v>
      </c>
      <c r="E109" s="14" t="n">
        <v>872.15</v>
      </c>
      <c r="F109" s="14" t="n">
        <v>851.73</v>
      </c>
      <c r="G109" s="15">
        <f>HYPERLINK("https://www.tradingview.com/chart/?symbol=NSE:INDUSINDBK","Chart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2026-05-07T17:37:11Z</dcterms:created>
  <dcterms:modified xsi:type="dcterms:W3CDTF">2026-05-07T17:37:11Z</dcterms:modified>
</cp:coreProperties>
</file>