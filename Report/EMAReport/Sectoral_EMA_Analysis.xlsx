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27-May-2026  14:36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15</v>
      </c>
      <c r="D4" s="5" t="n">
        <v>18</v>
      </c>
      <c r="E4" s="5" t="n">
        <v>19</v>
      </c>
      <c r="F4" s="6" t="n">
        <v>0.75</v>
      </c>
      <c r="G4" s="6" t="n">
        <v>0.9</v>
      </c>
      <c r="H4" s="6" t="n">
        <v>0.95</v>
      </c>
      <c r="I4" s="7" t="n">
        <v>0.8667</v>
      </c>
    </row>
    <row r="5" ht="17" customHeight="1">
      <c r="A5" s="8" t="inlineStr">
        <is>
          <t>NIFTY METAL</t>
        </is>
      </c>
      <c r="B5" s="9" t="n">
        <v>15</v>
      </c>
      <c r="C5" s="9" t="n">
        <v>9</v>
      </c>
      <c r="D5" s="9" t="n">
        <v>12</v>
      </c>
      <c r="E5" s="9" t="n">
        <v>12</v>
      </c>
      <c r="F5" s="10" t="n">
        <v>0.6</v>
      </c>
      <c r="G5" s="10" t="n">
        <v>0.8</v>
      </c>
      <c r="H5" s="10" t="n">
        <v>0.8</v>
      </c>
      <c r="I5" s="11" t="n">
        <v>0.7333</v>
      </c>
    </row>
    <row r="6" ht="17" customHeight="1">
      <c r="A6" s="4" t="inlineStr">
        <is>
          <t>NIFTY REALTY</t>
        </is>
      </c>
      <c r="B6" s="5" t="n">
        <v>10</v>
      </c>
      <c r="C6" s="5" t="n">
        <v>9</v>
      </c>
      <c r="D6" s="5" t="n">
        <v>9</v>
      </c>
      <c r="E6" s="5" t="n">
        <v>3</v>
      </c>
      <c r="F6" s="6" t="n">
        <v>0.9</v>
      </c>
      <c r="G6" s="6" t="n">
        <v>0.9</v>
      </c>
      <c r="H6" s="6" t="n">
        <v>0.3</v>
      </c>
      <c r="I6" s="7" t="n">
        <v>0.7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15</v>
      </c>
      <c r="D7" s="9" t="n">
        <v>13</v>
      </c>
      <c r="E7" s="9" t="n">
        <v>7</v>
      </c>
      <c r="F7" s="10" t="n">
        <v>0.75</v>
      </c>
      <c r="G7" s="10" t="n">
        <v>0.65</v>
      </c>
      <c r="H7" s="10" t="n">
        <v>0.35</v>
      </c>
      <c r="I7" s="11" t="n">
        <v>0.5832999999999999</v>
      </c>
    </row>
    <row r="8" ht="17" customHeight="1">
      <c r="A8" s="4" t="inlineStr">
        <is>
          <t>NIFTY ENERGY</t>
        </is>
      </c>
      <c r="B8" s="5" t="n">
        <v>40</v>
      </c>
      <c r="C8" s="5" t="n">
        <v>22</v>
      </c>
      <c r="D8" s="5" t="n">
        <v>22</v>
      </c>
      <c r="E8" s="5" t="n">
        <v>23</v>
      </c>
      <c r="F8" s="6" t="n">
        <v>0.55</v>
      </c>
      <c r="G8" s="6" t="n">
        <v>0.55</v>
      </c>
      <c r="H8" s="6" t="n">
        <v>0.575</v>
      </c>
      <c r="I8" s="7" t="n">
        <v>0.5583</v>
      </c>
    </row>
    <row r="9" ht="17" customHeight="1">
      <c r="A9" s="8" t="inlineStr">
        <is>
          <t>NIFTY AUTO</t>
        </is>
      </c>
      <c r="B9" s="9" t="n">
        <v>15</v>
      </c>
      <c r="C9" s="9" t="n">
        <v>11</v>
      </c>
      <c r="D9" s="9" t="n">
        <v>7</v>
      </c>
      <c r="E9" s="9" t="n">
        <v>7</v>
      </c>
      <c r="F9" s="10" t="n">
        <v>0.733</v>
      </c>
      <c r="G9" s="10" t="n">
        <v>0.467</v>
      </c>
      <c r="H9" s="10" t="n">
        <v>0.467</v>
      </c>
      <c r="I9" s="11" t="n">
        <v>0.5557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10</v>
      </c>
      <c r="D10" s="5" t="n">
        <v>10</v>
      </c>
      <c r="E10" s="5" t="n">
        <v>5</v>
      </c>
      <c r="F10" s="6" t="n">
        <v>0.667</v>
      </c>
      <c r="G10" s="6" t="n">
        <v>0.667</v>
      </c>
      <c r="H10" s="6" t="n">
        <v>0.333</v>
      </c>
      <c r="I10" s="7" t="n">
        <v>0.5557</v>
      </c>
    </row>
    <row r="11" ht="17" customHeight="1">
      <c r="A11" s="8" t="inlineStr">
        <is>
          <t>NIFTY MEDIA</t>
        </is>
      </c>
      <c r="B11" s="9" t="n">
        <v>10</v>
      </c>
      <c r="C11" s="9" t="n">
        <v>6</v>
      </c>
      <c r="D11" s="9" t="n">
        <v>6</v>
      </c>
      <c r="E11" s="9" t="n">
        <v>3</v>
      </c>
      <c r="F11" s="10" t="n">
        <v>0.6</v>
      </c>
      <c r="G11" s="10" t="n">
        <v>0.6</v>
      </c>
      <c r="H11" s="10" t="n">
        <v>0.3</v>
      </c>
      <c r="I11" s="11" t="n">
        <v>0.5</v>
      </c>
    </row>
    <row r="12" ht="17" customHeight="1">
      <c r="A12" s="4" t="inlineStr">
        <is>
          <t>NIFTY FMCG</t>
        </is>
      </c>
      <c r="B12" s="5" t="n">
        <v>15</v>
      </c>
      <c r="C12" s="5" t="n">
        <v>8</v>
      </c>
      <c r="D12" s="5" t="n">
        <v>6</v>
      </c>
      <c r="E12" s="5" t="n">
        <v>6</v>
      </c>
      <c r="F12" s="6" t="n">
        <v>0.5329999999999999</v>
      </c>
      <c r="G12" s="6" t="n">
        <v>0.4</v>
      </c>
      <c r="H12" s="6" t="n">
        <v>0.4</v>
      </c>
      <c r="I12" s="7" t="n">
        <v>0.4443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10</v>
      </c>
      <c r="D13" s="9" t="n">
        <v>9</v>
      </c>
      <c r="E13" s="9" t="n">
        <v>7</v>
      </c>
      <c r="F13" s="10" t="n">
        <v>0.5</v>
      </c>
      <c r="G13" s="10" t="n">
        <v>0.45</v>
      </c>
      <c r="H13" s="10" t="n">
        <v>0.35</v>
      </c>
      <c r="I13" s="11" t="n">
        <v>0.4333</v>
      </c>
    </row>
    <row r="14" ht="17" customHeight="1">
      <c r="A14" s="4" t="inlineStr">
        <is>
          <t>NIFTY PSU BANK</t>
        </is>
      </c>
      <c r="B14" s="5" t="n">
        <v>12</v>
      </c>
      <c r="C14" s="5" t="n">
        <v>8</v>
      </c>
      <c r="D14" s="5" t="n">
        <v>2</v>
      </c>
      <c r="E14" s="5" t="n">
        <v>4</v>
      </c>
      <c r="F14" s="6" t="n">
        <v>0.667</v>
      </c>
      <c r="G14" s="6" t="n">
        <v>0.167</v>
      </c>
      <c r="H14" s="6" t="n">
        <v>0.333</v>
      </c>
      <c r="I14" s="7" t="n">
        <v>0.389</v>
      </c>
    </row>
    <row r="15" ht="17" customHeight="1">
      <c r="A15" s="8" t="inlineStr">
        <is>
          <t>NIFTY CONSUMER DURABLES</t>
        </is>
      </c>
      <c r="B15" s="9" t="n">
        <v>15</v>
      </c>
      <c r="C15" s="9" t="n">
        <v>4</v>
      </c>
      <c r="D15" s="9" t="n">
        <v>6</v>
      </c>
      <c r="E15" s="9" t="n">
        <v>6</v>
      </c>
      <c r="F15" s="10" t="n">
        <v>0.267</v>
      </c>
      <c r="G15" s="10" t="n">
        <v>0.4</v>
      </c>
      <c r="H15" s="10" t="n">
        <v>0.4</v>
      </c>
      <c r="I15" s="11" t="n">
        <v>0.3557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1</v>
      </c>
      <c r="E17" s="9" t="n">
        <v>0</v>
      </c>
      <c r="F17" s="10" t="n">
        <v>0.2</v>
      </c>
      <c r="G17" s="10" t="n">
        <v>0.1</v>
      </c>
      <c r="H17" s="10" t="n">
        <v>0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BIOCON</t>
        </is>
      </c>
      <c r="C3" s="14" t="n">
        <v>432.2</v>
      </c>
      <c r="D3" s="14" t="n">
        <v>410.36</v>
      </c>
      <c r="E3" s="14" t="n">
        <v>390.97</v>
      </c>
      <c r="F3" s="14" t="n">
        <v>375.79</v>
      </c>
      <c r="G3" s="15">
        <f>HYPERLINK("https://www.tradingview.com/chart/?symbol=NSE:BIOCON","Chart 📈")</f>
        <v/>
      </c>
    </row>
    <row r="4" ht="16" customHeight="1">
      <c r="A4" s="16" t="inlineStr">
        <is>
          <t>NIFTY PHARMA</t>
        </is>
      </c>
      <c r="B4" s="13" t="inlineStr">
        <is>
          <t>CIPLA</t>
        </is>
      </c>
      <c r="C4" s="14" t="n">
        <v>1418.2</v>
      </c>
      <c r="D4" s="14" t="n">
        <v>1373.96</v>
      </c>
      <c r="E4" s="14" t="n">
        <v>1338.68</v>
      </c>
      <c r="F4" s="14" t="n">
        <v>1395.84</v>
      </c>
      <c r="G4" s="15">
        <f>HYPERLINK("https://www.tradingview.com/chart/?symbol=NSE:CIPLA","Chart 📈")</f>
        <v/>
      </c>
    </row>
    <row r="5" ht="16" customHeight="1">
      <c r="A5" s="16" t="inlineStr">
        <is>
          <t>NIFTY PHARMA</t>
        </is>
      </c>
      <c r="B5" s="13" t="inlineStr">
        <is>
          <t>DIVISLAB</t>
        </is>
      </c>
      <c r="C5" s="14" t="n">
        <v>6797.5</v>
      </c>
      <c r="D5" s="14" t="n">
        <v>6711.92</v>
      </c>
      <c r="E5" s="14" t="n">
        <v>6510.3</v>
      </c>
      <c r="F5" s="14" t="n">
        <v>6396.16</v>
      </c>
      <c r="G5" s="15">
        <f>HYPERLINK("https://www.tradingview.com/chart/?symbol=NSE:DIVISLAB","Chart 📈")</f>
        <v/>
      </c>
    </row>
    <row r="6" ht="16" customHeight="1">
      <c r="A6" s="16" t="inlineStr">
        <is>
          <t>NIFTY PHARMA</t>
        </is>
      </c>
      <c r="B6" s="13" t="inlineStr">
        <is>
          <t>DRREDDY</t>
        </is>
      </c>
      <c r="C6" s="14" t="n">
        <v>1319</v>
      </c>
      <c r="D6" s="14" t="n">
        <v>1308.62</v>
      </c>
      <c r="E6" s="14" t="n">
        <v>1290.18</v>
      </c>
      <c r="F6" s="14" t="n">
        <v>1266.78</v>
      </c>
      <c r="G6" s="15">
        <f>HYPERLINK("https://www.tradingview.com/chart/?symbol=NSE:DRREDDY","Chart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2313</v>
      </c>
      <c r="D7" s="14" t="n">
        <v>2080.2</v>
      </c>
      <c r="E7" s="14" t="n">
        <v>1918.8</v>
      </c>
      <c r="F7" s="14" t="n">
        <v>1803.23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GLENMARK</t>
        </is>
      </c>
      <c r="C8" s="14" t="n">
        <v>2384.9</v>
      </c>
      <c r="D8" s="14" t="n">
        <v>2338.39</v>
      </c>
      <c r="E8" s="14" t="n">
        <v>2272.12</v>
      </c>
      <c r="F8" s="14" t="n">
        <v>2047.81</v>
      </c>
      <c r="G8" s="15">
        <f>HYPERLINK("https://www.tradingview.com/chart/?symbol=NSE:GLENMARK","Chart 📈")</f>
        <v/>
      </c>
    </row>
    <row r="9" ht="16" customHeight="1">
      <c r="A9" s="16" t="inlineStr">
        <is>
          <t>NIFTY PHARMA</t>
        </is>
      </c>
      <c r="B9" s="13" t="inlineStr">
        <is>
          <t>GRANULES</t>
        </is>
      </c>
      <c r="C9" s="14" t="n">
        <v>782.6</v>
      </c>
      <c r="D9" s="14" t="n">
        <v>737.9</v>
      </c>
      <c r="E9" s="14" t="n">
        <v>691.48</v>
      </c>
      <c r="F9" s="14" t="n">
        <v>605.25</v>
      </c>
      <c r="G9" s="15">
        <f>HYPERLINK("https://www.tradingview.com/chart/?symbol=NSE:GRANULES","Chart 📈")</f>
        <v/>
      </c>
    </row>
    <row r="10" ht="16" customHeight="1">
      <c r="A10" s="16" t="inlineStr">
        <is>
          <t>NIFTY PHARMA</t>
        </is>
      </c>
      <c r="B10" s="13" t="inlineStr">
        <is>
          <t>JBCHEPHARM</t>
        </is>
      </c>
      <c r="C10" s="14" t="n">
        <v>2204.2</v>
      </c>
      <c r="D10" s="14" t="n">
        <v>2144.98</v>
      </c>
      <c r="E10" s="14" t="n">
        <v>2084.54</v>
      </c>
      <c r="F10" s="14" t="n">
        <v>1913.56</v>
      </c>
      <c r="G10" s="15">
        <f>HYPERLINK("https://www.tradingview.com/chart/?symbol=NSE:JBCHEPHARM","Chart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1381.7</v>
      </c>
      <c r="D11" s="14" t="n">
        <v>1284.83</v>
      </c>
      <c r="E11" s="14" t="n">
        <v>1186.3</v>
      </c>
      <c r="F11" s="14" t="n">
        <v>1013.65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MANKIND</t>
        </is>
      </c>
      <c r="C12" s="14" t="n">
        <v>2420.4</v>
      </c>
      <c r="D12" s="14" t="n">
        <v>2408.25</v>
      </c>
      <c r="E12" s="14" t="n">
        <v>2297.69</v>
      </c>
      <c r="F12" s="14" t="n">
        <v>2278.04</v>
      </c>
      <c r="G12" s="15">
        <f>HYPERLINK("https://www.tradingview.com/chart/?symbol=NSE:MANKIND","Chart 📈")</f>
        <v/>
      </c>
    </row>
    <row r="13" ht="16" customHeight="1">
      <c r="A13" s="16" t="inlineStr">
        <is>
          <t>NIFTY PHARMA</t>
        </is>
      </c>
      <c r="B13" s="13" t="inlineStr">
        <is>
          <t>NATCOPHARM</t>
        </is>
      </c>
      <c r="C13" s="14" t="n">
        <v>1175.8</v>
      </c>
      <c r="D13" s="14" t="n">
        <v>1154.73</v>
      </c>
      <c r="E13" s="14" t="n">
        <v>1095.25</v>
      </c>
      <c r="F13" s="14" t="n">
        <v>967.42</v>
      </c>
      <c r="G13" s="15">
        <f>HYPERLINK("https://www.tradingview.com/chart/?symbol=NSE:NATCOPHARM","Chart 📈")</f>
        <v/>
      </c>
    </row>
    <row r="14" ht="16" customHeight="1">
      <c r="A14" s="16" t="inlineStr">
        <is>
          <t>NIFTY PHARMA</t>
        </is>
      </c>
      <c r="B14" s="13" t="inlineStr">
        <is>
          <t>SUNPHARMA</t>
        </is>
      </c>
      <c r="C14" s="14" t="n">
        <v>1844.3</v>
      </c>
      <c r="D14" s="14" t="n">
        <v>1836.01</v>
      </c>
      <c r="E14" s="14" t="n">
        <v>1793.25</v>
      </c>
      <c r="F14" s="14" t="n">
        <v>1729.27</v>
      </c>
      <c r="G14" s="15">
        <f>HYPERLINK("https://www.tradingview.com/chart/?symbol=NSE:SUNPHARMA","Chart 📈")</f>
        <v/>
      </c>
    </row>
    <row r="15" ht="16" customHeight="1">
      <c r="A15" s="16" t="inlineStr">
        <is>
          <t>NIFTY PHARMA</t>
        </is>
      </c>
      <c r="B15" s="13" t="inlineStr">
        <is>
          <t>TORNTPHARM</t>
        </is>
      </c>
      <c r="C15" s="14" t="n">
        <v>4537.8</v>
      </c>
      <c r="D15" s="14" t="n">
        <v>4400.93</v>
      </c>
      <c r="E15" s="14" t="n">
        <v>4296.47</v>
      </c>
      <c r="F15" s="14" t="n">
        <v>3952.19</v>
      </c>
      <c r="G15" s="15">
        <f>HYPERLINK("https://www.tradingview.com/chart/?symbol=NSE:TORNTPHARM","Chart 📈")</f>
        <v/>
      </c>
    </row>
    <row r="16" ht="16" customHeight="1">
      <c r="A16" s="16" t="inlineStr">
        <is>
          <t>NIFTY PHARMA</t>
        </is>
      </c>
      <c r="B16" s="13" t="inlineStr">
        <is>
          <t>ZYDUSLIFE</t>
        </is>
      </c>
      <c r="C16" s="14" t="n">
        <v>1085.8</v>
      </c>
      <c r="D16" s="14" t="n">
        <v>1001.27</v>
      </c>
      <c r="E16" s="14" t="n">
        <v>956.8</v>
      </c>
      <c r="F16" s="14" t="n">
        <v>935.85</v>
      </c>
      <c r="G16" s="15">
        <f>HYPERLINK("https://www.tradingview.com/chart/?symbol=NSE:ZYDUSLIFE","Chart 📈")</f>
        <v/>
      </c>
    </row>
    <row r="17" ht="16" customHeight="1">
      <c r="A17" s="8" t="inlineStr">
        <is>
          <t>NIFTY METAL</t>
        </is>
      </c>
      <c r="B17" s="17" t="inlineStr">
        <is>
          <t>ADANIENT</t>
        </is>
      </c>
      <c r="C17" s="18" t="n">
        <v>2973.1</v>
      </c>
      <c r="D17" s="18" t="n">
        <v>2643.68</v>
      </c>
      <c r="E17" s="18" t="n">
        <v>2420.31</v>
      </c>
      <c r="F17" s="18" t="n">
        <v>2321.7</v>
      </c>
      <c r="G17" s="19">
        <f>HYPERLINK("https://www.tradingview.com/chart/?symbol=NSE:ADANIENT","Chart 📈")</f>
        <v/>
      </c>
    </row>
    <row r="18" ht="16" customHeight="1">
      <c r="A18" s="20" t="inlineStr">
        <is>
          <t>NIFTY METAL</t>
        </is>
      </c>
      <c r="B18" s="17" t="inlineStr">
        <is>
          <t>HINDALCO</t>
        </is>
      </c>
      <c r="C18" s="18" t="n">
        <v>1149.7</v>
      </c>
      <c r="D18" s="18" t="n">
        <v>1074.01</v>
      </c>
      <c r="E18" s="18" t="n">
        <v>1026.01</v>
      </c>
      <c r="F18" s="18" t="n">
        <v>896.84</v>
      </c>
      <c r="G18" s="19">
        <f>HYPERLINK("https://www.tradingview.com/chart/?symbol=NSE:HINDALCO","Chart 📈")</f>
        <v/>
      </c>
    </row>
    <row r="19" ht="16" customHeight="1">
      <c r="A19" s="20" t="inlineStr">
        <is>
          <t>NIFTY METAL</t>
        </is>
      </c>
      <c r="B19" s="17" t="inlineStr">
        <is>
          <t>HINDZINC</t>
        </is>
      </c>
      <c r="C19" s="18" t="n">
        <v>648.85</v>
      </c>
      <c r="D19" s="18" t="n">
        <v>628.49</v>
      </c>
      <c r="E19" s="18" t="n">
        <v>604.08</v>
      </c>
      <c r="F19" s="18" t="n">
        <v>548.74</v>
      </c>
      <c r="G19" s="19">
        <f>HYPERLINK("https://www.tradingview.com/chart/?symbol=NSE:HINDZINC","Chart 📈")</f>
        <v/>
      </c>
    </row>
    <row r="20" ht="16" customHeight="1">
      <c r="A20" s="20" t="inlineStr">
        <is>
          <t>NIFTY METAL</t>
        </is>
      </c>
      <c r="B20" s="17" t="inlineStr">
        <is>
          <t>JSWSTEEL</t>
        </is>
      </c>
      <c r="C20" s="18" t="n">
        <v>1309.3</v>
      </c>
      <c r="D20" s="18" t="n">
        <v>1277.79</v>
      </c>
      <c r="E20" s="18" t="n">
        <v>1249.42</v>
      </c>
      <c r="F20" s="18" t="n">
        <v>1175.69</v>
      </c>
      <c r="G20" s="19">
        <f>HYPERLINK("https://www.tradingview.com/chart/?symbol=NSE:JSWSTEEL","Chart 📈")</f>
        <v/>
      </c>
    </row>
    <row r="21" ht="16" customHeight="1">
      <c r="A21" s="20" t="inlineStr">
        <is>
          <t>NIFTY METAL</t>
        </is>
      </c>
      <c r="B21" s="17" t="inlineStr">
        <is>
          <t>NATIONALUM</t>
        </is>
      </c>
      <c r="C21" s="18" t="n">
        <v>433.05</v>
      </c>
      <c r="D21" s="18" t="n">
        <v>409.64</v>
      </c>
      <c r="E21" s="18" t="n">
        <v>400.41</v>
      </c>
      <c r="F21" s="18" t="n">
        <v>324.26</v>
      </c>
      <c r="G21" s="19">
        <f>HYPERLINK("https://www.tradingview.com/chart/?symbol=NSE:NATIONALUM","Chart 📈")</f>
        <v/>
      </c>
    </row>
    <row r="22" ht="16" customHeight="1">
      <c r="A22" s="20" t="inlineStr">
        <is>
          <t>NIFTY METAL</t>
        </is>
      </c>
      <c r="B22" s="17" t="inlineStr">
        <is>
          <t>NMDC</t>
        </is>
      </c>
      <c r="C22" s="18" t="n">
        <v>92.28</v>
      </c>
      <c r="D22" s="18" t="n">
        <v>89.38</v>
      </c>
      <c r="E22" s="18" t="n">
        <v>86.73999999999999</v>
      </c>
      <c r="F22" s="18" t="n">
        <v>79.43000000000001</v>
      </c>
      <c r="G22" s="19">
        <f>HYPERLINK("https://www.tradingview.com/chart/?symbol=NSE:NMDC","Chart 📈")</f>
        <v/>
      </c>
    </row>
    <row r="23" ht="16" customHeight="1">
      <c r="A23" s="20" t="inlineStr">
        <is>
          <t>NIFTY METAL</t>
        </is>
      </c>
      <c r="B23" s="17" t="inlineStr">
        <is>
          <t>SAIL</t>
        </is>
      </c>
      <c r="C23" s="18" t="n">
        <v>206.06</v>
      </c>
      <c r="D23" s="18" t="n">
        <v>192.83</v>
      </c>
      <c r="E23" s="18" t="n">
        <v>179.95</v>
      </c>
      <c r="F23" s="18" t="n">
        <v>154.76</v>
      </c>
      <c r="G23" s="19">
        <f>HYPERLINK("https://www.tradingview.com/chart/?symbol=NSE:SAIL","Chart 📈")</f>
        <v/>
      </c>
    </row>
    <row r="24" ht="16" customHeight="1">
      <c r="A24" s="20" t="inlineStr">
        <is>
          <t>NIFTY METAL</t>
        </is>
      </c>
      <c r="B24" s="17" t="inlineStr">
        <is>
          <t>TATASTEEL</t>
        </is>
      </c>
      <c r="C24" s="18" t="n">
        <v>214.7</v>
      </c>
      <c r="D24" s="18" t="n">
        <v>211.55</v>
      </c>
      <c r="E24" s="18" t="n">
        <v>207.68</v>
      </c>
      <c r="F24" s="18" t="n">
        <v>189.37</v>
      </c>
      <c r="G24" s="19">
        <f>HYPERLINK("https://www.tradingview.com/chart/?symbol=NSE:TATASTEEL","Chart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1372.9</v>
      </c>
      <c r="D25" s="18" t="n">
        <v>1280.5</v>
      </c>
      <c r="E25" s="18" t="n">
        <v>1147.1</v>
      </c>
      <c r="F25" s="18" t="n">
        <v>943.6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REALTY</t>
        </is>
      </c>
      <c r="B26" s="13" t="inlineStr">
        <is>
          <t>OBEROIRLTY</t>
        </is>
      </c>
      <c r="C26" s="14" t="n">
        <v>1692.6</v>
      </c>
      <c r="D26" s="14" t="n">
        <v>1658.06</v>
      </c>
      <c r="E26" s="14" t="n">
        <v>1627.8</v>
      </c>
      <c r="F26" s="14" t="n">
        <v>1631.62</v>
      </c>
      <c r="G26" s="15">
        <f>HYPERLINK("https://www.tradingview.com/chart/?symbol=NSE:OBEROIRLTY","Chart 📈")</f>
        <v/>
      </c>
    </row>
    <row r="27" ht="16" customHeight="1">
      <c r="A27" s="16" t="inlineStr">
        <is>
          <t>NIFTY REALTY</t>
        </is>
      </c>
      <c r="B27" s="13" t="inlineStr">
        <is>
          <t>PHOENIXLTD</t>
        </is>
      </c>
      <c r="C27" s="14" t="n">
        <v>1771.8</v>
      </c>
      <c r="D27" s="14" t="n">
        <v>1768.16</v>
      </c>
      <c r="E27" s="14" t="n">
        <v>1739.77</v>
      </c>
      <c r="F27" s="14" t="n">
        <v>1694.65</v>
      </c>
      <c r="G27" s="15">
        <f>HYPERLINK("https://www.tradingview.com/chart/?symbol=NSE:PHOENIXLTD","Chart 📈")</f>
        <v/>
      </c>
    </row>
    <row r="28" ht="16" customHeight="1">
      <c r="A28" s="16" t="inlineStr">
        <is>
          <t>NIFTY REALTY</t>
        </is>
      </c>
      <c r="B28" s="13" t="inlineStr">
        <is>
          <t>RAYMOND</t>
        </is>
      </c>
      <c r="C28" s="14" t="n">
        <v>532</v>
      </c>
      <c r="D28" s="14" t="n">
        <v>504.19</v>
      </c>
      <c r="E28" s="14" t="n">
        <v>461.57</v>
      </c>
      <c r="F28" s="14" t="n">
        <v>481.46</v>
      </c>
      <c r="G28" s="15">
        <f>HYPERLINK("https://www.tradingview.com/chart/?symbol=NSE:RAYMOND","Chart 📈")</f>
        <v/>
      </c>
    </row>
    <row r="29" ht="16" customHeight="1">
      <c r="A29" s="8" t="inlineStr">
        <is>
          <t>NIFTY MIDSMALL IT &amp; TELECOM</t>
        </is>
      </c>
      <c r="B29" s="17" t="inlineStr">
        <is>
          <t>HFCL</t>
        </is>
      </c>
      <c r="C29" s="18" t="n">
        <v>173.92</v>
      </c>
      <c r="D29" s="18" t="n">
        <v>141.7</v>
      </c>
      <c r="E29" s="18" t="n">
        <v>117.08</v>
      </c>
      <c r="F29" s="18" t="n">
        <v>88.45999999999999</v>
      </c>
      <c r="G29" s="19">
        <f>HYPERLINK("https://www.tradingview.com/chart/?symbol=NSE:HFCL","Chart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IDEA</t>
        </is>
      </c>
      <c r="C30" s="18" t="n">
        <v>14.18</v>
      </c>
      <c r="D30" s="18" t="n">
        <v>12.61</v>
      </c>
      <c r="E30" s="18" t="n">
        <v>11.37</v>
      </c>
      <c r="F30" s="18" t="n">
        <v>9.960000000000001</v>
      </c>
      <c r="G30" s="19">
        <f>HYPERLINK("https://www.tradingview.com/chart/?symbol=NSE:IDEA","Chart 📈")</f>
        <v/>
      </c>
    </row>
    <row r="31" ht="16" customHeight="1">
      <c r="A31" s="20" t="inlineStr">
        <is>
          <t>NIFTY MIDSMALL IT &amp; TELECOM</t>
        </is>
      </c>
      <c r="B31" s="17" t="inlineStr">
        <is>
          <t>INDUSTOWER</t>
        </is>
      </c>
      <c r="C31" s="18" t="n">
        <v>436.25</v>
      </c>
      <c r="D31" s="18" t="n">
        <v>424.35</v>
      </c>
      <c r="E31" s="18" t="n">
        <v>423.83</v>
      </c>
      <c r="F31" s="18" t="n">
        <v>412.95</v>
      </c>
      <c r="G31" s="19">
        <f>HYPERLINK("https://www.tradingview.com/chart/?symbol=NSE:INDUSTOWER","Chart 📈")</f>
        <v/>
      </c>
    </row>
    <row r="32" ht="16" customHeight="1">
      <c r="A32" s="20" t="inlineStr">
        <is>
          <t>NIFTY MIDSMALL IT &amp; TELECOM</t>
        </is>
      </c>
      <c r="B32" s="17" t="inlineStr">
        <is>
          <t>OFSS</t>
        </is>
      </c>
      <c r="C32" s="18" t="n">
        <v>10299.5</v>
      </c>
      <c r="D32" s="18" t="n">
        <v>9347.32</v>
      </c>
      <c r="E32" s="18" t="n">
        <v>8543.799999999999</v>
      </c>
      <c r="F32" s="18" t="n">
        <v>7937.64</v>
      </c>
      <c r="G32" s="19">
        <f>HYPERLINK("https://www.tradingview.com/chart/?symbol=NSE:OFSS","Chart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TATACOMM</t>
        </is>
      </c>
      <c r="C33" s="18" t="n">
        <v>1966.6</v>
      </c>
      <c r="D33" s="18" t="n">
        <v>1745.49</v>
      </c>
      <c r="E33" s="18" t="n">
        <v>1641.49</v>
      </c>
      <c r="F33" s="18" t="n">
        <v>1651.71</v>
      </c>
      <c r="G33" s="19">
        <f>HYPERLINK("https://www.tradingview.com/chart/?symbol=NSE:TATACOMM","Chart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TATATECH</t>
        </is>
      </c>
      <c r="C34" s="18" t="n">
        <v>719.75</v>
      </c>
      <c r="D34" s="18" t="n">
        <v>646.59</v>
      </c>
      <c r="E34" s="18" t="n">
        <v>615.4</v>
      </c>
      <c r="F34" s="18" t="n">
        <v>640.33</v>
      </c>
      <c r="G34" s="19">
        <f>HYPERLINK("https://www.tradingview.com/chart/?symbol=NSE:TATATECH","Chart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TEJASNET</t>
        </is>
      </c>
      <c r="C35" s="18" t="n">
        <v>494.25</v>
      </c>
      <c r="D35" s="18" t="n">
        <v>463.16</v>
      </c>
      <c r="E35" s="18" t="n">
        <v>443.64</v>
      </c>
      <c r="F35" s="18" t="n">
        <v>484.52</v>
      </c>
      <c r="G35" s="19">
        <f>HYPERLINK("https://www.tradingview.com/chart/?symbol=NSE:TEJASNET","Chart 📈")</f>
        <v/>
      </c>
    </row>
    <row r="36" ht="16" customHeight="1">
      <c r="A36" s="12" t="inlineStr">
        <is>
          <t>NIFTY ENERGY</t>
        </is>
      </c>
      <c r="B36" s="13" t="inlineStr">
        <is>
          <t>ABB</t>
        </is>
      </c>
      <c r="C36" s="14" t="n">
        <v>7219</v>
      </c>
      <c r="D36" s="14" t="n">
        <v>6757.64</v>
      </c>
      <c r="E36" s="14" t="n">
        <v>6612.05</v>
      </c>
      <c r="F36" s="14" t="n">
        <v>5964.74</v>
      </c>
      <c r="G36" s="15">
        <f>HYPERLINK("https://www.tradingview.com/chart/?symbol=NSE:ABB","Chart 📈")</f>
        <v/>
      </c>
    </row>
    <row r="37" ht="16" customHeight="1">
      <c r="A37" s="16" t="inlineStr">
        <is>
          <t>NIFTY ENERGY</t>
        </is>
      </c>
      <c r="B37" s="13" t="inlineStr">
        <is>
          <t>ADANIENSOL</t>
        </is>
      </c>
      <c r="C37" s="14" t="n">
        <v>1540.1</v>
      </c>
      <c r="D37" s="14" t="n">
        <v>1363.76</v>
      </c>
      <c r="E37" s="14" t="n">
        <v>1259.51</v>
      </c>
      <c r="F37" s="14" t="n">
        <v>1058.56</v>
      </c>
      <c r="G37" s="15">
        <f>HYPERLINK("https://www.tradingview.com/chart/?symbol=NSE:ADANIENSOL","Chart 📈")</f>
        <v/>
      </c>
    </row>
    <row r="38" ht="16" customHeight="1">
      <c r="A38" s="16" t="inlineStr">
        <is>
          <t>NIFTY ENERGY</t>
        </is>
      </c>
      <c r="B38" s="13" t="inlineStr">
        <is>
          <t>ADANIGREEN</t>
        </is>
      </c>
      <c r="C38" s="14" t="n">
        <v>1489.9</v>
      </c>
      <c r="D38" s="14" t="n">
        <v>1349.29</v>
      </c>
      <c r="E38" s="14" t="n">
        <v>1213.7</v>
      </c>
      <c r="F38" s="14" t="n">
        <v>1060.27</v>
      </c>
      <c r="G38" s="15">
        <f>HYPERLINK("https://www.tradingview.com/chart/?symbol=NSE:ADANIGREEN","Chart 📈")</f>
        <v/>
      </c>
    </row>
    <row r="39" ht="16" customHeight="1">
      <c r="A39" s="16" t="inlineStr">
        <is>
          <t>NIFTY ENERGY</t>
        </is>
      </c>
      <c r="B39" s="13" t="inlineStr">
        <is>
          <t>ADANIPOWER</t>
        </is>
      </c>
      <c r="C39" s="14" t="n">
        <v>248.91</v>
      </c>
      <c r="D39" s="14" t="n">
        <v>222.93</v>
      </c>
      <c r="E39" s="14" t="n">
        <v>201.79</v>
      </c>
      <c r="F39" s="14" t="n">
        <v>161.44</v>
      </c>
      <c r="G39" s="15">
        <f>HYPERLINK("https://www.tradingview.com/chart/?symbol=NSE:ADANIPOWER","Chart 📈")</f>
        <v/>
      </c>
    </row>
    <row r="40" ht="16" customHeight="1">
      <c r="A40" s="16" t="inlineStr">
        <is>
          <t>NIFTY ENERGY</t>
        </is>
      </c>
      <c r="B40" s="13" t="inlineStr">
        <is>
          <t>BHEL</t>
        </is>
      </c>
      <c r="C40" s="14" t="n">
        <v>422.35</v>
      </c>
      <c r="D40" s="14" t="n">
        <v>392.62</v>
      </c>
      <c r="E40" s="14" t="n">
        <v>349.7</v>
      </c>
      <c r="F40" s="14" t="n">
        <v>291.04</v>
      </c>
      <c r="G40" s="15">
        <f>HYPERLINK("https://www.tradingview.com/chart/?symbol=NSE:BHEL","Chart 📈")</f>
        <v/>
      </c>
    </row>
    <row r="41" ht="16" customHeight="1">
      <c r="A41" s="16" t="inlineStr">
        <is>
          <t>NIFTY ENERGY</t>
        </is>
      </c>
      <c r="B41" s="13" t="inlineStr">
        <is>
          <t>CESC</t>
        </is>
      </c>
      <c r="C41" s="14" t="n">
        <v>185.87</v>
      </c>
      <c r="D41" s="14" t="n">
        <v>181.25</v>
      </c>
      <c r="E41" s="14" t="n">
        <v>174.62</v>
      </c>
      <c r="F41" s="14" t="n">
        <v>166.15</v>
      </c>
      <c r="G41" s="15">
        <f>HYPERLINK("https://www.tradingview.com/chart/?symbol=NSE:CESC","Chart 📈")</f>
        <v/>
      </c>
    </row>
    <row r="42" ht="16" customHeight="1">
      <c r="A42" s="16" t="inlineStr">
        <is>
          <t>NIFTY ENERGY</t>
        </is>
      </c>
      <c r="B42" s="13" t="inlineStr">
        <is>
          <t>CGPOWER</t>
        </is>
      </c>
      <c r="C42" s="14" t="n">
        <v>934.8</v>
      </c>
      <c r="D42" s="14" t="n">
        <v>847.48</v>
      </c>
      <c r="E42" s="14" t="n">
        <v>797.03</v>
      </c>
      <c r="F42" s="14" t="n">
        <v>725</v>
      </c>
      <c r="G42" s="15">
        <f>HYPERLINK("https://www.tradingview.com/chart/?symbol=NSE:CGPOWER","Chart 📈")</f>
        <v/>
      </c>
    </row>
    <row r="43" ht="16" customHeight="1">
      <c r="A43" s="16" t="inlineStr">
        <is>
          <t>NIFTY ENERGY</t>
        </is>
      </c>
      <c r="B43" s="13" t="inlineStr">
        <is>
          <t>COALINDIA</t>
        </is>
      </c>
      <c r="C43" s="14" t="n">
        <v>463.05</v>
      </c>
      <c r="D43" s="14" t="n">
        <v>460.13</v>
      </c>
      <c r="E43" s="14" t="n">
        <v>453.89</v>
      </c>
      <c r="F43" s="14" t="n">
        <v>418.85</v>
      </c>
      <c r="G43" s="15">
        <f>HYPERLINK("https://www.tradingview.com/chart/?symbol=NSE:COALINDIA","Chart 📈")</f>
        <v/>
      </c>
    </row>
    <row r="44" ht="16" customHeight="1">
      <c r="A44" s="16" t="inlineStr">
        <is>
          <t>NIFTY ENERGY</t>
        </is>
      </c>
      <c r="B44" s="13" t="inlineStr">
        <is>
          <t>GVT&amp;D</t>
        </is>
      </c>
      <c r="C44" s="14" t="n">
        <v>5097.7</v>
      </c>
      <c r="D44" s="14" t="n">
        <v>4594.65</v>
      </c>
      <c r="E44" s="14" t="n">
        <v>4280.77</v>
      </c>
      <c r="F44" s="14" t="n">
        <v>3478.44</v>
      </c>
      <c r="G44" s="15">
        <f>HYPERLINK("https://www.tradingview.com/chart/?symbol=NSE:GVT&amp;D","Chart 📈")</f>
        <v/>
      </c>
    </row>
    <row r="45" ht="16" customHeight="1">
      <c r="A45" s="16" t="inlineStr">
        <is>
          <t>NIFTY ENERGY</t>
        </is>
      </c>
      <c r="B45" s="13" t="inlineStr">
        <is>
          <t>JPPOWER</t>
        </is>
      </c>
      <c r="C45" s="14" t="n">
        <v>22.87</v>
      </c>
      <c r="D45" s="14" t="n">
        <v>19.09</v>
      </c>
      <c r="E45" s="14" t="n">
        <v>18.1</v>
      </c>
      <c r="F45" s="14" t="n">
        <v>17.27</v>
      </c>
      <c r="G45" s="15">
        <f>HYPERLINK("https://www.tradingview.com/chart/?symbol=NSE:JPPOWER","Chart 📈")</f>
        <v/>
      </c>
    </row>
    <row r="46" ht="16" customHeight="1">
      <c r="A46" s="16" t="inlineStr">
        <is>
          <t>NIFTY ENERGY</t>
        </is>
      </c>
      <c r="B46" s="13" t="inlineStr">
        <is>
          <t>JSWENERGY</t>
        </is>
      </c>
      <c r="C46" s="14" t="n">
        <v>602.05</v>
      </c>
      <c r="D46" s="14" t="n">
        <v>550.25</v>
      </c>
      <c r="E46" s="14" t="n">
        <v>533.71</v>
      </c>
      <c r="F46" s="14" t="n">
        <v>511.75</v>
      </c>
      <c r="G46" s="15">
        <f>HYPERLINK("https://www.tradingview.com/chart/?symbol=NSE:JSWENERGY","Chart 📈")</f>
        <v/>
      </c>
    </row>
    <row r="47" ht="16" customHeight="1">
      <c r="A47" s="16" t="inlineStr">
        <is>
          <t>NIFTY ENERGY</t>
        </is>
      </c>
      <c r="B47" s="13" t="inlineStr">
        <is>
          <t>NHPC</t>
        </is>
      </c>
      <c r="C47" s="14" t="n">
        <v>80.68000000000001</v>
      </c>
      <c r="D47" s="14" t="n">
        <v>79.53</v>
      </c>
      <c r="E47" s="14" t="n">
        <v>79.15000000000001</v>
      </c>
      <c r="F47" s="14" t="n">
        <v>79.5</v>
      </c>
      <c r="G47" s="15">
        <f>HYPERLINK("https://www.tradingview.com/chart/?symbol=NSE:NHPC","Chart 📈")</f>
        <v/>
      </c>
    </row>
    <row r="48" ht="16" customHeight="1">
      <c r="A48" s="16" t="inlineStr">
        <is>
          <t>NIFTY ENERGY</t>
        </is>
      </c>
      <c r="B48" s="13" t="inlineStr">
        <is>
          <t>NLCINDIA</t>
        </is>
      </c>
      <c r="C48" s="14" t="n">
        <v>349.9</v>
      </c>
      <c r="D48" s="14" t="n">
        <v>335.65</v>
      </c>
      <c r="E48" s="14" t="n">
        <v>311.02</v>
      </c>
      <c r="F48" s="14" t="n">
        <v>271.09</v>
      </c>
      <c r="G48" s="15">
        <f>HYPERLINK("https://www.tradingview.com/chart/?symbol=NSE:NLCINDIA","Chart 📈")</f>
        <v/>
      </c>
    </row>
    <row r="49" ht="16" customHeight="1">
      <c r="A49" s="16" t="inlineStr">
        <is>
          <t>NIFTY ENERGY</t>
        </is>
      </c>
      <c r="B49" s="13" t="inlineStr">
        <is>
          <t>NTPC</t>
        </is>
      </c>
      <c r="C49" s="14" t="n">
        <v>398.15</v>
      </c>
      <c r="D49" s="14" t="n">
        <v>392.89</v>
      </c>
      <c r="E49" s="14" t="n">
        <v>387.53</v>
      </c>
      <c r="F49" s="14" t="n">
        <v>359.72</v>
      </c>
      <c r="G49" s="15">
        <f>HYPERLINK("https://www.tradingview.com/chart/?symbol=NSE:NTPC","Chart 📈")</f>
        <v/>
      </c>
    </row>
    <row r="50" ht="16" customHeight="1">
      <c r="A50" s="16" t="inlineStr">
        <is>
          <t>NIFTY ENERGY</t>
        </is>
      </c>
      <c r="B50" s="13" t="inlineStr">
        <is>
          <t>POWERINDIA</t>
        </is>
      </c>
      <c r="C50" s="14" t="n">
        <v>37550</v>
      </c>
      <c r="D50" s="14" t="n">
        <v>33973.73</v>
      </c>
      <c r="E50" s="14" t="n">
        <v>30770.43</v>
      </c>
      <c r="F50" s="14" t="n">
        <v>24094.06</v>
      </c>
      <c r="G50" s="15">
        <f>HYPERLINK("https://www.tradingview.com/chart/?symbol=NSE:POWERINDIA","Chart 📈")</f>
        <v/>
      </c>
    </row>
    <row r="51" ht="16" customHeight="1">
      <c r="A51" s="16" t="inlineStr">
        <is>
          <t>NIFTY ENERGY</t>
        </is>
      </c>
      <c r="B51" s="13" t="inlineStr">
        <is>
          <t>SCHNEIDER</t>
        </is>
      </c>
      <c r="C51" s="14" t="n">
        <v>1377.6</v>
      </c>
      <c r="D51" s="14" t="n">
        <v>1279.5</v>
      </c>
      <c r="E51" s="14" t="n">
        <v>1148.28</v>
      </c>
      <c r="F51" s="14" t="n">
        <v>920.53</v>
      </c>
      <c r="G51" s="15">
        <f>HYPERLINK("https://www.tradingview.com/chart/?symbol=NSE:SCHNEIDER","Chart 📈")</f>
        <v/>
      </c>
    </row>
    <row r="52" ht="16" customHeight="1">
      <c r="A52" s="16" t="inlineStr">
        <is>
          <t>NIFTY ENERGY</t>
        </is>
      </c>
      <c r="B52" s="13" t="inlineStr">
        <is>
          <t>SIEMENS</t>
        </is>
      </c>
      <c r="C52" s="14" t="n">
        <v>3878.7</v>
      </c>
      <c r="D52" s="14" t="n">
        <v>3689.65</v>
      </c>
      <c r="E52" s="14" t="n">
        <v>3559.27</v>
      </c>
      <c r="F52" s="14" t="n">
        <v>3318.81</v>
      </c>
      <c r="G52" s="15">
        <f>HYPERLINK("https://www.tradingview.com/chart/?symbol=NSE:SIEMENS","Chart 📈")</f>
        <v/>
      </c>
    </row>
    <row r="53" ht="16" customHeight="1">
      <c r="A53" s="16" t="inlineStr">
        <is>
          <t>NIFTY ENERGY</t>
        </is>
      </c>
      <c r="B53" s="13" t="inlineStr">
        <is>
          <t>SUZLON</t>
        </is>
      </c>
      <c r="C53" s="14" t="n">
        <v>57.53</v>
      </c>
      <c r="D53" s="14" t="n">
        <v>53.65</v>
      </c>
      <c r="E53" s="14" t="n">
        <v>51.18</v>
      </c>
      <c r="F53" s="14" t="n">
        <v>52.55</v>
      </c>
      <c r="G53" s="15">
        <f>HYPERLINK("https://www.tradingview.com/chart/?symbol=NSE:SUZLON","Chart 📈")</f>
        <v/>
      </c>
    </row>
    <row r="54" ht="16" customHeight="1">
      <c r="A54" s="16" t="inlineStr">
        <is>
          <t>NIFTY ENERGY</t>
        </is>
      </c>
      <c r="B54" s="13" t="inlineStr">
        <is>
          <t>TATAPOWER</t>
        </is>
      </c>
      <c r="C54" s="14" t="n">
        <v>425.8</v>
      </c>
      <c r="D54" s="14" t="n">
        <v>419.59</v>
      </c>
      <c r="E54" s="14" t="n">
        <v>413.54</v>
      </c>
      <c r="F54" s="14" t="n">
        <v>396.97</v>
      </c>
      <c r="G54" s="15">
        <f>HYPERLINK("https://www.tradingview.com/chart/?symbol=NSE:TATAPOWER","Chart 📈")</f>
        <v/>
      </c>
    </row>
    <row r="55" ht="16" customHeight="1">
      <c r="A55" s="16" t="inlineStr">
        <is>
          <t>NIFTY ENERGY</t>
        </is>
      </c>
      <c r="B55" s="13" t="inlineStr">
        <is>
          <t>THERMAX</t>
        </is>
      </c>
      <c r="C55" s="14" t="n">
        <v>4590.6</v>
      </c>
      <c r="D55" s="14" t="n">
        <v>4363.57</v>
      </c>
      <c r="E55" s="14" t="n">
        <v>4009.41</v>
      </c>
      <c r="F55" s="14" t="n">
        <v>3478.12</v>
      </c>
      <c r="G55" s="15">
        <f>HYPERLINK("https://www.tradingview.com/chart/?symbol=NSE:THERMAX","Chart 📈")</f>
        <v/>
      </c>
    </row>
    <row r="56" ht="16" customHeight="1">
      <c r="A56" s="16" t="inlineStr">
        <is>
          <t>NIFTY ENERGY</t>
        </is>
      </c>
      <c r="B56" s="13" t="inlineStr">
        <is>
          <t>TRITURBINE</t>
        </is>
      </c>
      <c r="C56" s="14" t="n">
        <v>719.15</v>
      </c>
      <c r="D56" s="14" t="n">
        <v>628.6900000000001</v>
      </c>
      <c r="E56" s="14" t="n">
        <v>571.1799999999999</v>
      </c>
      <c r="F56" s="14" t="n">
        <v>539.54</v>
      </c>
      <c r="G56" s="15">
        <f>HYPERLINK("https://www.tradingview.com/chart/?symbol=NSE:TRITURBINE","Chart 📈")</f>
        <v/>
      </c>
    </row>
    <row r="57" ht="16" customHeight="1">
      <c r="A57" s="8" t="inlineStr">
        <is>
          <t>NIFTY AUTO</t>
        </is>
      </c>
      <c r="B57" s="17" t="inlineStr">
        <is>
          <t>BAJAJ-AUTO</t>
        </is>
      </c>
      <c r="C57" s="18" t="n">
        <v>10808.5</v>
      </c>
      <c r="D57" s="18" t="n">
        <v>10344.93</v>
      </c>
      <c r="E57" s="18" t="n">
        <v>9990.57</v>
      </c>
      <c r="F57" s="18" t="n">
        <v>9404.549999999999</v>
      </c>
      <c r="G57" s="19">
        <f>HYPERLINK("https://www.tradingview.com/chart/?symbol=NSE:BAJAJ-AUTO","Chart 📈")</f>
        <v/>
      </c>
    </row>
    <row r="58" ht="16" customHeight="1">
      <c r="A58" s="20" t="inlineStr">
        <is>
          <t>NIFTY AUTO</t>
        </is>
      </c>
      <c r="B58" s="17" t="inlineStr">
        <is>
          <t>BHARATFORG</t>
        </is>
      </c>
      <c r="C58" s="18" t="n">
        <v>1938.6</v>
      </c>
      <c r="D58" s="18" t="n">
        <v>1903.98</v>
      </c>
      <c r="E58" s="18" t="n">
        <v>1844.74</v>
      </c>
      <c r="F58" s="18" t="n">
        <v>1590.26</v>
      </c>
      <c r="G58" s="19">
        <f>HYPERLINK("https://www.tradingview.com/chart/?symbol=NSE:BHARATFORG","Chart 📈")</f>
        <v/>
      </c>
    </row>
    <row r="59" ht="16" customHeight="1">
      <c r="A59" s="20" t="inlineStr">
        <is>
          <t>NIFTY AUTO</t>
        </is>
      </c>
      <c r="B59" s="17" t="inlineStr">
        <is>
          <t>EICHERMOT</t>
        </is>
      </c>
      <c r="C59" s="18" t="n">
        <v>7419</v>
      </c>
      <c r="D59" s="18" t="n">
        <v>7140.39</v>
      </c>
      <c r="E59" s="18" t="n">
        <v>7153</v>
      </c>
      <c r="F59" s="18" t="n">
        <v>6899.16</v>
      </c>
      <c r="G59" s="19">
        <f>HYPERLINK("https://www.tradingview.com/chart/?symbol=NSE:EICHERMOT","Chart 📈")</f>
        <v/>
      </c>
    </row>
    <row r="60" ht="16" customHeight="1">
      <c r="A60" s="20" t="inlineStr">
        <is>
          <t>NIFTY AUTO</t>
        </is>
      </c>
      <c r="B60" s="17" t="inlineStr">
        <is>
          <t>EXIDEIND</t>
        </is>
      </c>
      <c r="C60" s="18" t="n">
        <v>394.15</v>
      </c>
      <c r="D60" s="18" t="n">
        <v>351.88</v>
      </c>
      <c r="E60" s="18" t="n">
        <v>342.46</v>
      </c>
      <c r="F60" s="18" t="n">
        <v>353.27</v>
      </c>
      <c r="G60" s="19">
        <f>HYPERLINK("https://www.tradingview.com/chart/?symbol=NSE:EXIDEIND","Chart 📈")</f>
        <v/>
      </c>
    </row>
    <row r="61" ht="16" customHeight="1">
      <c r="A61" s="20" t="inlineStr">
        <is>
          <t>NIFTY AUTO</t>
        </is>
      </c>
      <c r="B61" s="17" t="inlineStr">
        <is>
          <t>MOTHERSON</t>
        </is>
      </c>
      <c r="C61" s="18" t="n">
        <v>142.41</v>
      </c>
      <c r="D61" s="18" t="n">
        <v>131.03</v>
      </c>
      <c r="E61" s="18" t="n">
        <v>125.93</v>
      </c>
      <c r="F61" s="18" t="n">
        <v>116.25</v>
      </c>
      <c r="G61" s="19">
        <f>HYPERLINK("https://www.tradingview.com/chart/?symbol=NSE:MOTHERSON","Chart 📈")</f>
        <v/>
      </c>
    </row>
    <row r="62" ht="16" customHeight="1">
      <c r="A62" s="12" t="inlineStr">
        <is>
          <t>NIFTY OIL &amp; GAS</t>
        </is>
      </c>
      <c r="B62" s="13" t="inlineStr">
        <is>
          <t>AEGISLOG</t>
        </is>
      </c>
      <c r="C62" s="14" t="n">
        <v>714</v>
      </c>
      <c r="D62" s="14" t="n">
        <v>702.09</v>
      </c>
      <c r="E62" s="14" t="n">
        <v>688.17</v>
      </c>
      <c r="F62" s="14" t="n">
        <v>712.9</v>
      </c>
      <c r="G62" s="15">
        <f>HYPERLINK("https://www.tradingview.com/chart/?symbol=NSE:AEGISLOG","Chart 📈")</f>
        <v/>
      </c>
    </row>
    <row r="63" ht="16" customHeight="1">
      <c r="A63" s="16" t="inlineStr">
        <is>
          <t>NIFTY OIL &amp; GAS</t>
        </is>
      </c>
      <c r="B63" s="13" t="inlineStr">
        <is>
          <t>ATGL</t>
        </is>
      </c>
      <c r="C63" s="14" t="n">
        <v>808.55</v>
      </c>
      <c r="D63" s="14" t="n">
        <v>650.03</v>
      </c>
      <c r="E63" s="14" t="n">
        <v>612.3200000000001</v>
      </c>
      <c r="F63" s="14" t="n">
        <v>596.95</v>
      </c>
      <c r="G63" s="15">
        <f>HYPERLINK("https://www.tradingview.com/chart/?symbol=NSE:ATGL","Chart 📈")</f>
        <v/>
      </c>
    </row>
    <row r="64" ht="16" customHeight="1">
      <c r="A64" s="16" t="inlineStr">
        <is>
          <t>NIFTY OIL &amp; GAS</t>
        </is>
      </c>
      <c r="B64" s="13" t="inlineStr">
        <is>
          <t>GAIL</t>
        </is>
      </c>
      <c r="C64" s="14" t="n">
        <v>169</v>
      </c>
      <c r="D64" s="14" t="n">
        <v>162.4</v>
      </c>
      <c r="E64" s="14" t="n">
        <v>160.02</v>
      </c>
      <c r="F64" s="14" t="n">
        <v>164.97</v>
      </c>
      <c r="G64" s="15">
        <f>HYPERLINK("https://www.tradingview.com/chart/?symbol=NSE:GAIL","Chart 📈")</f>
        <v/>
      </c>
    </row>
    <row r="65" ht="16" customHeight="1">
      <c r="A65" s="8" t="inlineStr">
        <is>
          <t>NIFTY MEDIA</t>
        </is>
      </c>
      <c r="B65" s="17" t="inlineStr">
        <is>
          <t>NAZARA</t>
        </is>
      </c>
      <c r="C65" s="18" t="n">
        <v>289.5</v>
      </c>
      <c r="D65" s="18" t="n">
        <v>280.33</v>
      </c>
      <c r="E65" s="18" t="n">
        <v>269.97</v>
      </c>
      <c r="F65" s="18" t="n">
        <v>273.69</v>
      </c>
      <c r="G65" s="19">
        <f>HYPERLINK("https://www.tradingview.com/chart/?symbol=NSE:NAZARA","Chart 📈")</f>
        <v/>
      </c>
    </row>
    <row r="66" ht="16" customHeight="1">
      <c r="A66" s="20" t="inlineStr">
        <is>
          <t>NIFTY MEDIA</t>
        </is>
      </c>
      <c r="B66" s="17" t="inlineStr">
        <is>
          <t>SAREGAMA</t>
        </is>
      </c>
      <c r="C66" s="18" t="n">
        <v>417.3</v>
      </c>
      <c r="D66" s="18" t="n">
        <v>380.83</v>
      </c>
      <c r="E66" s="18" t="n">
        <v>361.85</v>
      </c>
      <c r="F66" s="18" t="n">
        <v>391.49</v>
      </c>
      <c r="G66" s="19">
        <f>HYPERLINK("https://www.tradingview.com/chart/?symbol=NSE:SAREGAMA","Chart 📈")</f>
        <v/>
      </c>
    </row>
    <row r="67" ht="16" customHeight="1">
      <c r="A67" s="20" t="inlineStr">
        <is>
          <t>NIFTY MEDIA</t>
        </is>
      </c>
      <c r="B67" s="17" t="inlineStr">
        <is>
          <t>TIPSMUSIC</t>
        </is>
      </c>
      <c r="C67" s="18" t="n">
        <v>670.6</v>
      </c>
      <c r="D67" s="18" t="n">
        <v>645.79</v>
      </c>
      <c r="E67" s="18" t="n">
        <v>611.3099999999999</v>
      </c>
      <c r="F67" s="18" t="n">
        <v>577.5700000000001</v>
      </c>
      <c r="G67" s="19">
        <f>HYPERLINK("https://www.tradingview.com/chart/?symbol=NSE:TIPSMUSIC","Chart 📈")</f>
        <v/>
      </c>
    </row>
    <row r="68" ht="16" customHeight="1">
      <c r="A68" s="12" t="inlineStr">
        <is>
          <t>NIFTY FMCG</t>
        </is>
      </c>
      <c r="B68" s="13" t="inlineStr">
        <is>
          <t>BALRAMCHIN</t>
        </is>
      </c>
      <c r="C68" s="14" t="n">
        <v>530.2</v>
      </c>
      <c r="D68" s="14" t="n">
        <v>529.8</v>
      </c>
      <c r="E68" s="14" t="n">
        <v>512.36</v>
      </c>
      <c r="F68" s="14" t="n">
        <v>496.03</v>
      </c>
      <c r="G68" s="15">
        <f>HYPERLINK("https://www.tradingview.com/chart/?symbol=NSE:BALRAMCHIN","Chart 📈")</f>
        <v/>
      </c>
    </row>
    <row r="69" ht="16" customHeight="1">
      <c r="A69" s="16" t="inlineStr">
        <is>
          <t>NIFTY FMCG</t>
        </is>
      </c>
      <c r="B69" s="13" t="inlineStr">
        <is>
          <t>MARICO</t>
        </is>
      </c>
      <c r="C69" s="14" t="n">
        <v>833.8</v>
      </c>
      <c r="D69" s="14" t="n">
        <v>819.76</v>
      </c>
      <c r="E69" s="14" t="n">
        <v>796.6</v>
      </c>
      <c r="F69" s="14" t="n">
        <v>757.13</v>
      </c>
      <c r="G69" s="15">
        <f>HYPERLINK("https://www.tradingview.com/chart/?symbol=NSE:MARICO","Chart 📈")</f>
        <v/>
      </c>
    </row>
    <row r="70" ht="16" customHeight="1">
      <c r="A70" s="16" t="inlineStr">
        <is>
          <t>NIFTY FMCG</t>
        </is>
      </c>
      <c r="B70" s="13" t="inlineStr">
        <is>
          <t>NESTLEIND</t>
        </is>
      </c>
      <c r="C70" s="14" t="n">
        <v>1427.5</v>
      </c>
      <c r="D70" s="14" t="n">
        <v>1423.66</v>
      </c>
      <c r="E70" s="14" t="n">
        <v>1373.82</v>
      </c>
      <c r="F70" s="14" t="n">
        <v>1286.49</v>
      </c>
      <c r="G70" s="15">
        <f>HYPERLINK("https://www.tradingview.com/chart/?symbol=NSE:NESTLEIND","Chart 📈")</f>
        <v/>
      </c>
    </row>
    <row r="71" ht="16" customHeight="1">
      <c r="A71" s="16" t="inlineStr">
        <is>
          <t>NIFTY FMCG</t>
        </is>
      </c>
      <c r="B71" s="13" t="inlineStr">
        <is>
          <t>TATACONSUM</t>
        </is>
      </c>
      <c r="C71" s="14" t="n">
        <v>1204.6</v>
      </c>
      <c r="D71" s="14" t="n">
        <v>1183.91</v>
      </c>
      <c r="E71" s="14" t="n">
        <v>1153.36</v>
      </c>
      <c r="F71" s="14" t="n">
        <v>1131.49</v>
      </c>
      <c r="G71" s="15">
        <f>HYPERLINK("https://www.tradingview.com/chart/?symbol=NSE:TATACONSUM","Chart 📈")</f>
        <v/>
      </c>
    </row>
    <row r="72" ht="16" customHeight="1">
      <c r="A72" s="16" t="inlineStr">
        <is>
          <t>NIFTY FMCG</t>
        </is>
      </c>
      <c r="B72" s="13" t="inlineStr">
        <is>
          <t>VBL</t>
        </is>
      </c>
      <c r="C72" s="14" t="n">
        <v>534.5</v>
      </c>
      <c r="D72" s="14" t="n">
        <v>511.23</v>
      </c>
      <c r="E72" s="14" t="n">
        <v>486.19</v>
      </c>
      <c r="F72" s="14" t="n">
        <v>470.83</v>
      </c>
      <c r="G72" s="15">
        <f>HYPERLINK("https://www.tradingview.com/chart/?symbol=NSE:VBL","Chart 📈")</f>
        <v/>
      </c>
    </row>
    <row r="73" ht="16" customHeight="1">
      <c r="A73" s="8" t="inlineStr">
        <is>
          <t>NIFTY FINANCIAL SERVICES</t>
        </is>
      </c>
      <c r="B73" s="17" t="inlineStr">
        <is>
          <t>AXISBANK</t>
        </is>
      </c>
      <c r="C73" s="18" t="n">
        <v>1304.1</v>
      </c>
      <c r="D73" s="18" t="n">
        <v>1279.53</v>
      </c>
      <c r="E73" s="18" t="n">
        <v>1285.23</v>
      </c>
      <c r="F73" s="18" t="n">
        <v>1257.55</v>
      </c>
      <c r="G73" s="19">
        <f>HYPERLINK("https://www.tradingview.com/chart/?symbol=NSE:AXISBANK","Chart 📈")</f>
        <v/>
      </c>
    </row>
    <row r="74" ht="16" customHeight="1">
      <c r="A74" s="20" t="inlineStr">
        <is>
          <t>NIFTY FINANCIAL SERVICES</t>
        </is>
      </c>
      <c r="B74" s="17" t="inlineStr">
        <is>
          <t>HDFCAMC</t>
        </is>
      </c>
      <c r="C74" s="18" t="n">
        <v>2716.3</v>
      </c>
      <c r="D74" s="18" t="n">
        <v>2711.13</v>
      </c>
      <c r="E74" s="18" t="n">
        <v>2667.41</v>
      </c>
      <c r="F74" s="18" t="n">
        <v>2629.41</v>
      </c>
      <c r="G74" s="19">
        <f>HYPERLINK("https://www.tradingview.com/chart/?symbol=NSE:HDFCAMC","Chart 📈")</f>
        <v/>
      </c>
    </row>
    <row r="75" ht="16" customHeight="1">
      <c r="A75" s="20" t="inlineStr">
        <is>
          <t>NIFTY FINANCIAL SERVICES</t>
        </is>
      </c>
      <c r="B75" s="17" t="inlineStr">
        <is>
          <t>LICHSGFIN</t>
        </is>
      </c>
      <c r="C75" s="18" t="n">
        <v>556.45</v>
      </c>
      <c r="D75" s="18" t="n">
        <v>551.3200000000001</v>
      </c>
      <c r="E75" s="18" t="n">
        <v>543.1799999999999</v>
      </c>
      <c r="F75" s="18" t="n">
        <v>546.46</v>
      </c>
      <c r="G75" s="19">
        <f>HYPERLINK("https://www.tradingview.com/chart/?symbol=NSE:LICHSGFIN","Chart 📈")</f>
        <v/>
      </c>
    </row>
    <row r="76" ht="16" customHeight="1">
      <c r="A76" s="12" t="inlineStr">
        <is>
          <t>NIFTY PSU BANK</t>
        </is>
      </c>
      <c r="B76" s="13" t="inlineStr">
        <is>
          <t>BANKINDIA</t>
        </is>
      </c>
      <c r="C76" s="14" t="n">
        <v>147</v>
      </c>
      <c r="D76" s="14" t="n">
        <v>142.71</v>
      </c>
      <c r="E76" s="14" t="n">
        <v>145.56</v>
      </c>
      <c r="F76" s="14" t="n">
        <v>141.63</v>
      </c>
      <c r="G76" s="15">
        <f>HYPERLINK("https://www.tradingview.com/chart/?symbol=NSE:BANKINDIA","Chart 📈")</f>
        <v/>
      </c>
    </row>
    <row r="77" ht="16" customHeight="1">
      <c r="A77" s="16" t="inlineStr">
        <is>
          <t>NIFTY PSU BANK</t>
        </is>
      </c>
      <c r="B77" s="13" t="inlineStr">
        <is>
          <t>MAHABANK</t>
        </is>
      </c>
      <c r="C77" s="14" t="n">
        <v>80.08</v>
      </c>
      <c r="D77" s="14" t="n">
        <v>79.13</v>
      </c>
      <c r="E77" s="14" t="n">
        <v>75.48999999999999</v>
      </c>
      <c r="F77" s="14" t="n">
        <v>65.40000000000001</v>
      </c>
      <c r="G77" s="15">
        <f>HYPERLINK("https://www.tradingview.com/chart/?symbol=NSE:MAHABANK","Chart 📈")</f>
        <v/>
      </c>
    </row>
    <row r="78" ht="16" customHeight="1">
      <c r="A78" s="8" t="inlineStr">
        <is>
          <t>NIFTY CONSUMER DURABLES</t>
        </is>
      </c>
      <c r="B78" s="17" t="inlineStr">
        <is>
          <t>CERA</t>
        </is>
      </c>
      <c r="C78" s="18" t="n">
        <v>5797.5</v>
      </c>
      <c r="D78" s="18" t="n">
        <v>5633.59</v>
      </c>
      <c r="E78" s="18" t="n">
        <v>5399.62</v>
      </c>
      <c r="F78" s="18" t="n">
        <v>5526.93</v>
      </c>
      <c r="G78" s="19">
        <f>HYPERLINK("https://www.tradingview.com/chart/?symbol=NSE:CERA","Chart 📈")</f>
        <v/>
      </c>
    </row>
    <row r="79" ht="16" customHeight="1">
      <c r="A79" s="20" t="inlineStr">
        <is>
          <t>NIFTY CONSUMER DURABLES</t>
        </is>
      </c>
      <c r="B79" s="17" t="inlineStr">
        <is>
          <t>CROMPTON</t>
        </is>
      </c>
      <c r="C79" s="18" t="n">
        <v>288.25</v>
      </c>
      <c r="D79" s="18" t="n">
        <v>285.04</v>
      </c>
      <c r="E79" s="18" t="n">
        <v>271.73</v>
      </c>
      <c r="F79" s="18" t="n">
        <v>277.62</v>
      </c>
      <c r="G79" s="19">
        <f>HYPERLINK("https://www.tradingview.com/chart/?symbol=NSE:CROMPTON","Chart 📈")</f>
        <v/>
      </c>
    </row>
    <row r="80" ht="16" customHeight="1">
      <c r="A80" s="12" t="inlineStr">
        <is>
          <t>NIFTY BANK</t>
        </is>
      </c>
      <c r="B80" s="13" t="inlineStr">
        <is>
          <t>AUBANK</t>
        </is>
      </c>
      <c r="C80" s="14" t="n">
        <v>1005</v>
      </c>
      <c r="D80" s="14" t="n">
        <v>995.9400000000001</v>
      </c>
      <c r="E80" s="14" t="n">
        <v>985.39</v>
      </c>
      <c r="F80" s="14" t="n">
        <v>916.8200000000001</v>
      </c>
      <c r="G80" s="15">
        <f>HYPERLINK("https://www.tradingview.com/chart/?symbol=NSE:AUBANK","Chart 📈")</f>
        <v/>
      </c>
    </row>
    <row r="81" ht="16" customHeight="1">
      <c r="A81" s="16" t="inlineStr">
        <is>
          <t>NIFTY BANK</t>
        </is>
      </c>
      <c r="B81" s="13" t="inlineStr">
        <is>
          <t>FEDERALBNK</t>
        </is>
      </c>
      <c r="C81" s="14" t="n">
        <v>288.9</v>
      </c>
      <c r="D81" s="14" t="n">
        <v>287.49</v>
      </c>
      <c r="E81" s="14" t="n">
        <v>284.75</v>
      </c>
      <c r="F81" s="14" t="n">
        <v>259.49</v>
      </c>
      <c r="G81" s="15">
        <f>HYPERLINK("https://www.tradingview.com/chart/?symbol=NSE:FEDERALBNK","Chart 📈")</f>
        <v/>
      </c>
    </row>
    <row r="82" ht="16" customHeight="1">
      <c r="A82" s="16" t="inlineStr">
        <is>
          <t>NIFTY BANK</t>
        </is>
      </c>
      <c r="B82" s="13" t="inlineStr">
        <is>
          <t>INDUSINDBK</t>
        </is>
      </c>
      <c r="C82" s="14" t="n">
        <v>932.3</v>
      </c>
      <c r="D82" s="14" t="n">
        <v>906.01</v>
      </c>
      <c r="E82" s="14" t="n">
        <v>888.58</v>
      </c>
      <c r="F82" s="14" t="n">
        <v>858.71</v>
      </c>
      <c r="G82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2026-05-27T14:36:49Z</dcterms:created>
  <dcterms:modified xsi:type="dcterms:W3CDTF">2026-05-27T14:36:49Z</dcterms:modified>
</cp:coreProperties>
</file>