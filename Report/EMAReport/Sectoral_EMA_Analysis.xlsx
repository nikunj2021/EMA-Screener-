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11-Jun-2026  14:45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12</v>
      </c>
      <c r="D4" s="5" t="n">
        <v>14</v>
      </c>
      <c r="E4" s="5" t="n">
        <v>15</v>
      </c>
      <c r="F4" s="6" t="n">
        <v>0.6</v>
      </c>
      <c r="G4" s="6" t="n">
        <v>0.7</v>
      </c>
      <c r="H4" s="6" t="n">
        <v>0.75</v>
      </c>
      <c r="I4" s="7" t="n">
        <v>0.6833</v>
      </c>
    </row>
    <row r="5" ht="17" customHeight="1">
      <c r="A5" s="8" t="inlineStr">
        <is>
          <t>NIFTY PSU BANK</t>
        </is>
      </c>
      <c r="B5" s="9" t="n">
        <v>12</v>
      </c>
      <c r="C5" s="9" t="n">
        <v>6</v>
      </c>
      <c r="D5" s="9" t="n">
        <v>3</v>
      </c>
      <c r="E5" s="9" t="n">
        <v>6</v>
      </c>
      <c r="F5" s="10" t="n">
        <v>0.5</v>
      </c>
      <c r="G5" s="10" t="n">
        <v>0.25</v>
      </c>
      <c r="H5" s="10" t="n">
        <v>0.5</v>
      </c>
      <c r="I5" s="11" t="n">
        <v>0.4167</v>
      </c>
    </row>
    <row r="6" ht="17" customHeight="1">
      <c r="A6" s="4" t="inlineStr">
        <is>
          <t>NIFTY AUTO</t>
        </is>
      </c>
      <c r="B6" s="5" t="n">
        <v>15</v>
      </c>
      <c r="C6" s="5" t="n">
        <v>5</v>
      </c>
      <c r="D6" s="5" t="n">
        <v>7</v>
      </c>
      <c r="E6" s="5" t="n">
        <v>6</v>
      </c>
      <c r="F6" s="6" t="n">
        <v>0.333</v>
      </c>
      <c r="G6" s="6" t="n">
        <v>0.467</v>
      </c>
      <c r="H6" s="6" t="n">
        <v>0.4</v>
      </c>
      <c r="I6" s="7" t="n">
        <v>0.4</v>
      </c>
    </row>
    <row r="7" ht="17" customHeight="1">
      <c r="A7" s="8" t="inlineStr">
        <is>
          <t>NIFTY METAL</t>
        </is>
      </c>
      <c r="B7" s="9" t="n">
        <v>15</v>
      </c>
      <c r="C7" s="9" t="n">
        <v>3</v>
      </c>
      <c r="D7" s="9" t="n">
        <v>4</v>
      </c>
      <c r="E7" s="9" t="n">
        <v>10</v>
      </c>
      <c r="F7" s="10" t="n">
        <v>0.2</v>
      </c>
      <c r="G7" s="10" t="n">
        <v>0.267</v>
      </c>
      <c r="H7" s="10" t="n">
        <v>0.667</v>
      </c>
      <c r="I7" s="11" t="n">
        <v>0.3779999999999999</v>
      </c>
    </row>
    <row r="8" ht="17" customHeight="1">
      <c r="A8" s="4" t="inlineStr">
        <is>
          <t>NIFTY MEDIA</t>
        </is>
      </c>
      <c r="B8" s="5" t="n">
        <v>10</v>
      </c>
      <c r="C8" s="5" t="n">
        <v>3</v>
      </c>
      <c r="D8" s="5" t="n">
        <v>4</v>
      </c>
      <c r="E8" s="5" t="n">
        <v>4</v>
      </c>
      <c r="F8" s="6" t="n">
        <v>0.3</v>
      </c>
      <c r="G8" s="6" t="n">
        <v>0.4</v>
      </c>
      <c r="H8" s="6" t="n">
        <v>0.4</v>
      </c>
      <c r="I8" s="7" t="n">
        <v>0.3667</v>
      </c>
    </row>
    <row r="9" ht="17" customHeight="1">
      <c r="A9" s="8" t="inlineStr">
        <is>
          <t>NIFTY MIDSMALL IT &amp; TELECOM</t>
        </is>
      </c>
      <c r="B9" s="9" t="n">
        <v>20</v>
      </c>
      <c r="C9" s="9" t="n">
        <v>5</v>
      </c>
      <c r="D9" s="9" t="n">
        <v>8</v>
      </c>
      <c r="E9" s="9" t="n">
        <v>6</v>
      </c>
      <c r="F9" s="10" t="n">
        <v>0.25</v>
      </c>
      <c r="G9" s="10" t="n">
        <v>0.4</v>
      </c>
      <c r="H9" s="10" t="n">
        <v>0.3</v>
      </c>
      <c r="I9" s="11" t="n">
        <v>0.3167</v>
      </c>
    </row>
    <row r="10" ht="17" customHeight="1">
      <c r="A10" s="4" t="inlineStr">
        <is>
          <t>NIFTY FMCG</t>
        </is>
      </c>
      <c r="B10" s="5" t="n">
        <v>15</v>
      </c>
      <c r="C10" s="5" t="n">
        <v>2</v>
      </c>
      <c r="D10" s="5" t="n">
        <v>5</v>
      </c>
      <c r="E10" s="5" t="n">
        <v>5</v>
      </c>
      <c r="F10" s="6" t="n">
        <v>0.133</v>
      </c>
      <c r="G10" s="6" t="n">
        <v>0.333</v>
      </c>
      <c r="H10" s="6" t="n">
        <v>0.333</v>
      </c>
      <c r="I10" s="7" t="n">
        <v>0.2663</v>
      </c>
    </row>
    <row r="11" ht="17" customHeight="1">
      <c r="A11" s="8" t="inlineStr">
        <is>
          <t>NIFTY ENERGY</t>
        </is>
      </c>
      <c r="B11" s="9" t="n">
        <v>40</v>
      </c>
      <c r="C11" s="9" t="n">
        <v>2</v>
      </c>
      <c r="D11" s="9" t="n">
        <v>11</v>
      </c>
      <c r="E11" s="9" t="n">
        <v>18</v>
      </c>
      <c r="F11" s="10" t="n">
        <v>0.05</v>
      </c>
      <c r="G11" s="10" t="n">
        <v>0.275</v>
      </c>
      <c r="H11" s="10" t="n">
        <v>0.45</v>
      </c>
      <c r="I11" s="11" t="n">
        <v>0.2583</v>
      </c>
    </row>
    <row r="12" ht="17" customHeight="1">
      <c r="A12" s="4" t="inlineStr">
        <is>
          <t>NIFTY BANK</t>
        </is>
      </c>
      <c r="B12" s="5" t="n">
        <v>12</v>
      </c>
      <c r="C12" s="5" t="n">
        <v>2</v>
      </c>
      <c r="D12" s="5" t="n">
        <v>2</v>
      </c>
      <c r="E12" s="5" t="n">
        <v>4</v>
      </c>
      <c r="F12" s="6" t="n">
        <v>0.167</v>
      </c>
      <c r="G12" s="6" t="n">
        <v>0.167</v>
      </c>
      <c r="H12" s="6" t="n">
        <v>0.333</v>
      </c>
      <c r="I12" s="7" t="n">
        <v>0.2223</v>
      </c>
    </row>
    <row r="13" ht="17" customHeight="1">
      <c r="A13" s="8" t="inlineStr">
        <is>
          <t>NIFTY OIL &amp; GAS</t>
        </is>
      </c>
      <c r="B13" s="9" t="n">
        <v>15</v>
      </c>
      <c r="C13" s="9" t="n">
        <v>3</v>
      </c>
      <c r="D13" s="9" t="n">
        <v>3</v>
      </c>
      <c r="E13" s="9" t="n">
        <v>3</v>
      </c>
      <c r="F13" s="10" t="n">
        <v>0.2</v>
      </c>
      <c r="G13" s="10" t="n">
        <v>0.2</v>
      </c>
      <c r="H13" s="10" t="n">
        <v>0.2</v>
      </c>
      <c r="I13" s="11" t="n">
        <v>0.2</v>
      </c>
    </row>
    <row r="14" ht="17" customHeight="1">
      <c r="A14" s="4" t="inlineStr">
        <is>
          <t>NIFTY CONSUMER DURABLES</t>
        </is>
      </c>
      <c r="B14" s="5" t="n">
        <v>15</v>
      </c>
      <c r="C14" s="5" t="n">
        <v>1</v>
      </c>
      <c r="D14" s="5" t="n">
        <v>3</v>
      </c>
      <c r="E14" s="5" t="n">
        <v>3</v>
      </c>
      <c r="F14" s="6" t="n">
        <v>0.067</v>
      </c>
      <c r="G14" s="6" t="n">
        <v>0.2</v>
      </c>
      <c r="H14" s="6" t="n">
        <v>0.2</v>
      </c>
      <c r="I14" s="7" t="n">
        <v>0.1557</v>
      </c>
    </row>
    <row r="15" ht="17" customHeight="1">
      <c r="A15" s="8" t="inlineStr">
        <is>
          <t>NIFTY FINANCIAL SERVICES</t>
        </is>
      </c>
      <c r="B15" s="9" t="n">
        <v>20</v>
      </c>
      <c r="C15" s="9" t="n">
        <v>3</v>
      </c>
      <c r="D15" s="9" t="n">
        <v>3</v>
      </c>
      <c r="E15" s="9" t="n">
        <v>3</v>
      </c>
      <c r="F15" s="10" t="n">
        <v>0.15</v>
      </c>
      <c r="G15" s="10" t="n">
        <v>0.15</v>
      </c>
      <c r="H15" s="10" t="n">
        <v>0.15</v>
      </c>
      <c r="I15" s="11" t="n">
        <v>0.15</v>
      </c>
    </row>
    <row r="16" ht="17" customHeight="1">
      <c r="A16" s="4" t="inlineStr">
        <is>
          <t>NIFTY REALTY</t>
        </is>
      </c>
      <c r="B16" s="5" t="n">
        <v>10</v>
      </c>
      <c r="C16" s="5" t="n">
        <v>1</v>
      </c>
      <c r="D16" s="5" t="n">
        <v>1</v>
      </c>
      <c r="E16" s="5" t="n">
        <v>2</v>
      </c>
      <c r="F16" s="6" t="n">
        <v>0.1</v>
      </c>
      <c r="G16" s="6" t="n">
        <v>0.1</v>
      </c>
      <c r="H16" s="6" t="n">
        <v>0.2</v>
      </c>
      <c r="I16" s="7" t="n">
        <v>0.1333</v>
      </c>
    </row>
    <row r="17" ht="17" customHeight="1">
      <c r="A17" s="8" t="inlineStr">
        <is>
          <t>NIFTY IT</t>
        </is>
      </c>
      <c r="B17" s="9" t="n">
        <v>10</v>
      </c>
      <c r="C17" s="9" t="n">
        <v>0</v>
      </c>
      <c r="D17" s="9" t="n">
        <v>1</v>
      </c>
      <c r="E17" s="9" t="n">
        <v>0</v>
      </c>
      <c r="F17" s="10" t="n">
        <v>0</v>
      </c>
      <c r="G17" s="10" t="n">
        <v>0.1</v>
      </c>
      <c r="H17" s="10" t="n">
        <v>0</v>
      </c>
      <c r="I17" s="11" t="n">
        <v>0.0333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AJANTPHARM</t>
        </is>
      </c>
      <c r="C3" s="14" t="n">
        <v>3143.4</v>
      </c>
      <c r="D3" s="14" t="n">
        <v>3023.33</v>
      </c>
      <c r="E3" s="14" t="n">
        <v>2980.63</v>
      </c>
      <c r="F3" s="14" t="n">
        <v>2810.57</v>
      </c>
      <c r="G3" s="15">
        <f>HYPERLINK("https://www.tradingview.com/chart/?symbol=NSE:AJANTPHARM","Chart 📈")</f>
        <v/>
      </c>
    </row>
    <row r="4" ht="16" customHeight="1">
      <c r="A4" s="16" t="inlineStr">
        <is>
          <t>NIFTY PHARMA</t>
        </is>
      </c>
      <c r="B4" s="13" t="inlineStr">
        <is>
          <t>AUROPHARMA</t>
        </is>
      </c>
      <c r="C4" s="14" t="n">
        <v>1464.1</v>
      </c>
      <c r="D4" s="14" t="n">
        <v>1454.33</v>
      </c>
      <c r="E4" s="14" t="n">
        <v>1417.95</v>
      </c>
      <c r="F4" s="14" t="n">
        <v>1278.15</v>
      </c>
      <c r="G4" s="15">
        <f>HYPERLINK("https://www.tradingview.com/chart/?symbol=NSE:AUROPHARMA","Chart 📈")</f>
        <v/>
      </c>
    </row>
    <row r="5" ht="16" customHeight="1">
      <c r="A5" s="16" t="inlineStr">
        <is>
          <t>NIFTY PHARMA</t>
        </is>
      </c>
      <c r="B5" s="13" t="inlineStr">
        <is>
          <t>BIOCON</t>
        </is>
      </c>
      <c r="C5" s="14" t="n">
        <v>415.95</v>
      </c>
      <c r="D5" s="14" t="n">
        <v>414.64</v>
      </c>
      <c r="E5" s="14" t="n">
        <v>400.44</v>
      </c>
      <c r="F5" s="14" t="n">
        <v>381.78</v>
      </c>
      <c r="G5" s="15">
        <f>HYPERLINK("https://www.tradingview.com/chart/?symbol=NSE:BIOCON","Chart 📈")</f>
        <v/>
      </c>
    </row>
    <row r="6" ht="16" customHeight="1">
      <c r="A6" s="16" t="inlineStr">
        <is>
          <t>NIFTY PHARMA</t>
        </is>
      </c>
      <c r="B6" s="13" t="inlineStr">
        <is>
          <t>GLAND</t>
        </is>
      </c>
      <c r="C6" s="14" t="n">
        <v>2306.5</v>
      </c>
      <c r="D6" s="14" t="n">
        <v>2207.37</v>
      </c>
      <c r="E6" s="14" t="n">
        <v>2043.83</v>
      </c>
      <c r="F6" s="14" t="n">
        <v>1863.82</v>
      </c>
      <c r="G6" s="15">
        <f>HYPERLINK("https://www.tradingview.com/chart/?symbol=NSE:GLAND","Chart 📈")</f>
        <v/>
      </c>
    </row>
    <row r="7" ht="16" customHeight="1">
      <c r="A7" s="16" t="inlineStr">
        <is>
          <t>NIFTY PHARMA</t>
        </is>
      </c>
      <c r="B7" s="13" t="inlineStr">
        <is>
          <t>GRANULES</t>
        </is>
      </c>
      <c r="C7" s="14" t="n">
        <v>763.15</v>
      </c>
      <c r="D7" s="14" t="n">
        <v>762.3099999999999</v>
      </c>
      <c r="E7" s="14" t="n">
        <v>721.51</v>
      </c>
      <c r="F7" s="14" t="n">
        <v>623.6799999999999</v>
      </c>
      <c r="G7" s="15">
        <f>HYPERLINK("https://www.tradingview.com/chart/?symbol=NSE:GRANULES","Chart 📈")</f>
        <v/>
      </c>
    </row>
    <row r="8" ht="16" customHeight="1">
      <c r="A8" s="16" t="inlineStr">
        <is>
          <t>NIFTY PHARMA</t>
        </is>
      </c>
      <c r="B8" s="13" t="inlineStr">
        <is>
          <t>IPCALAB</t>
        </is>
      </c>
      <c r="C8" s="14" t="n">
        <v>1613.6</v>
      </c>
      <c r="D8" s="14" t="n">
        <v>1590</v>
      </c>
      <c r="E8" s="14" t="n">
        <v>1559.53</v>
      </c>
      <c r="F8" s="14" t="n">
        <v>1481.25</v>
      </c>
      <c r="G8" s="15">
        <f>HYPERLINK("https://www.tradingview.com/chart/?symbol=NSE:IPCALAB","Chart 📈")</f>
        <v/>
      </c>
    </row>
    <row r="9" ht="16" customHeight="1">
      <c r="A9" s="16" t="inlineStr">
        <is>
          <t>NIFTY PHARMA</t>
        </is>
      </c>
      <c r="B9" s="13" t="inlineStr">
        <is>
          <t>JBCHEPHARM</t>
        </is>
      </c>
      <c r="C9" s="14" t="n">
        <v>2252.7</v>
      </c>
      <c r="D9" s="14" t="n">
        <v>2166.47</v>
      </c>
      <c r="E9" s="14" t="n">
        <v>2111.71</v>
      </c>
      <c r="F9" s="14" t="n">
        <v>1935.89</v>
      </c>
      <c r="G9" s="15">
        <f>HYPERLINK("https://www.tradingview.com/chart/?symbol=NSE:JBCHEPHARM","Chart 📈")</f>
        <v/>
      </c>
    </row>
    <row r="10" ht="16" customHeight="1">
      <c r="A10" s="16" t="inlineStr">
        <is>
          <t>NIFTY PHARMA</t>
        </is>
      </c>
      <c r="B10" s="13" t="inlineStr">
        <is>
          <t>LAURUSLABS</t>
        </is>
      </c>
      <c r="C10" s="14" t="n">
        <v>1390.8</v>
      </c>
      <c r="D10" s="14" t="n">
        <v>1362.65</v>
      </c>
      <c r="E10" s="14" t="n">
        <v>1262.42</v>
      </c>
      <c r="F10" s="14" t="n">
        <v>1059.7</v>
      </c>
      <c r="G10" s="15">
        <f>HYPERLINK("https://www.tradingview.com/chart/?symbol=NSE:LAURUSLABS","Chart 📈")</f>
        <v/>
      </c>
    </row>
    <row r="11" ht="16" customHeight="1">
      <c r="A11" s="16" t="inlineStr">
        <is>
          <t>NIFTY PHARMA</t>
        </is>
      </c>
      <c r="B11" s="13" t="inlineStr">
        <is>
          <t>TORNTPHARM</t>
        </is>
      </c>
      <c r="C11" s="14" t="n">
        <v>4572.2</v>
      </c>
      <c r="D11" s="14" t="n">
        <v>4420.86</v>
      </c>
      <c r="E11" s="14" t="n">
        <v>4337.63</v>
      </c>
      <c r="F11" s="14" t="n">
        <v>3996.9</v>
      </c>
      <c r="G11" s="15">
        <f>HYPERLINK("https://www.tradingview.com/chart/?symbol=NSE:TORNTPHARM","Chart 📈")</f>
        <v/>
      </c>
    </row>
    <row r="12" ht="16" customHeight="1">
      <c r="A12" s="16" t="inlineStr">
        <is>
          <t>NIFTY PHARMA</t>
        </is>
      </c>
      <c r="B12" s="13" t="inlineStr">
        <is>
          <t>ZYDUSLIFE</t>
        </is>
      </c>
      <c r="C12" s="14" t="n">
        <v>1105.9</v>
      </c>
      <c r="D12" s="14" t="n">
        <v>1061.57</v>
      </c>
      <c r="E12" s="14" t="n">
        <v>1004.26</v>
      </c>
      <c r="F12" s="14" t="n">
        <v>956.5599999999999</v>
      </c>
      <c r="G12" s="15">
        <f>HYPERLINK("https://www.tradingview.com/chart/?symbol=NSE:ZYDUSLIFE","Chart 📈")</f>
        <v/>
      </c>
    </row>
    <row r="13" ht="16" customHeight="1">
      <c r="A13" s="8" t="inlineStr">
        <is>
          <t>NIFTY PSU BANK</t>
        </is>
      </c>
      <c r="B13" s="17" t="inlineStr">
        <is>
          <t>BANKBARODA</t>
        </is>
      </c>
      <c r="C13" s="18" t="n">
        <v>267.6</v>
      </c>
      <c r="D13" s="18" t="n">
        <v>262.35</v>
      </c>
      <c r="E13" s="18" t="n">
        <v>263.52</v>
      </c>
      <c r="F13" s="18" t="n">
        <v>264.75</v>
      </c>
      <c r="G13" s="19">
        <f>HYPERLINK("https://www.tradingview.com/chart/?symbol=NSE:BANKBARODA","Chart 📈")</f>
        <v/>
      </c>
    </row>
    <row r="14" ht="16" customHeight="1">
      <c r="A14" s="20" t="inlineStr">
        <is>
          <t>NIFTY PSU BANK</t>
        </is>
      </c>
      <c r="B14" s="17" t="inlineStr">
        <is>
          <t>BANKINDIA</t>
        </is>
      </c>
      <c r="C14" s="18" t="n">
        <v>141.38</v>
      </c>
      <c r="D14" s="18" t="n">
        <v>140.44</v>
      </c>
      <c r="E14" s="18" t="n">
        <v>141.06</v>
      </c>
      <c r="F14" s="18" t="n">
        <v>138.06</v>
      </c>
      <c r="G14" s="19">
        <f>HYPERLINK("https://www.tradingview.com/chart/?symbol=NSE:BANKINDIA","Chart 📈")</f>
        <v/>
      </c>
    </row>
    <row r="15" ht="16" customHeight="1">
      <c r="A15" s="20" t="inlineStr">
        <is>
          <t>NIFTY PSU BANK</t>
        </is>
      </c>
      <c r="B15" s="17" t="inlineStr">
        <is>
          <t>MAHABANK</t>
        </is>
      </c>
      <c r="C15" s="18" t="n">
        <v>83.08</v>
      </c>
      <c r="D15" s="18" t="n">
        <v>79.67</v>
      </c>
      <c r="E15" s="18" t="n">
        <v>76.41</v>
      </c>
      <c r="F15" s="18" t="n">
        <v>66.40000000000001</v>
      </c>
      <c r="G15" s="19">
        <f>HYPERLINK("https://www.tradingview.com/chart/?symbol=NSE:MAHABANK","Chart 📈")</f>
        <v/>
      </c>
    </row>
    <row r="16" ht="16" customHeight="1">
      <c r="A16" s="12" t="inlineStr">
        <is>
          <t>NIFTY AUTO</t>
        </is>
      </c>
      <c r="B16" s="13" t="inlineStr">
        <is>
          <t>BHARATFORG</t>
        </is>
      </c>
      <c r="C16" s="14" t="n">
        <v>1942.9</v>
      </c>
      <c r="D16" s="14" t="n">
        <v>1921.79</v>
      </c>
      <c r="E16" s="14" t="n">
        <v>1875.27</v>
      </c>
      <c r="F16" s="14" t="n">
        <v>1632.33</v>
      </c>
      <c r="G16" s="15">
        <f>HYPERLINK("https://www.tradingview.com/chart/?symbol=NSE:BHARATFORG","Chart 📈")</f>
        <v/>
      </c>
    </row>
    <row r="17" ht="16" customHeight="1">
      <c r="A17" s="16" t="inlineStr">
        <is>
          <t>NIFTY AUTO</t>
        </is>
      </c>
      <c r="B17" s="13" t="inlineStr">
        <is>
          <t>BOSCHLTD</t>
        </is>
      </c>
      <c r="C17" s="14" t="n">
        <v>37565</v>
      </c>
      <c r="D17" s="14" t="n">
        <v>36965.81</v>
      </c>
      <c r="E17" s="14" t="n">
        <v>36329.71</v>
      </c>
      <c r="F17" s="14" t="n">
        <v>35784.39</v>
      </c>
      <c r="G17" s="15">
        <f>HYPERLINK("https://www.tradingview.com/chart/?symbol=NSE:BOSCHLTD","Chart 📈")</f>
        <v/>
      </c>
    </row>
    <row r="18" ht="16" customHeight="1">
      <c r="A18" s="16" t="inlineStr">
        <is>
          <t>NIFTY AUTO</t>
        </is>
      </c>
      <c r="B18" s="13" t="inlineStr">
        <is>
          <t>EICHERMOT</t>
        </is>
      </c>
      <c r="C18" s="14" t="n">
        <v>7179.5</v>
      </c>
      <c r="D18" s="14" t="n">
        <v>7152.16</v>
      </c>
      <c r="E18" s="14" t="n">
        <v>7155.72</v>
      </c>
      <c r="F18" s="14" t="n">
        <v>6923.85</v>
      </c>
      <c r="G18" s="15">
        <f>HYPERLINK("https://www.tradingview.com/chart/?symbol=NSE:EICHERMOT","Chart 📈")</f>
        <v/>
      </c>
    </row>
    <row r="19" ht="16" customHeight="1">
      <c r="A19" s="16" t="inlineStr">
        <is>
          <t>NIFTY AUTO</t>
        </is>
      </c>
      <c r="B19" s="13" t="inlineStr">
        <is>
          <t>EXIDEIND</t>
        </is>
      </c>
      <c r="C19" s="14" t="n">
        <v>385.65</v>
      </c>
      <c r="D19" s="14" t="n">
        <v>379.26</v>
      </c>
      <c r="E19" s="14" t="n">
        <v>360.62</v>
      </c>
      <c r="F19" s="14" t="n">
        <v>359.1</v>
      </c>
      <c r="G19" s="15">
        <f>HYPERLINK("https://www.tradingview.com/chart/?symbol=NSE:EXIDEIND","Chart 📈")</f>
        <v/>
      </c>
    </row>
    <row r="20" ht="16" customHeight="1">
      <c r="A20" s="16" t="inlineStr">
        <is>
          <t>NIFTY AUTO</t>
        </is>
      </c>
      <c r="B20" s="13" t="inlineStr">
        <is>
          <t>MOTHERSON</t>
        </is>
      </c>
      <c r="C20" s="14" t="n">
        <v>140.74</v>
      </c>
      <c r="D20" s="14" t="n">
        <v>138.91</v>
      </c>
      <c r="E20" s="14" t="n">
        <v>132.01</v>
      </c>
      <c r="F20" s="14" t="n">
        <v>119.63</v>
      </c>
      <c r="G20" s="15">
        <f>HYPERLINK("https://www.tradingview.com/chart/?symbol=NSE:MOTHERSON","Chart 📈")</f>
        <v/>
      </c>
    </row>
    <row r="21" ht="16" customHeight="1">
      <c r="A21" s="8" t="inlineStr">
        <is>
          <t>NIFTY METAL</t>
        </is>
      </c>
      <c r="B21" s="17" t="inlineStr">
        <is>
          <t>ADANIENT</t>
        </is>
      </c>
      <c r="C21" s="18" t="n">
        <v>2908.8</v>
      </c>
      <c r="D21" s="18" t="n">
        <v>2852.07</v>
      </c>
      <c r="E21" s="18" t="n">
        <v>2611.24</v>
      </c>
      <c r="F21" s="18" t="n">
        <v>2391.29</v>
      </c>
      <c r="G21" s="19">
        <f>HYPERLINK("https://www.tradingview.com/chart/?symbol=NSE:ADANIENT","Chart 📈")</f>
        <v/>
      </c>
    </row>
    <row r="22" ht="16" customHeight="1">
      <c r="A22" s="20" t="inlineStr">
        <is>
          <t>NIFTY METAL</t>
        </is>
      </c>
      <c r="B22" s="17" t="inlineStr">
        <is>
          <t>JSWSTEEL</t>
        </is>
      </c>
      <c r="C22" s="18" t="n">
        <v>1282.3</v>
      </c>
      <c r="D22" s="18" t="n">
        <v>1282.24</v>
      </c>
      <c r="E22" s="18" t="n">
        <v>1262.68</v>
      </c>
      <c r="F22" s="18" t="n">
        <v>1187.01</v>
      </c>
      <c r="G22" s="19">
        <f>HYPERLINK("https://www.tradingview.com/chart/?symbol=NSE:JSWSTEEL","Chart 📈")</f>
        <v/>
      </c>
    </row>
    <row r="23" ht="16" customHeight="1">
      <c r="A23" s="20" t="inlineStr">
        <is>
          <t>NIFTY METAL</t>
        </is>
      </c>
      <c r="B23" s="17" t="inlineStr">
        <is>
          <t>WELCORP</t>
        </is>
      </c>
      <c r="C23" s="18" t="n">
        <v>1389.4</v>
      </c>
      <c r="D23" s="18" t="n">
        <v>1350.56</v>
      </c>
      <c r="E23" s="18" t="n">
        <v>1231.93</v>
      </c>
      <c r="F23" s="18" t="n">
        <v>1002.47</v>
      </c>
      <c r="G23" s="19">
        <f>HYPERLINK("https://www.tradingview.com/chart/?symbol=NSE:WELCORP","Chart 📈")</f>
        <v/>
      </c>
    </row>
    <row r="24" ht="16" customHeight="1">
      <c r="A24" s="12" t="inlineStr">
        <is>
          <t>NIFTY MEDIA</t>
        </is>
      </c>
      <c r="B24" s="13" t="inlineStr">
        <is>
          <t>NAZARA</t>
        </is>
      </c>
      <c r="C24" s="14" t="n">
        <v>281.55</v>
      </c>
      <c r="D24" s="14" t="n">
        <v>277.4</v>
      </c>
      <c r="E24" s="14" t="n">
        <v>272.08</v>
      </c>
      <c r="F24" s="14" t="n">
        <v>273.81</v>
      </c>
      <c r="G24" s="15">
        <f>HYPERLINK("https://www.tradingview.com/chart/?symbol=NSE:NAZARA","Chart 📈")</f>
        <v/>
      </c>
    </row>
    <row r="25" ht="16" customHeight="1">
      <c r="A25" s="16" t="inlineStr">
        <is>
          <t>NIFTY MEDIA</t>
        </is>
      </c>
      <c r="B25" s="13" t="inlineStr">
        <is>
          <t>SAREGAMA</t>
        </is>
      </c>
      <c r="C25" s="14" t="n">
        <v>452.3</v>
      </c>
      <c r="D25" s="14" t="n">
        <v>427.71</v>
      </c>
      <c r="E25" s="14" t="n">
        <v>393.36</v>
      </c>
      <c r="F25" s="14" t="n">
        <v>396.66</v>
      </c>
      <c r="G25" s="15">
        <f>HYPERLINK("https://www.tradingview.com/chart/?symbol=NSE:SAREGAMA","Chart 📈")</f>
        <v/>
      </c>
    </row>
    <row r="26" ht="16" customHeight="1">
      <c r="A26" s="16" t="inlineStr">
        <is>
          <t>NIFTY MEDIA</t>
        </is>
      </c>
      <c r="B26" s="13" t="inlineStr">
        <is>
          <t>ZEEL</t>
        </is>
      </c>
      <c r="C26" s="14" t="n">
        <v>111.45</v>
      </c>
      <c r="D26" s="14" t="n">
        <v>98.01000000000001</v>
      </c>
      <c r="E26" s="14" t="n">
        <v>91.84999999999999</v>
      </c>
      <c r="F26" s="14" t="n">
        <v>96.31999999999999</v>
      </c>
      <c r="G26" s="15">
        <f>HYPERLINK("https://www.tradingview.com/chart/?symbol=NSE:ZEEL","Chart 📈")</f>
        <v/>
      </c>
    </row>
    <row r="27" ht="16" customHeight="1">
      <c r="A27" s="8" t="inlineStr">
        <is>
          <t>NIFTY MIDSMALL IT &amp; TELECOM</t>
        </is>
      </c>
      <c r="B27" s="17" t="inlineStr">
        <is>
          <t>IDEA</t>
        </is>
      </c>
      <c r="C27" s="18" t="n">
        <v>14.17</v>
      </c>
      <c r="D27" s="18" t="n">
        <v>13.75</v>
      </c>
      <c r="E27" s="18" t="n">
        <v>12.42</v>
      </c>
      <c r="F27" s="18" t="n">
        <v>10.41</v>
      </c>
      <c r="G27" s="19">
        <f>HYPERLINK("https://www.tradingview.com/chart/?symbol=NSE:IDEA","Chart 📈")</f>
        <v/>
      </c>
    </row>
    <row r="28" ht="16" customHeight="1">
      <c r="A28" s="20" t="inlineStr">
        <is>
          <t>NIFTY MIDSMALL IT &amp; TELECOM</t>
        </is>
      </c>
      <c r="B28" s="17" t="inlineStr">
        <is>
          <t>TATACOMM</t>
        </is>
      </c>
      <c r="C28" s="18" t="n">
        <v>1966</v>
      </c>
      <c r="D28" s="18" t="n">
        <v>1886.31</v>
      </c>
      <c r="E28" s="18" t="n">
        <v>1753.17</v>
      </c>
      <c r="F28" s="18" t="n">
        <v>1685.2</v>
      </c>
      <c r="G28" s="19">
        <f>HYPERLINK("https://www.tradingview.com/chart/?symbol=NSE:TATACOMM","Chart 📈")</f>
        <v/>
      </c>
    </row>
    <row r="29" ht="16" customHeight="1">
      <c r="A29" s="20" t="inlineStr">
        <is>
          <t>NIFTY MIDSMALL IT &amp; TELECOM</t>
        </is>
      </c>
      <c r="B29" s="17" t="inlineStr">
        <is>
          <t>TATATECH</t>
        </is>
      </c>
      <c r="C29" s="18" t="n">
        <v>731.45</v>
      </c>
      <c r="D29" s="18" t="n">
        <v>711.66</v>
      </c>
      <c r="E29" s="18" t="n">
        <v>660.45</v>
      </c>
      <c r="F29" s="18" t="n">
        <v>651.78</v>
      </c>
      <c r="G29" s="19">
        <f>HYPERLINK("https://www.tradingview.com/chart/?symbol=NSE:TATATECH","Chart 📈")</f>
        <v/>
      </c>
    </row>
    <row r="30" ht="16" customHeight="1">
      <c r="A30" s="20" t="inlineStr">
        <is>
          <t>NIFTY MIDSMALL IT &amp; TELECOM</t>
        </is>
      </c>
      <c r="B30" s="17" t="inlineStr">
        <is>
          <t>TEJASNET</t>
        </is>
      </c>
      <c r="C30" s="18" t="n">
        <v>573.5</v>
      </c>
      <c r="D30" s="18" t="n">
        <v>523.12</v>
      </c>
      <c r="E30" s="18" t="n">
        <v>481.66</v>
      </c>
      <c r="F30" s="18" t="n">
        <v>489.4</v>
      </c>
      <c r="G30" s="19">
        <f>HYPERLINK("https://www.tradingview.com/chart/?symbol=NSE:TEJASNET","Chart 📈")</f>
        <v/>
      </c>
    </row>
    <row r="31" ht="16" customHeight="1">
      <c r="A31" s="12" t="inlineStr">
        <is>
          <t>NIFTY FMCG</t>
        </is>
      </c>
      <c r="B31" s="13" t="inlineStr">
        <is>
          <t>BALRAMCHIN</t>
        </is>
      </c>
      <c r="C31" s="14" t="n">
        <v>548.55</v>
      </c>
      <c r="D31" s="14" t="n">
        <v>534.38</v>
      </c>
      <c r="E31" s="14" t="n">
        <v>520.6</v>
      </c>
      <c r="F31" s="14" t="n">
        <v>504.9</v>
      </c>
      <c r="G31" s="15">
        <f>HYPERLINK("https://www.tradingview.com/chart/?symbol=NSE:BALRAMCHIN","Chart 📈")</f>
        <v/>
      </c>
    </row>
    <row r="32" ht="16" customHeight="1">
      <c r="A32" s="16" t="inlineStr">
        <is>
          <t>NIFTY FMCG</t>
        </is>
      </c>
      <c r="B32" s="13" t="inlineStr">
        <is>
          <t>NESTLEIND</t>
        </is>
      </c>
      <c r="C32" s="14" t="n">
        <v>1422.5</v>
      </c>
      <c r="D32" s="14" t="n">
        <v>1413.12</v>
      </c>
      <c r="E32" s="14" t="n">
        <v>1385.57</v>
      </c>
      <c r="F32" s="14" t="n">
        <v>1297.48</v>
      </c>
      <c r="G32" s="15">
        <f>HYPERLINK("https://www.tradingview.com/chart/?symbol=NSE:NESTLEIND","Chart 📈")</f>
        <v/>
      </c>
    </row>
    <row r="33" ht="16" customHeight="1">
      <c r="A33" s="8" t="inlineStr">
        <is>
          <t>NIFTY ENERGY</t>
        </is>
      </c>
      <c r="B33" s="17" t="inlineStr">
        <is>
          <t>ADANIGREEN</t>
        </is>
      </c>
      <c r="C33" s="18" t="n">
        <v>1454.5</v>
      </c>
      <c r="D33" s="18" t="n">
        <v>1433.56</v>
      </c>
      <c r="E33" s="18" t="n">
        <v>1306.33</v>
      </c>
      <c r="F33" s="18" t="n">
        <v>1106.02</v>
      </c>
      <c r="G33" s="19">
        <f>HYPERLINK("https://www.tradingview.com/chart/?symbol=NSE:ADANIGREEN","Chart 📈")</f>
        <v/>
      </c>
    </row>
    <row r="34" ht="16" customHeight="1">
      <c r="A34" s="20" t="inlineStr">
        <is>
          <t>NIFTY ENERGY</t>
        </is>
      </c>
      <c r="B34" s="17" t="inlineStr">
        <is>
          <t>CGPOWER</t>
        </is>
      </c>
      <c r="C34" s="18" t="n">
        <v>901.35</v>
      </c>
      <c r="D34" s="18" t="n">
        <v>891.4400000000001</v>
      </c>
      <c r="E34" s="18" t="n">
        <v>838.72</v>
      </c>
      <c r="F34" s="18" t="n">
        <v>744.87</v>
      </c>
      <c r="G34" s="19">
        <f>HYPERLINK("https://www.tradingview.com/chart/?symbol=NSE:CGPOWER","Chart 📈")</f>
        <v/>
      </c>
    </row>
    <row r="35" ht="16" customHeight="1">
      <c r="A35" s="12" t="inlineStr">
        <is>
          <t>NIFTY BANK</t>
        </is>
      </c>
      <c r="B35" s="13" t="inlineStr">
        <is>
          <t>FEDERALBNK</t>
        </is>
      </c>
      <c r="C35" s="14" t="n">
        <v>309.75</v>
      </c>
      <c r="D35" s="14" t="n">
        <v>297.9</v>
      </c>
      <c r="E35" s="14" t="n">
        <v>290.73</v>
      </c>
      <c r="F35" s="14" t="n">
        <v>264.2</v>
      </c>
      <c r="G35" s="15">
        <f>HYPERLINK("https://www.tradingview.com/chart/?symbol=NSE:FEDERALBNK","Chart 📈")</f>
        <v/>
      </c>
    </row>
    <row r="36" ht="16" customHeight="1">
      <c r="A36" s="16" t="inlineStr">
        <is>
          <t>NIFTY BANK</t>
        </is>
      </c>
      <c r="B36" s="13" t="inlineStr">
        <is>
          <t>IDFCFIRSTB</t>
        </is>
      </c>
      <c r="C36" s="14" t="n">
        <v>72.95</v>
      </c>
      <c r="D36" s="14" t="n">
        <v>71.16</v>
      </c>
      <c r="E36" s="14" t="n">
        <v>70.22</v>
      </c>
      <c r="F36" s="14" t="n">
        <v>72.81999999999999</v>
      </c>
      <c r="G36" s="15">
        <f>HYPERLINK("https://www.tradingview.com/chart/?symbol=NSE:IDFCFIRSTB","Chart 📈")</f>
        <v/>
      </c>
    </row>
    <row r="37" ht="16" customHeight="1">
      <c r="A37" s="8" t="inlineStr">
        <is>
          <t>NIFTY OIL &amp; GAS</t>
        </is>
      </c>
      <c r="B37" s="17" t="inlineStr">
        <is>
          <t>AEGISLOG</t>
        </is>
      </c>
      <c r="C37" s="18" t="n">
        <v>925.9</v>
      </c>
      <c r="D37" s="18" t="n">
        <v>760.86</v>
      </c>
      <c r="E37" s="18" t="n">
        <v>721.78</v>
      </c>
      <c r="F37" s="18" t="n">
        <v>719.3200000000001</v>
      </c>
      <c r="G37" s="19">
        <f>HYPERLINK("https://www.tradingview.com/chart/?symbol=NSE:AEGISLOG","Chart 📈")</f>
        <v/>
      </c>
    </row>
    <row r="38" ht="16" customHeight="1">
      <c r="A38" s="20" t="inlineStr">
        <is>
          <t>NIFTY OIL &amp; GAS</t>
        </is>
      </c>
      <c r="B38" s="17" t="inlineStr">
        <is>
          <t>ATGL</t>
        </is>
      </c>
      <c r="C38" s="18" t="n">
        <v>716.15</v>
      </c>
      <c r="D38" s="18" t="n">
        <v>711.16</v>
      </c>
      <c r="E38" s="18" t="n">
        <v>659.3099999999999</v>
      </c>
      <c r="F38" s="18" t="n">
        <v>614.27</v>
      </c>
      <c r="G38" s="19">
        <f>HYPERLINK("https://www.tradingview.com/chart/?symbol=NSE:ATGL","Chart 📈")</f>
        <v/>
      </c>
    </row>
    <row r="39" ht="16" customHeight="1">
      <c r="A39" s="20" t="inlineStr">
        <is>
          <t>NIFTY OIL &amp; GAS</t>
        </is>
      </c>
      <c r="B39" s="17" t="inlineStr">
        <is>
          <t>GAIL</t>
        </is>
      </c>
      <c r="C39" s="18" t="n">
        <v>166.09</v>
      </c>
      <c r="D39" s="18" t="n">
        <v>165.26</v>
      </c>
      <c r="E39" s="18" t="n">
        <v>162.35</v>
      </c>
      <c r="F39" s="18" t="n">
        <v>165.63</v>
      </c>
      <c r="G39" s="19">
        <f>HYPERLINK("https://www.tradingview.com/chart/?symbol=NSE:GAIL","Chart 📈")</f>
        <v/>
      </c>
    </row>
    <row r="40" ht="16" customHeight="1">
      <c r="A40" s="12" t="inlineStr">
        <is>
          <t>NIFTY CONSUMER DURABLES</t>
        </is>
      </c>
      <c r="B40" s="13" t="inlineStr">
        <is>
          <t>CERA</t>
        </is>
      </c>
      <c r="C40" s="14" t="n">
        <v>5854.5</v>
      </c>
      <c r="D40" s="14" t="n">
        <v>5662.43</v>
      </c>
      <c r="E40" s="14" t="n">
        <v>5493.32</v>
      </c>
      <c r="F40" s="14" t="n">
        <v>5583.51</v>
      </c>
      <c r="G40" s="15">
        <f>HYPERLINK("https://www.tradingview.com/chart/?symbol=NSE:CERA","Chart 📈")</f>
        <v/>
      </c>
    </row>
    <row r="41" ht="16" customHeight="1">
      <c r="A41" s="8" t="inlineStr">
        <is>
          <t>NIFTY FINANCIAL SERVICES</t>
        </is>
      </c>
      <c r="B41" s="17" t="inlineStr">
        <is>
          <t>AXISBANK</t>
        </is>
      </c>
      <c r="C41" s="18" t="n">
        <v>1317.3</v>
      </c>
      <c r="D41" s="18" t="n">
        <v>1282.72</v>
      </c>
      <c r="E41" s="18" t="n">
        <v>1284.13</v>
      </c>
      <c r="F41" s="18" t="n">
        <v>1262.96</v>
      </c>
      <c r="G41" s="19">
        <f>HYPERLINK("https://www.tradingview.com/chart/?symbol=NSE:AXISBANK","Chart 📈")</f>
        <v/>
      </c>
    </row>
    <row r="42" ht="16" customHeight="1">
      <c r="A42" s="12" t="inlineStr">
        <is>
          <t>NIFTY REALTY</t>
        </is>
      </c>
      <c r="B42" s="13" t="inlineStr">
        <is>
          <t>RAYMOND</t>
        </is>
      </c>
      <c r="C42" s="14" t="n">
        <v>555.05</v>
      </c>
      <c r="D42" s="14" t="n">
        <v>522.89</v>
      </c>
      <c r="E42" s="14" t="n">
        <v>486.31</v>
      </c>
      <c r="F42" s="14" t="n">
        <v>484.59</v>
      </c>
      <c r="G42" s="15">
        <f>HYPERLINK("https://www.tradingview.com/chart/?symbol=NSE:RAYMOND","Chart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2026-06-11T14:45:06Z</dcterms:created>
  <dcterms:modified xsi:type="dcterms:W3CDTF">2026-06-11T14:45:06Z</dcterms:modified>
</cp:coreProperties>
</file>