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EMA Summary" sheetId="1" state="visible" r:id="rId1"/>
    <sheet name="Ticker Detail (Above EMA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10"/>
    </font>
    <font>
      <name val="Arial"/>
      <color rgb="001A1A1A"/>
      <sz val="10"/>
    </font>
    <font>
      <name val="Arial"/>
      <color rgb="000563C1"/>
      <sz val="10"/>
      <u val="single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2E75B6"/>
      </patternFill>
    </fill>
    <fill>
      <patternFill patternType="solid">
        <fgColor rgb="00EBF3FB"/>
      </patternFill>
    </fill>
    <fill>
      <patternFill patternType="solid">
        <fgColor rgb="00FFFFFF"/>
      </patternFill>
    </fill>
    <fill>
      <patternFill patternType="solid">
        <fgColor rgb="00D6E4F7"/>
      </patternFill>
    </fill>
  </fills>
  <borders count="4">
    <border>
      <left/>
      <right/>
      <top/>
      <bottom/>
      <diagonal/>
    </border>
    <border>
      <bottom style="thin">
        <color rgb="00AAAAAA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medium">
        <color rgb="00555555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4" fillId="5" borderId="3" applyAlignment="1" pivotButton="0" quotePrefix="0" xfId="0">
      <alignment horizontal="left" vertical="center"/>
    </xf>
    <xf numFmtId="1" fontId="5" fillId="5" borderId="3" applyAlignment="1" pivotButton="0" quotePrefix="0" xfId="0">
      <alignment horizontal="center" vertical="center"/>
    </xf>
    <xf numFmtId="164" fontId="5" fillId="5" borderId="3" applyAlignment="1" pivotButton="0" quotePrefix="0" xfId="0">
      <alignment horizontal="center" vertical="center"/>
    </xf>
    <xf numFmtId="164" fontId="4" fillId="5" borderId="3" applyAlignment="1" pivotButton="0" quotePrefix="0" xfId="0">
      <alignment horizontal="center" vertical="center"/>
    </xf>
    <xf numFmtId="0" fontId="4" fillId="6" borderId="3" applyAlignment="1" pivotButton="0" quotePrefix="0" xfId="0">
      <alignment horizontal="left" vertical="center"/>
    </xf>
    <xf numFmtId="1" fontId="5" fillId="6" borderId="3" applyAlignment="1" pivotButton="0" quotePrefix="0" xfId="0">
      <alignment horizontal="center" vertical="center"/>
    </xf>
    <xf numFmtId="164" fontId="5" fillId="6" borderId="3" applyAlignment="1" pivotButton="0" quotePrefix="0" xfId="0">
      <alignment horizontal="center" vertical="center"/>
    </xf>
    <xf numFmtId="164" fontId="4" fillId="6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left" vertical="center"/>
    </xf>
    <xf numFmtId="0" fontId="5" fillId="7" borderId="3" applyAlignment="1" pivotButton="0" quotePrefix="0" xfId="0">
      <alignment horizontal="center" vertical="center"/>
    </xf>
    <xf numFmtId="4" fontId="5" fillId="7" borderId="3" applyAlignment="1" pivotButton="0" quotePrefix="0" xfId="0">
      <alignment horizontal="right" vertical="center"/>
    </xf>
    <xf numFmtId="0" fontId="6" fillId="7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left" vertical="center"/>
    </xf>
    <xf numFmtId="0" fontId="5" fillId="6" borderId="3" applyAlignment="1" pivotButton="0" quotePrefix="0" xfId="0">
      <alignment horizontal="center" vertical="center"/>
    </xf>
    <xf numFmtId="4" fontId="5" fillId="6" borderId="3" applyAlignment="1" pivotButton="0" quotePrefix="0" xfId="0">
      <alignment horizontal="right" vertical="center"/>
    </xf>
    <xf numFmtId="0" fontId="6" fillId="6" borderId="3" applyAlignment="1" pivotButton="0" quotePrefix="0" xfId="0">
      <alignment horizontal="center" vertical="center"/>
    </xf>
    <xf numFmtId="0" fontId="5" fillId="6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 ht="28" customHeight="1">
      <c r="A1" s="1" t="inlineStr">
        <is>
          <t>NSE Sectoral EMA Analysis   ·   Generated: 23-Jun-2026  13:54</t>
        </is>
      </c>
    </row>
    <row r="2" ht="18" customHeight="1">
      <c r="C2" s="2" t="inlineStr">
        <is>
          <t>No. of Stocks Above EMA</t>
        </is>
      </c>
      <c r="F2" s="2" t="inlineStr">
        <is>
          <t>% of Stocks Above EMA</t>
        </is>
      </c>
    </row>
    <row r="3" ht="36" customHeight="1">
      <c r="A3" s="3" t="inlineStr">
        <is>
          <t>Sector</t>
        </is>
      </c>
      <c r="B3" s="3" t="inlineStr">
        <is>
          <t>Total
Stocks</t>
        </is>
      </c>
      <c r="C3" s="3" t="inlineStr">
        <is>
          <t>Above
20 EMA</t>
        </is>
      </c>
      <c r="D3" s="3" t="inlineStr">
        <is>
          <t>Above
50 EMA</t>
        </is>
      </c>
      <c r="E3" s="3" t="inlineStr">
        <is>
          <t>Above
200 EMA</t>
        </is>
      </c>
      <c r="F3" s="3" t="inlineStr">
        <is>
          <t>% Above
20 EMA</t>
        </is>
      </c>
      <c r="G3" s="3" t="inlineStr">
        <is>
          <t>% Above
50 EMA</t>
        </is>
      </c>
      <c r="H3" s="3" t="inlineStr">
        <is>
          <t>% Above
200 EMA</t>
        </is>
      </c>
      <c r="I3" s="3" t="inlineStr">
        <is>
          <t>Composite
Strength %</t>
        </is>
      </c>
    </row>
    <row r="4" ht="17" customHeight="1">
      <c r="A4" s="4" t="inlineStr">
        <is>
          <t>NIFTY PHARMA</t>
        </is>
      </c>
      <c r="B4" s="5" t="n">
        <v>20</v>
      </c>
      <c r="C4" s="5" t="n">
        <v>17</v>
      </c>
      <c r="D4" s="5" t="n">
        <v>17</v>
      </c>
      <c r="E4" s="5" t="n">
        <v>18</v>
      </c>
      <c r="F4" s="6" t="n">
        <v>0.85</v>
      </c>
      <c r="G4" s="6" t="n">
        <v>0.85</v>
      </c>
      <c r="H4" s="6" t="n">
        <v>0.9</v>
      </c>
      <c r="I4" s="7" t="n">
        <v>0.8667</v>
      </c>
    </row>
    <row r="5" ht="17" customHeight="1">
      <c r="A5" s="8" t="inlineStr">
        <is>
          <t>NIFTY REALTY</t>
        </is>
      </c>
      <c r="B5" s="9" t="n">
        <v>10</v>
      </c>
      <c r="C5" s="9" t="n">
        <v>10</v>
      </c>
      <c r="D5" s="9" t="n">
        <v>9</v>
      </c>
      <c r="E5" s="9" t="n">
        <v>5</v>
      </c>
      <c r="F5" s="10" t="n">
        <v>1</v>
      </c>
      <c r="G5" s="10" t="n">
        <v>0.9</v>
      </c>
      <c r="H5" s="10" t="n">
        <v>0.5</v>
      </c>
      <c r="I5" s="11" t="n">
        <v>0.8</v>
      </c>
    </row>
    <row r="6" ht="17" customHeight="1">
      <c r="A6" s="4" t="inlineStr">
        <is>
          <t>NIFTY PSU BANK</t>
        </is>
      </c>
      <c r="B6" s="5" t="n">
        <v>12</v>
      </c>
      <c r="C6" s="5" t="n">
        <v>11</v>
      </c>
      <c r="D6" s="5" t="n">
        <v>10</v>
      </c>
      <c r="E6" s="5" t="n">
        <v>7</v>
      </c>
      <c r="F6" s="6" t="n">
        <v>0.917</v>
      </c>
      <c r="G6" s="6" t="n">
        <v>0.833</v>
      </c>
      <c r="H6" s="6" t="n">
        <v>0.583</v>
      </c>
      <c r="I6" s="7" t="n">
        <v>0.7776999999999999</v>
      </c>
    </row>
    <row r="7" ht="17" customHeight="1">
      <c r="A7" s="8" t="inlineStr">
        <is>
          <t>NIFTY MEDIA</t>
        </is>
      </c>
      <c r="B7" s="9" t="n">
        <v>10</v>
      </c>
      <c r="C7" s="9" t="n">
        <v>7</v>
      </c>
      <c r="D7" s="9" t="n">
        <v>7</v>
      </c>
      <c r="E7" s="9" t="n">
        <v>5</v>
      </c>
      <c r="F7" s="10" t="n">
        <v>0.7</v>
      </c>
      <c r="G7" s="10" t="n">
        <v>0.7</v>
      </c>
      <c r="H7" s="10" t="n">
        <v>0.5</v>
      </c>
      <c r="I7" s="11" t="n">
        <v>0.6333</v>
      </c>
    </row>
    <row r="8" ht="17" customHeight="1">
      <c r="A8" s="4" t="inlineStr">
        <is>
          <t>NIFTY AUTO</t>
        </is>
      </c>
      <c r="B8" s="5" t="n">
        <v>15</v>
      </c>
      <c r="C8" s="5" t="n">
        <v>10</v>
      </c>
      <c r="D8" s="5" t="n">
        <v>10</v>
      </c>
      <c r="E8" s="5" t="n">
        <v>7</v>
      </c>
      <c r="F8" s="6" t="n">
        <v>0.667</v>
      </c>
      <c r="G8" s="6" t="n">
        <v>0.667</v>
      </c>
      <c r="H8" s="6" t="n">
        <v>0.467</v>
      </c>
      <c r="I8" s="7" t="n">
        <v>0.6003000000000001</v>
      </c>
    </row>
    <row r="9" ht="17" customHeight="1">
      <c r="A9" s="8" t="inlineStr">
        <is>
          <t>NIFTY FINANCIAL SERVICES</t>
        </is>
      </c>
      <c r="B9" s="9" t="n">
        <v>20</v>
      </c>
      <c r="C9" s="9" t="n">
        <v>14</v>
      </c>
      <c r="D9" s="9" t="n">
        <v>12</v>
      </c>
      <c r="E9" s="9" t="n">
        <v>9</v>
      </c>
      <c r="F9" s="10" t="n">
        <v>0.7</v>
      </c>
      <c r="G9" s="10" t="n">
        <v>0.6</v>
      </c>
      <c r="H9" s="10" t="n">
        <v>0.45</v>
      </c>
      <c r="I9" s="11" t="n">
        <v>0.5832999999999999</v>
      </c>
    </row>
    <row r="10" ht="17" customHeight="1">
      <c r="A10" s="4" t="inlineStr">
        <is>
          <t>NIFTY CONSUMER DURABLES</t>
        </is>
      </c>
      <c r="B10" s="5" t="n">
        <v>15</v>
      </c>
      <c r="C10" s="5" t="n">
        <v>12</v>
      </c>
      <c r="D10" s="5" t="n">
        <v>9</v>
      </c>
      <c r="E10" s="5" t="n">
        <v>4</v>
      </c>
      <c r="F10" s="6" t="n">
        <v>0.8</v>
      </c>
      <c r="G10" s="6" t="n">
        <v>0.6</v>
      </c>
      <c r="H10" s="6" t="n">
        <v>0.267</v>
      </c>
      <c r="I10" s="7" t="n">
        <v>0.5557</v>
      </c>
    </row>
    <row r="11" ht="17" customHeight="1">
      <c r="A11" s="8" t="inlineStr">
        <is>
          <t>NIFTY OIL &amp; GAS</t>
        </is>
      </c>
      <c r="B11" s="9" t="n">
        <v>15</v>
      </c>
      <c r="C11" s="9" t="n">
        <v>9</v>
      </c>
      <c r="D11" s="9" t="n">
        <v>10</v>
      </c>
      <c r="E11" s="9" t="n">
        <v>5</v>
      </c>
      <c r="F11" s="10" t="n">
        <v>0.6</v>
      </c>
      <c r="G11" s="10" t="n">
        <v>0.667</v>
      </c>
      <c r="H11" s="10" t="n">
        <v>0.333</v>
      </c>
      <c r="I11" s="11" t="n">
        <v>0.5333</v>
      </c>
    </row>
    <row r="12" ht="17" customHeight="1">
      <c r="A12" s="4" t="inlineStr">
        <is>
          <t>NIFTY ENERGY</t>
        </is>
      </c>
      <c r="B12" s="5" t="n">
        <v>40</v>
      </c>
      <c r="C12" s="5" t="n">
        <v>18</v>
      </c>
      <c r="D12" s="5" t="n">
        <v>16</v>
      </c>
      <c r="E12" s="5" t="n">
        <v>22</v>
      </c>
      <c r="F12" s="6" t="n">
        <v>0.45</v>
      </c>
      <c r="G12" s="6" t="n">
        <v>0.4</v>
      </c>
      <c r="H12" s="6" t="n">
        <v>0.55</v>
      </c>
      <c r="I12" s="7" t="n">
        <v>0.4667</v>
      </c>
    </row>
    <row r="13" ht="17" customHeight="1">
      <c r="A13" s="8" t="inlineStr">
        <is>
          <t>NIFTY MIDSMALL IT &amp; TELECOM</t>
        </is>
      </c>
      <c r="B13" s="9" t="n">
        <v>20</v>
      </c>
      <c r="C13" s="9" t="n">
        <v>10</v>
      </c>
      <c r="D13" s="9" t="n">
        <v>10</v>
      </c>
      <c r="E13" s="9" t="n">
        <v>6</v>
      </c>
      <c r="F13" s="10" t="n">
        <v>0.5</v>
      </c>
      <c r="G13" s="10" t="n">
        <v>0.5</v>
      </c>
      <c r="H13" s="10" t="n">
        <v>0.3</v>
      </c>
      <c r="I13" s="11" t="n">
        <v>0.4333</v>
      </c>
    </row>
    <row r="14" ht="17" customHeight="1">
      <c r="A14" s="4" t="inlineStr">
        <is>
          <t>NIFTY FMCG</t>
        </is>
      </c>
      <c r="B14" s="5" t="n">
        <v>15</v>
      </c>
      <c r="C14" s="5" t="n">
        <v>8</v>
      </c>
      <c r="D14" s="5" t="n">
        <v>5</v>
      </c>
      <c r="E14" s="5" t="n">
        <v>6</v>
      </c>
      <c r="F14" s="6" t="n">
        <v>0.5329999999999999</v>
      </c>
      <c r="G14" s="6" t="n">
        <v>0.333</v>
      </c>
      <c r="H14" s="6" t="n">
        <v>0.4</v>
      </c>
      <c r="I14" s="7" t="n">
        <v>0.422</v>
      </c>
    </row>
    <row r="15" ht="17" customHeight="1">
      <c r="A15" s="8" t="inlineStr">
        <is>
          <t>NIFTY METAL</t>
        </is>
      </c>
      <c r="B15" s="9" t="n">
        <v>15</v>
      </c>
      <c r="C15" s="9" t="n">
        <v>4</v>
      </c>
      <c r="D15" s="9" t="n">
        <v>3</v>
      </c>
      <c r="E15" s="9" t="n">
        <v>10</v>
      </c>
      <c r="F15" s="10" t="n">
        <v>0.267</v>
      </c>
      <c r="G15" s="10" t="n">
        <v>0.2</v>
      </c>
      <c r="H15" s="10" t="n">
        <v>0.667</v>
      </c>
      <c r="I15" s="11" t="n">
        <v>0.3779999999999999</v>
      </c>
    </row>
    <row r="16" ht="17" customHeight="1">
      <c r="A16" s="4" t="inlineStr">
        <is>
          <t>NIFTY BANK</t>
        </is>
      </c>
      <c r="B16" s="5" t="n">
        <v>12</v>
      </c>
      <c r="C16" s="5" t="n">
        <v>3</v>
      </c>
      <c r="D16" s="5" t="n">
        <v>4</v>
      </c>
      <c r="E16" s="5" t="n">
        <v>4</v>
      </c>
      <c r="F16" s="6" t="n">
        <v>0.25</v>
      </c>
      <c r="G16" s="6" t="n">
        <v>0.333</v>
      </c>
      <c r="H16" s="6" t="n">
        <v>0.333</v>
      </c>
      <c r="I16" s="7" t="n">
        <v>0.3053</v>
      </c>
    </row>
    <row r="17" ht="17" customHeight="1">
      <c r="A17" s="8" t="inlineStr">
        <is>
          <t>NIFTY IT</t>
        </is>
      </c>
      <c r="B17" s="9" t="n">
        <v>10</v>
      </c>
      <c r="C17" s="9" t="n">
        <v>0</v>
      </c>
      <c r="D17" s="9" t="n">
        <v>0</v>
      </c>
      <c r="E17" s="9" t="n">
        <v>0</v>
      </c>
      <c r="F17" s="10" t="n">
        <v>0</v>
      </c>
      <c r="G17" s="10" t="n">
        <v>0</v>
      </c>
      <c r="H17" s="10" t="n">
        <v>0</v>
      </c>
      <c r="I17" s="11" t="n">
        <v>0</v>
      </c>
    </row>
  </sheetData>
  <mergeCells count="3">
    <mergeCell ref="A1:I1"/>
    <mergeCell ref="C2:E2"/>
    <mergeCell ref="F2:H2"/>
  </mergeCells>
  <conditionalFormatting sqref="F4:F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4:G1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4:H1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4:I1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</cols>
  <sheetData>
    <row r="1" ht="28" customHeight="1">
      <c r="A1" s="1" t="inlineStr">
        <is>
          <t>NSE Stocks Trading Above 20 / 50 / 200-Day EMA   ·   Strongest Sector First</t>
        </is>
      </c>
    </row>
    <row r="2" ht="36" customHeight="1">
      <c r="A2" s="3" t="inlineStr">
        <is>
          <t>Sector</t>
        </is>
      </c>
      <c r="B2" s="3" t="inlineStr">
        <is>
          <t>Ticker</t>
        </is>
      </c>
      <c r="C2" s="3" t="inlineStr">
        <is>
          <t>Current
Close (₹)</t>
        </is>
      </c>
      <c r="D2" s="3" t="inlineStr">
        <is>
          <t>20-Day
EMA (₹)</t>
        </is>
      </c>
      <c r="E2" s="3" t="inlineStr">
        <is>
          <t>50-Day
EMA (₹)</t>
        </is>
      </c>
      <c r="F2" s="3" t="inlineStr">
        <is>
          <t>200-Day
EMA (₹)</t>
        </is>
      </c>
      <c r="G2" s="3" t="inlineStr">
        <is>
          <t>TradingView
Chart</t>
        </is>
      </c>
    </row>
    <row r="3" ht="16" customHeight="1">
      <c r="A3" s="12" t="inlineStr">
        <is>
          <t>NIFTY PHARMA</t>
        </is>
      </c>
      <c r="B3" s="13" t="inlineStr">
        <is>
          <t>AJANTPHARM</t>
        </is>
      </c>
      <c r="C3" s="14" t="n">
        <v>3187.4</v>
      </c>
      <c r="D3" s="14" t="n">
        <v>3073.65</v>
      </c>
      <c r="E3" s="14" t="n">
        <v>3016.12</v>
      </c>
      <c r="F3" s="14" t="n">
        <v>2826.98</v>
      </c>
      <c r="G3" s="15">
        <f>HYPERLINK("https://www.tradingview.com/chart/?symbol=NSE:AJANTPHARM","Chart 📈")</f>
        <v/>
      </c>
    </row>
    <row r="4" ht="16" customHeight="1">
      <c r="A4" s="16" t="inlineStr">
        <is>
          <t>NIFTY PHARMA</t>
        </is>
      </c>
      <c r="B4" s="13" t="inlineStr">
        <is>
          <t>ALKEM</t>
        </is>
      </c>
      <c r="C4" s="14" t="n">
        <v>5415.5</v>
      </c>
      <c r="D4" s="14" t="n">
        <v>5364.4</v>
      </c>
      <c r="E4" s="14" t="n">
        <v>5397.8</v>
      </c>
      <c r="F4" s="14" t="n">
        <v>5380.42</v>
      </c>
      <c r="G4" s="15">
        <f>HYPERLINK("https://www.tradingview.com/chart/?symbol=NSE:ALKEM","Chart 📈")</f>
        <v/>
      </c>
    </row>
    <row r="5" ht="16" customHeight="1">
      <c r="A5" s="16" t="inlineStr">
        <is>
          <t>NIFTY PHARMA</t>
        </is>
      </c>
      <c r="B5" s="13" t="inlineStr">
        <is>
          <t>AUROPHARMA</t>
        </is>
      </c>
      <c r="C5" s="14" t="n">
        <v>1534.2</v>
      </c>
      <c r="D5" s="14" t="n">
        <v>1460.92</v>
      </c>
      <c r="E5" s="14" t="n">
        <v>1429.88</v>
      </c>
      <c r="F5" s="14" t="n">
        <v>1287.24</v>
      </c>
      <c r="G5" s="15">
        <f>HYPERLINK("https://www.tradingview.com/chart/?symbol=NSE:AUROPHARMA","Chart 📈")</f>
        <v/>
      </c>
    </row>
    <row r="6" ht="16" customHeight="1">
      <c r="A6" s="16" t="inlineStr">
        <is>
          <t>NIFTY PHARMA</t>
        </is>
      </c>
      <c r="B6" s="13" t="inlineStr">
        <is>
          <t>BIOCON</t>
        </is>
      </c>
      <c r="C6" s="14" t="n">
        <v>423.2</v>
      </c>
      <c r="D6" s="14" t="n">
        <v>416.23</v>
      </c>
      <c r="E6" s="14" t="n">
        <v>405.05</v>
      </c>
      <c r="F6" s="14" t="n">
        <v>384.33</v>
      </c>
      <c r="G6" s="15">
        <f>HYPERLINK("https://www.tradingview.com/chart/?symbol=NSE:BIOCON","Chart 📈")</f>
        <v/>
      </c>
    </row>
    <row r="7" ht="16" customHeight="1">
      <c r="A7" s="16" t="inlineStr">
        <is>
          <t>NIFTY PHARMA</t>
        </is>
      </c>
      <c r="B7" s="13" t="inlineStr">
        <is>
          <t>CIPLA</t>
        </is>
      </c>
      <c r="C7" s="14" t="n">
        <v>1433.1</v>
      </c>
      <c r="D7" s="14" t="n">
        <v>1380.35</v>
      </c>
      <c r="E7" s="14" t="n">
        <v>1356.2</v>
      </c>
      <c r="F7" s="14" t="n">
        <v>1384.08</v>
      </c>
      <c r="G7" s="15">
        <f>HYPERLINK("https://www.tradingview.com/chart/?symbol=NSE:CIPLA","Chart 📈")</f>
        <v/>
      </c>
    </row>
    <row r="8" ht="16" customHeight="1">
      <c r="A8" s="16" t="inlineStr">
        <is>
          <t>NIFTY PHARMA</t>
        </is>
      </c>
      <c r="B8" s="13" t="inlineStr">
        <is>
          <t>DIVISLAB</t>
        </is>
      </c>
      <c r="C8" s="14" t="n">
        <v>6747</v>
      </c>
      <c r="D8" s="14" t="n">
        <v>6691.27</v>
      </c>
      <c r="E8" s="14" t="n">
        <v>6596.3</v>
      </c>
      <c r="F8" s="14" t="n">
        <v>6438.64</v>
      </c>
      <c r="G8" s="15">
        <f>HYPERLINK("https://www.tradingview.com/chart/?symbol=NSE:DIVISLAB","Chart 📈")</f>
        <v/>
      </c>
    </row>
    <row r="9" ht="16" customHeight="1">
      <c r="A9" s="16" t="inlineStr">
        <is>
          <t>NIFTY PHARMA</t>
        </is>
      </c>
      <c r="B9" s="13" t="inlineStr">
        <is>
          <t>DRREDDY</t>
        </is>
      </c>
      <c r="C9" s="14" t="n">
        <v>1301.3</v>
      </c>
      <c r="D9" s="14" t="n">
        <v>1283.9</v>
      </c>
      <c r="E9" s="14" t="n">
        <v>1284.49</v>
      </c>
      <c r="F9" s="14" t="n">
        <v>1274.29</v>
      </c>
      <c r="G9" s="15">
        <f>HYPERLINK("https://www.tradingview.com/chart/?symbol=NSE:DRREDDY","Chart 📈")</f>
        <v/>
      </c>
    </row>
    <row r="10" ht="16" customHeight="1">
      <c r="A10" s="16" t="inlineStr">
        <is>
          <t>NIFTY PHARMA</t>
        </is>
      </c>
      <c r="B10" s="13" t="inlineStr">
        <is>
          <t>GLAND</t>
        </is>
      </c>
      <c r="C10" s="14" t="n">
        <v>2298.2</v>
      </c>
      <c r="D10" s="14" t="n">
        <v>2213.83</v>
      </c>
      <c r="E10" s="14" t="n">
        <v>2091.47</v>
      </c>
      <c r="F10" s="14" t="n">
        <v>1895.93</v>
      </c>
      <c r="G10" s="15">
        <f>HYPERLINK("https://www.tradingview.com/chart/?symbol=NSE:GLAND","Chart 📈")</f>
        <v/>
      </c>
    </row>
    <row r="11" ht="16" customHeight="1">
      <c r="A11" s="16" t="inlineStr">
        <is>
          <t>NIFTY PHARMA</t>
        </is>
      </c>
      <c r="B11" s="13" t="inlineStr">
        <is>
          <t>GRANULES</t>
        </is>
      </c>
      <c r="C11" s="14" t="n">
        <v>788</v>
      </c>
      <c r="D11" s="14" t="n">
        <v>766.79</v>
      </c>
      <c r="E11" s="14" t="n">
        <v>734.4299999999999</v>
      </c>
      <c r="F11" s="14" t="n">
        <v>631.73</v>
      </c>
      <c r="G11" s="15">
        <f>HYPERLINK("https://www.tradingview.com/chart/?symbol=NSE:GRANULES","Chart 📈")</f>
        <v/>
      </c>
    </row>
    <row r="12" ht="16" customHeight="1">
      <c r="A12" s="16" t="inlineStr">
        <is>
          <t>NIFTY PHARMA</t>
        </is>
      </c>
      <c r="B12" s="13" t="inlineStr">
        <is>
          <t>IPCALAB</t>
        </is>
      </c>
      <c r="C12" s="14" t="n">
        <v>1625</v>
      </c>
      <c r="D12" s="14" t="n">
        <v>1583.71</v>
      </c>
      <c r="E12" s="14" t="n">
        <v>1564.11</v>
      </c>
      <c r="F12" s="14" t="n">
        <v>1484.53</v>
      </c>
      <c r="G12" s="15">
        <f>HYPERLINK("https://www.tradingview.com/chart/?symbol=NSE:IPCALAB","Chart 📈")</f>
        <v/>
      </c>
    </row>
    <row r="13" ht="16" customHeight="1">
      <c r="A13" s="16" t="inlineStr">
        <is>
          <t>NIFTY PHARMA</t>
        </is>
      </c>
      <c r="B13" s="13" t="inlineStr">
        <is>
          <t>JBCHEPHARM</t>
        </is>
      </c>
      <c r="C13" s="14" t="n">
        <v>2237</v>
      </c>
      <c r="D13" s="14" t="n">
        <v>2191.35</v>
      </c>
      <c r="E13" s="14" t="n">
        <v>2139.17</v>
      </c>
      <c r="F13" s="14" t="n">
        <v>1963.4</v>
      </c>
      <c r="G13" s="15">
        <f>HYPERLINK("https://www.tradingview.com/chart/?symbol=NSE:JBCHEPHARM","Chart 📈")</f>
        <v/>
      </c>
    </row>
    <row r="14" ht="16" customHeight="1">
      <c r="A14" s="16" t="inlineStr">
        <is>
          <t>NIFTY PHARMA</t>
        </is>
      </c>
      <c r="B14" s="13" t="inlineStr">
        <is>
          <t>LAURUSLABS</t>
        </is>
      </c>
      <c r="C14" s="14" t="n">
        <v>1481</v>
      </c>
      <c r="D14" s="14" t="n">
        <v>1388.71</v>
      </c>
      <c r="E14" s="14" t="n">
        <v>1301.74</v>
      </c>
      <c r="F14" s="14" t="n">
        <v>1085.43</v>
      </c>
      <c r="G14" s="15">
        <f>HYPERLINK("https://www.tradingview.com/chart/?symbol=NSE:LAURUSLABS","Chart 📈")</f>
        <v/>
      </c>
    </row>
    <row r="15" ht="16" customHeight="1">
      <c r="A15" s="16" t="inlineStr">
        <is>
          <t>NIFTY PHARMA</t>
        </is>
      </c>
      <c r="B15" s="13" t="inlineStr">
        <is>
          <t>LUPIN</t>
        </is>
      </c>
      <c r="C15" s="14" t="n">
        <v>2357.8</v>
      </c>
      <c r="D15" s="14" t="n">
        <v>2297.11</v>
      </c>
      <c r="E15" s="14" t="n">
        <v>2289.57</v>
      </c>
      <c r="F15" s="14" t="n">
        <v>2185.3</v>
      </c>
      <c r="G15" s="15">
        <f>HYPERLINK("https://www.tradingview.com/chart/?symbol=NSE:LUPIN","Chart 📈")</f>
        <v/>
      </c>
    </row>
    <row r="16" ht="16" customHeight="1">
      <c r="A16" s="16" t="inlineStr">
        <is>
          <t>NIFTY PHARMA</t>
        </is>
      </c>
      <c r="B16" s="13" t="inlineStr">
        <is>
          <t>MANKIND</t>
        </is>
      </c>
      <c r="C16" s="14" t="n">
        <v>2528.6</v>
      </c>
      <c r="D16" s="14" t="n">
        <v>2408.89</v>
      </c>
      <c r="E16" s="14" t="n">
        <v>2349.37</v>
      </c>
      <c r="F16" s="14" t="n">
        <v>2285.4</v>
      </c>
      <c r="G16" s="15">
        <f>HYPERLINK("https://www.tradingview.com/chart/?symbol=NSE:MANKIND","Chart 📈")</f>
        <v/>
      </c>
    </row>
    <row r="17" ht="16" customHeight="1">
      <c r="A17" s="16" t="inlineStr">
        <is>
          <t>NIFTY PHARMA</t>
        </is>
      </c>
      <c r="B17" s="13" t="inlineStr">
        <is>
          <t>SUNPHARMA</t>
        </is>
      </c>
      <c r="C17" s="14" t="n">
        <v>1868</v>
      </c>
      <c r="D17" s="14" t="n">
        <v>1821.27</v>
      </c>
      <c r="E17" s="14" t="n">
        <v>1803.26</v>
      </c>
      <c r="F17" s="14" t="n">
        <v>1741.51</v>
      </c>
      <c r="G17" s="15">
        <f>HYPERLINK("https://www.tradingview.com/chart/?symbol=NSE:SUNPHARMA","Chart 📈")</f>
        <v/>
      </c>
    </row>
    <row r="18" ht="16" customHeight="1">
      <c r="A18" s="16" t="inlineStr">
        <is>
          <t>NIFTY PHARMA</t>
        </is>
      </c>
      <c r="B18" s="13" t="inlineStr">
        <is>
          <t>TORNTPHARM</t>
        </is>
      </c>
      <c r="C18" s="14" t="n">
        <v>4514.1</v>
      </c>
      <c r="D18" s="14" t="n">
        <v>4450.78</v>
      </c>
      <c r="E18" s="14" t="n">
        <v>4375.85</v>
      </c>
      <c r="F18" s="14" t="n">
        <v>4031.01</v>
      </c>
      <c r="G18" s="15">
        <f>HYPERLINK("https://www.tradingview.com/chart/?symbol=NSE:TORNTPHARM","Chart 📈")</f>
        <v/>
      </c>
    </row>
    <row r="19" ht="16" customHeight="1">
      <c r="A19" s="16" t="inlineStr">
        <is>
          <t>NIFTY PHARMA</t>
        </is>
      </c>
      <c r="B19" s="13" t="inlineStr">
        <is>
          <t>ZYDUSLIFE</t>
        </is>
      </c>
      <c r="C19" s="14" t="n">
        <v>1112.2</v>
      </c>
      <c r="D19" s="14" t="n">
        <v>1074.48</v>
      </c>
      <c r="E19" s="14" t="n">
        <v>1026.26</v>
      </c>
      <c r="F19" s="14" t="n">
        <v>964.3099999999999</v>
      </c>
      <c r="G19" s="15">
        <f>HYPERLINK("https://www.tradingview.com/chart/?symbol=NSE:ZYDUSLIFE","Chart 📈")</f>
        <v/>
      </c>
    </row>
    <row r="20" ht="16" customHeight="1">
      <c r="A20" s="8" t="inlineStr">
        <is>
          <t>NIFTY REALTY</t>
        </is>
      </c>
      <c r="B20" s="17" t="inlineStr">
        <is>
          <t>MAHLIFE</t>
        </is>
      </c>
      <c r="C20" s="18" t="n">
        <v>360.05</v>
      </c>
      <c r="D20" s="18" t="n">
        <v>341.7</v>
      </c>
      <c r="E20" s="18" t="n">
        <v>339.12</v>
      </c>
      <c r="F20" s="18" t="n">
        <v>353.26</v>
      </c>
      <c r="G20" s="19">
        <f>HYPERLINK("https://www.tradingview.com/chart/?symbol=NSE:MAHLIFE","Chart 📈")</f>
        <v/>
      </c>
    </row>
    <row r="21" ht="16" customHeight="1">
      <c r="A21" s="20" t="inlineStr">
        <is>
          <t>NIFTY REALTY</t>
        </is>
      </c>
      <c r="B21" s="17" t="inlineStr">
        <is>
          <t>OBEROIRLTY</t>
        </is>
      </c>
      <c r="C21" s="18" t="n">
        <v>1704.4</v>
      </c>
      <c r="D21" s="18" t="n">
        <v>1665.02</v>
      </c>
      <c r="E21" s="18" t="n">
        <v>1645.24</v>
      </c>
      <c r="F21" s="18" t="n">
        <v>1650.11</v>
      </c>
      <c r="G21" s="19">
        <f>HYPERLINK("https://www.tradingview.com/chart/?symbol=NSE:OBEROIRLTY","Chart 📈")</f>
        <v/>
      </c>
    </row>
    <row r="22" ht="16" customHeight="1">
      <c r="A22" s="20" t="inlineStr">
        <is>
          <t>NIFTY REALTY</t>
        </is>
      </c>
      <c r="B22" s="17" t="inlineStr">
        <is>
          <t>PHOENIXLTD</t>
        </is>
      </c>
      <c r="C22" s="18" t="n">
        <v>1851.6</v>
      </c>
      <c r="D22" s="18" t="n">
        <v>1808.27</v>
      </c>
      <c r="E22" s="18" t="n">
        <v>1771.46</v>
      </c>
      <c r="F22" s="18" t="n">
        <v>1712.2</v>
      </c>
      <c r="G22" s="19">
        <f>HYPERLINK("https://www.tradingview.com/chart/?symbol=NSE:PHOENIXLTD","Chart 📈")</f>
        <v/>
      </c>
    </row>
    <row r="23" ht="16" customHeight="1">
      <c r="A23" s="20" t="inlineStr">
        <is>
          <t>NIFTY REALTY</t>
        </is>
      </c>
      <c r="B23" s="17" t="inlineStr">
        <is>
          <t>PRESTIGE</t>
        </is>
      </c>
      <c r="C23" s="18" t="n">
        <v>1512.7</v>
      </c>
      <c r="D23" s="18" t="n">
        <v>1439.35</v>
      </c>
      <c r="E23" s="18" t="n">
        <v>1407.59</v>
      </c>
      <c r="F23" s="18" t="n">
        <v>1481.51</v>
      </c>
      <c r="G23" s="19">
        <f>HYPERLINK("https://www.tradingview.com/chart/?symbol=NSE:PRESTIGE","Chart 📈")</f>
        <v/>
      </c>
    </row>
    <row r="24" ht="16" customHeight="1">
      <c r="A24" s="20" t="inlineStr">
        <is>
          <t>NIFTY REALTY</t>
        </is>
      </c>
      <c r="B24" s="17" t="inlineStr">
        <is>
          <t>RAYMOND</t>
        </is>
      </c>
      <c r="C24" s="18" t="n">
        <v>592.85</v>
      </c>
      <c r="D24" s="18" t="n">
        <v>560.49</v>
      </c>
      <c r="E24" s="18" t="n">
        <v>514.91</v>
      </c>
      <c r="F24" s="18" t="n">
        <v>492.25</v>
      </c>
      <c r="G24" s="19">
        <f>HYPERLINK("https://www.tradingview.com/chart/?symbol=NSE:RAYMOND","Chart 📈")</f>
        <v/>
      </c>
    </row>
    <row r="25" ht="16" customHeight="1">
      <c r="A25" s="12" t="inlineStr">
        <is>
          <t>NIFTY PSU BANK</t>
        </is>
      </c>
      <c r="B25" s="13" t="inlineStr">
        <is>
          <t>BANKBARODA</t>
        </is>
      </c>
      <c r="C25" s="14" t="n">
        <v>277.8</v>
      </c>
      <c r="D25" s="14" t="n">
        <v>272.08</v>
      </c>
      <c r="E25" s="14" t="n">
        <v>267.95</v>
      </c>
      <c r="F25" s="14" t="n">
        <v>265.22</v>
      </c>
      <c r="G25" s="15">
        <f>HYPERLINK("https://www.tradingview.com/chart/?symbol=NSE:BANKBARODA","Chart 📈")</f>
        <v/>
      </c>
    </row>
    <row r="26" ht="16" customHeight="1">
      <c r="A26" s="16" t="inlineStr">
        <is>
          <t>NIFTY PSU BANK</t>
        </is>
      </c>
      <c r="B26" s="13" t="inlineStr">
        <is>
          <t>BANKINDIA</t>
        </is>
      </c>
      <c r="C26" s="14" t="n">
        <v>144.51</v>
      </c>
      <c r="D26" s="14" t="n">
        <v>143.58</v>
      </c>
      <c r="E26" s="14" t="n">
        <v>142.46</v>
      </c>
      <c r="F26" s="14" t="n">
        <v>138.3</v>
      </c>
      <c r="G26" s="15">
        <f>HYPERLINK("https://www.tradingview.com/chart/?symbol=NSE:BANKINDIA","Chart 📈")</f>
        <v/>
      </c>
    </row>
    <row r="27" ht="16" customHeight="1">
      <c r="A27" s="16" t="inlineStr">
        <is>
          <t>NIFTY PSU BANK</t>
        </is>
      </c>
      <c r="B27" s="13" t="inlineStr">
        <is>
          <t>INDIANB</t>
        </is>
      </c>
      <c r="C27" s="14" t="n">
        <v>846.4</v>
      </c>
      <c r="D27" s="14" t="n">
        <v>844.42</v>
      </c>
      <c r="E27" s="14" t="n">
        <v>844.74</v>
      </c>
      <c r="F27" s="14" t="n">
        <v>812.2</v>
      </c>
      <c r="G27" s="15">
        <f>HYPERLINK("https://www.tradingview.com/chart/?symbol=NSE:INDIANB","Chart 📈")</f>
        <v/>
      </c>
    </row>
    <row r="28" ht="16" customHeight="1">
      <c r="A28" s="16" t="inlineStr">
        <is>
          <t>NIFTY PSU BANK</t>
        </is>
      </c>
      <c r="B28" s="13" t="inlineStr">
        <is>
          <t>MAHABANK</t>
        </is>
      </c>
      <c r="C28" s="14" t="n">
        <v>87.89</v>
      </c>
      <c r="D28" s="14" t="n">
        <v>84.83</v>
      </c>
      <c r="E28" s="14" t="n">
        <v>79.86</v>
      </c>
      <c r="F28" s="14" t="n">
        <v>67.95</v>
      </c>
      <c r="G28" s="15">
        <f>HYPERLINK("https://www.tradingview.com/chart/?symbol=NSE:MAHABANK","Chart 📈")</f>
        <v/>
      </c>
    </row>
    <row r="29" ht="16" customHeight="1">
      <c r="A29" s="16" t="inlineStr">
        <is>
          <t>NIFTY PSU BANK</t>
        </is>
      </c>
      <c r="B29" s="13" t="inlineStr">
        <is>
          <t>SBIN</t>
        </is>
      </c>
      <c r="C29" s="14" t="n">
        <v>1024.2</v>
      </c>
      <c r="D29" s="14" t="n">
        <v>1008.61</v>
      </c>
      <c r="E29" s="14" t="n">
        <v>1010.47</v>
      </c>
      <c r="F29" s="14" t="n">
        <v>979.23</v>
      </c>
      <c r="G29" s="15">
        <f>HYPERLINK("https://www.tradingview.com/chart/?symbol=NSE:SBIN","Chart 📈")</f>
        <v/>
      </c>
    </row>
    <row r="30" ht="16" customHeight="1">
      <c r="A30" s="16" t="inlineStr">
        <is>
          <t>NIFTY PSU BANK</t>
        </is>
      </c>
      <c r="B30" s="13" t="inlineStr">
        <is>
          <t>UNIONBANK</t>
        </is>
      </c>
      <c r="C30" s="14" t="n">
        <v>175.12</v>
      </c>
      <c r="D30" s="14" t="n">
        <v>170.59</v>
      </c>
      <c r="E30" s="14" t="n">
        <v>170.52</v>
      </c>
      <c r="F30" s="14" t="n">
        <v>164.34</v>
      </c>
      <c r="G30" s="15">
        <f>HYPERLINK("https://www.tradingview.com/chart/?symbol=NSE:UNIONBANK","Chart 📈")</f>
        <v/>
      </c>
    </row>
    <row r="31" ht="16" customHeight="1">
      <c r="A31" s="8" t="inlineStr">
        <is>
          <t>NIFTY MEDIA</t>
        </is>
      </c>
      <c r="B31" s="17" t="inlineStr">
        <is>
          <t>DEN</t>
        </is>
      </c>
      <c r="C31" s="18" t="n">
        <v>31.59</v>
      </c>
      <c r="D31" s="18" t="n">
        <v>29.1</v>
      </c>
      <c r="E31" s="18" t="n">
        <v>28.15</v>
      </c>
      <c r="F31" s="18" t="n">
        <v>29.84</v>
      </c>
      <c r="G31" s="19">
        <f>HYPERLINK("https://www.tradingview.com/chart/?symbol=NSE:DEN","Chart 📈")</f>
        <v/>
      </c>
    </row>
    <row r="32" ht="16" customHeight="1">
      <c r="A32" s="20" t="inlineStr">
        <is>
          <t>NIFTY MEDIA</t>
        </is>
      </c>
      <c r="B32" s="17" t="inlineStr">
        <is>
          <t>NAZARA</t>
        </is>
      </c>
      <c r="C32" s="18" t="n">
        <v>292.7</v>
      </c>
      <c r="D32" s="18" t="n">
        <v>287.97</v>
      </c>
      <c r="E32" s="18" t="n">
        <v>278.73</v>
      </c>
      <c r="F32" s="18" t="n">
        <v>276.42</v>
      </c>
      <c r="G32" s="19">
        <f>HYPERLINK("https://www.tradingview.com/chart/?symbol=NSE:NAZARA","Chart 📈")</f>
        <v/>
      </c>
    </row>
    <row r="33" ht="16" customHeight="1">
      <c r="A33" s="20" t="inlineStr">
        <is>
          <t>NIFTY MEDIA</t>
        </is>
      </c>
      <c r="B33" s="17" t="inlineStr">
        <is>
          <t>SAREGAMA</t>
        </is>
      </c>
      <c r="C33" s="18" t="n">
        <v>473.4</v>
      </c>
      <c r="D33" s="18" t="n">
        <v>448.24</v>
      </c>
      <c r="E33" s="18" t="n">
        <v>412.75</v>
      </c>
      <c r="F33" s="18" t="n">
        <v>398.29</v>
      </c>
      <c r="G33" s="19">
        <f>HYPERLINK("https://www.tradingview.com/chart/?symbol=NSE:SAREGAMA","Chart 📈")</f>
        <v/>
      </c>
    </row>
    <row r="34" ht="16" customHeight="1">
      <c r="A34" s="20" t="inlineStr">
        <is>
          <t>NIFTY MEDIA</t>
        </is>
      </c>
      <c r="B34" s="17" t="inlineStr">
        <is>
          <t>ZEEL</t>
        </is>
      </c>
      <c r="C34" s="18" t="n">
        <v>114.86</v>
      </c>
      <c r="D34" s="18" t="n">
        <v>106.07</v>
      </c>
      <c r="E34" s="18" t="n">
        <v>97.48</v>
      </c>
      <c r="F34" s="18" t="n">
        <v>98.92</v>
      </c>
      <c r="G34" s="19">
        <f>HYPERLINK("https://www.tradingview.com/chart/?symbol=NSE:ZEEL","Chart 📈")</f>
        <v/>
      </c>
    </row>
    <row r="35" ht="16" customHeight="1">
      <c r="A35" s="12" t="inlineStr">
        <is>
          <t>NIFTY AUTO</t>
        </is>
      </c>
      <c r="B35" s="13" t="inlineStr">
        <is>
          <t>BHARATFORG</t>
        </is>
      </c>
      <c r="C35" s="14" t="n">
        <v>2152.3</v>
      </c>
      <c r="D35" s="14" t="n">
        <v>1994.35</v>
      </c>
      <c r="E35" s="14" t="n">
        <v>1922.06</v>
      </c>
      <c r="F35" s="14" t="n">
        <v>1660.94</v>
      </c>
      <c r="G35" s="15">
        <f>HYPERLINK("https://www.tradingview.com/chart/?symbol=NSE:BHARATFORG","Chart 📈")</f>
        <v/>
      </c>
    </row>
    <row r="36" ht="16" customHeight="1">
      <c r="A36" s="16" t="inlineStr">
        <is>
          <t>NIFTY AUTO</t>
        </is>
      </c>
      <c r="B36" s="13" t="inlineStr">
        <is>
          <t>BOSCHLTD</t>
        </is>
      </c>
      <c r="C36" s="14" t="n">
        <v>40190</v>
      </c>
      <c r="D36" s="14" t="n">
        <v>38501.88</v>
      </c>
      <c r="E36" s="14" t="n">
        <v>37249.01</v>
      </c>
      <c r="F36" s="14" t="n">
        <v>36054.45</v>
      </c>
      <c r="G36" s="15">
        <f>HYPERLINK("https://www.tradingview.com/chart/?symbol=NSE:BOSCHLTD","Chart 📈")</f>
        <v/>
      </c>
    </row>
    <row r="37" ht="16" customHeight="1">
      <c r="A37" s="16" t="inlineStr">
        <is>
          <t>NIFTY AUTO</t>
        </is>
      </c>
      <c r="B37" s="13" t="inlineStr">
        <is>
          <t>EICHERMOT</t>
        </is>
      </c>
      <c r="C37" s="14" t="n">
        <v>7578</v>
      </c>
      <c r="D37" s="14" t="n">
        <v>7380.72</v>
      </c>
      <c r="E37" s="14" t="n">
        <v>7266.38</v>
      </c>
      <c r="F37" s="14" t="n">
        <v>6988.45</v>
      </c>
      <c r="G37" s="15">
        <f>HYPERLINK("https://www.tradingview.com/chart/?symbol=NSE:EICHERMOT","Chart 📈")</f>
        <v/>
      </c>
    </row>
    <row r="38" ht="16" customHeight="1">
      <c r="A38" s="16" t="inlineStr">
        <is>
          <t>NIFTY AUTO</t>
        </is>
      </c>
      <c r="B38" s="13" t="inlineStr">
        <is>
          <t>MOTHERSON</t>
        </is>
      </c>
      <c r="C38" s="14" t="n">
        <v>143.61</v>
      </c>
      <c r="D38" s="14" t="n">
        <v>142.47</v>
      </c>
      <c r="E38" s="14" t="n">
        <v>135.69</v>
      </c>
      <c r="F38" s="14" t="n">
        <v>121.04</v>
      </c>
      <c r="G38" s="15">
        <f>HYPERLINK("https://www.tradingview.com/chart/?symbol=NSE:MOTHERSON","Chart 📈")</f>
        <v/>
      </c>
    </row>
    <row r="39" ht="16" customHeight="1">
      <c r="A39" s="8" t="inlineStr">
        <is>
          <t>NIFTY FINANCIAL SERVICES</t>
        </is>
      </c>
      <c r="B39" s="17" t="inlineStr">
        <is>
          <t>AXISBANK</t>
        </is>
      </c>
      <c r="C39" s="18" t="n">
        <v>1363.5</v>
      </c>
      <c r="D39" s="18" t="n">
        <v>1325.36</v>
      </c>
      <c r="E39" s="18" t="n">
        <v>1304.94</v>
      </c>
      <c r="F39" s="18" t="n">
        <v>1269.1</v>
      </c>
      <c r="G39" s="19">
        <f>HYPERLINK("https://www.tradingview.com/chart/?symbol=NSE:AXISBANK","Chart 📈")</f>
        <v/>
      </c>
    </row>
    <row r="40" ht="16" customHeight="1">
      <c r="A40" s="20" t="inlineStr">
        <is>
          <t>NIFTY FINANCIAL SERVICES</t>
        </is>
      </c>
      <c r="B40" s="17" t="inlineStr">
        <is>
          <t>BAJFINANCE</t>
        </is>
      </c>
      <c r="C40" s="18" t="n">
        <v>962.4</v>
      </c>
      <c r="D40" s="18" t="n">
        <v>930.09</v>
      </c>
      <c r="E40" s="18" t="n">
        <v>922.75</v>
      </c>
      <c r="F40" s="18" t="n">
        <v>939.86</v>
      </c>
      <c r="G40" s="19">
        <f>HYPERLINK("https://www.tradingview.com/chart/?symbol=NSE:BAJFINANCE","Chart 📈")</f>
        <v/>
      </c>
    </row>
    <row r="41" ht="16" customHeight="1">
      <c r="A41" s="20" t="inlineStr">
        <is>
          <t>NIFTY FINANCIAL SERVICES</t>
        </is>
      </c>
      <c r="B41" s="17" t="inlineStr">
        <is>
          <t>CHOLAFIN</t>
        </is>
      </c>
      <c r="C41" s="18" t="n">
        <v>1725.9</v>
      </c>
      <c r="D41" s="18" t="n">
        <v>1607.49</v>
      </c>
      <c r="E41" s="18" t="n">
        <v>1580.04</v>
      </c>
      <c r="F41" s="18" t="n">
        <v>1598.33</v>
      </c>
      <c r="G41" s="19">
        <f>HYPERLINK("https://www.tradingview.com/chart/?symbol=NSE:CHOLAFIN","Chart 📈")</f>
        <v/>
      </c>
    </row>
    <row r="42" ht="16" customHeight="1">
      <c r="A42" s="20" t="inlineStr">
        <is>
          <t>NIFTY FINANCIAL SERVICES</t>
        </is>
      </c>
      <c r="B42" s="17" t="inlineStr">
        <is>
          <t>HDFCAMC</t>
        </is>
      </c>
      <c r="C42" s="18" t="n">
        <v>2680</v>
      </c>
      <c r="D42" s="18" t="n">
        <v>2612.51</v>
      </c>
      <c r="E42" s="18" t="n">
        <v>2595.79</v>
      </c>
      <c r="F42" s="18" t="n">
        <v>2580.63</v>
      </c>
      <c r="G42" s="19">
        <f>HYPERLINK("https://www.tradingview.com/chart/?symbol=NSE:HDFCAMC","Chart 📈")</f>
        <v/>
      </c>
    </row>
    <row r="43" ht="16" customHeight="1">
      <c r="A43" s="20" t="inlineStr">
        <is>
          <t>NIFTY FINANCIAL SERVICES</t>
        </is>
      </c>
      <c r="B43" s="17" t="inlineStr">
        <is>
          <t>ICICIBANK</t>
        </is>
      </c>
      <c r="C43" s="18" t="n">
        <v>1338.3</v>
      </c>
      <c r="D43" s="18" t="n">
        <v>1308.06</v>
      </c>
      <c r="E43" s="18" t="n">
        <v>1295.73</v>
      </c>
      <c r="F43" s="18" t="n">
        <v>1335.75</v>
      </c>
      <c r="G43" s="19">
        <f>HYPERLINK("https://www.tradingview.com/chart/?symbol=NSE:ICICIBANK","Chart 📈")</f>
        <v/>
      </c>
    </row>
    <row r="44" ht="16" customHeight="1">
      <c r="A44" s="20" t="inlineStr">
        <is>
          <t>NIFTY FINANCIAL SERVICES</t>
        </is>
      </c>
      <c r="B44" s="17" t="inlineStr">
        <is>
          <t>PFC</t>
        </is>
      </c>
      <c r="C44" s="18" t="n">
        <v>430.9</v>
      </c>
      <c r="D44" s="18" t="n">
        <v>430.49</v>
      </c>
      <c r="E44" s="18" t="n">
        <v>430.81</v>
      </c>
      <c r="F44" s="18" t="n">
        <v>408.85</v>
      </c>
      <c r="G44" s="19">
        <f>HYPERLINK("https://www.tradingview.com/chart/?symbol=NSE:PFC","Chart 📈")</f>
        <v/>
      </c>
    </row>
    <row r="45" ht="16" customHeight="1">
      <c r="A45" s="20" t="inlineStr">
        <is>
          <t>NIFTY FINANCIAL SERVICES</t>
        </is>
      </c>
      <c r="B45" s="17" t="inlineStr">
        <is>
          <t>RECLTD</t>
        </is>
      </c>
      <c r="C45" s="18" t="n">
        <v>361.9</v>
      </c>
      <c r="D45" s="18" t="n">
        <v>350.89</v>
      </c>
      <c r="E45" s="18" t="n">
        <v>348.21</v>
      </c>
      <c r="F45" s="18" t="n">
        <v>352.84</v>
      </c>
      <c r="G45" s="19">
        <f>HYPERLINK("https://www.tradingview.com/chart/?symbol=NSE:RECLTD","Chart 📈")</f>
        <v/>
      </c>
    </row>
    <row r="46" ht="16" customHeight="1">
      <c r="A46" s="20" t="inlineStr">
        <is>
          <t>NIFTY FINANCIAL SERVICES</t>
        </is>
      </c>
      <c r="B46" s="17" t="inlineStr">
        <is>
          <t>SHRIRAMFIN</t>
        </is>
      </c>
      <c r="C46" s="18" t="n">
        <v>993.35</v>
      </c>
      <c r="D46" s="18" t="n">
        <v>964.38</v>
      </c>
      <c r="E46" s="18" t="n">
        <v>961.6799999999999</v>
      </c>
      <c r="F46" s="18" t="n">
        <v>899.84</v>
      </c>
      <c r="G46" s="19">
        <f>HYPERLINK("https://www.tradingview.com/chart/?symbol=NSE:SHRIRAMFIN","Chart 📈")</f>
        <v/>
      </c>
    </row>
    <row r="47" ht="16" customHeight="1">
      <c r="A47" s="12" t="inlineStr">
        <is>
          <t>NIFTY CONSUMER DURABLES</t>
        </is>
      </c>
      <c r="B47" s="13" t="inlineStr">
        <is>
          <t>AMBER</t>
        </is>
      </c>
      <c r="C47" s="14" t="n">
        <v>7788</v>
      </c>
      <c r="D47" s="14" t="n">
        <v>7730.11</v>
      </c>
      <c r="E47" s="14" t="n">
        <v>7649.91</v>
      </c>
      <c r="F47" s="14" t="n">
        <v>7342.94</v>
      </c>
      <c r="G47" s="15">
        <f>HYPERLINK("https://www.tradingview.com/chart/?symbol=NSE:AMBER","Chart 📈")</f>
        <v/>
      </c>
    </row>
    <row r="48" ht="16" customHeight="1">
      <c r="A48" s="16" t="inlineStr">
        <is>
          <t>NIFTY CONSUMER DURABLES</t>
        </is>
      </c>
      <c r="B48" s="13" t="inlineStr">
        <is>
          <t>CERA</t>
        </is>
      </c>
      <c r="C48" s="14" t="n">
        <v>6430</v>
      </c>
      <c r="D48" s="14" t="n">
        <v>6034.89</v>
      </c>
      <c r="E48" s="14" t="n">
        <v>5719.8</v>
      </c>
      <c r="F48" s="14" t="n">
        <v>5618.2</v>
      </c>
      <c r="G48" s="15">
        <f>HYPERLINK("https://www.tradingview.com/chart/?symbol=NSE:CERA","Chart 📈")</f>
        <v/>
      </c>
    </row>
    <row r="49" ht="16" customHeight="1">
      <c r="A49" s="16" t="inlineStr">
        <is>
          <t>NIFTY CONSUMER DURABLES</t>
        </is>
      </c>
      <c r="B49" s="13" t="inlineStr">
        <is>
          <t>KAJARIACER</t>
        </is>
      </c>
      <c r="C49" s="14" t="n">
        <v>1193.1</v>
      </c>
      <c r="D49" s="14" t="n">
        <v>1122.77</v>
      </c>
      <c r="E49" s="14" t="n">
        <v>1096.42</v>
      </c>
      <c r="F49" s="14" t="n">
        <v>1070.78</v>
      </c>
      <c r="G49" s="15">
        <f>HYPERLINK("https://www.tradingview.com/chart/?symbol=NSE:KAJARIACER","Chart 📈")</f>
        <v/>
      </c>
    </row>
    <row r="50" ht="16" customHeight="1">
      <c r="A50" s="16" t="inlineStr">
        <is>
          <t>NIFTY CONSUMER DURABLES</t>
        </is>
      </c>
      <c r="B50" s="13" t="inlineStr">
        <is>
          <t>TITAN</t>
        </is>
      </c>
      <c r="C50" s="14" t="n">
        <v>4305.3</v>
      </c>
      <c r="D50" s="14" t="n">
        <v>4250.95</v>
      </c>
      <c r="E50" s="14" t="n">
        <v>4227.6</v>
      </c>
      <c r="F50" s="14" t="n">
        <v>4042.23</v>
      </c>
      <c r="G50" s="15">
        <f>HYPERLINK("https://www.tradingview.com/chart/?symbol=NSE:TITAN","Chart 📈")</f>
        <v/>
      </c>
    </row>
    <row r="51" ht="16" customHeight="1">
      <c r="A51" s="8" t="inlineStr">
        <is>
          <t>NIFTY OIL &amp; GAS</t>
        </is>
      </c>
      <c r="B51" s="17" t="inlineStr">
        <is>
          <t>AEGISLOG</t>
        </is>
      </c>
      <c r="C51" s="18" t="n">
        <v>1055.7</v>
      </c>
      <c r="D51" s="18" t="n">
        <v>901.2</v>
      </c>
      <c r="E51" s="18" t="n">
        <v>800.95</v>
      </c>
      <c r="F51" s="18" t="n">
        <v>740.25</v>
      </c>
      <c r="G51" s="19">
        <f>HYPERLINK("https://www.tradingview.com/chart/?symbol=NSE:AEGISLOG","Chart 📈")</f>
        <v/>
      </c>
    </row>
    <row r="52" ht="16" customHeight="1">
      <c r="A52" s="20" t="inlineStr">
        <is>
          <t>NIFTY OIL &amp; GAS</t>
        </is>
      </c>
      <c r="B52" s="17" t="inlineStr">
        <is>
          <t>GAIL</t>
        </is>
      </c>
      <c r="C52" s="18" t="n">
        <v>173.84</v>
      </c>
      <c r="D52" s="18" t="n">
        <v>170.6</v>
      </c>
      <c r="E52" s="18" t="n">
        <v>165.78</v>
      </c>
      <c r="F52" s="18" t="n">
        <v>165.19</v>
      </c>
      <c r="G52" s="19">
        <f>HYPERLINK("https://www.tradingview.com/chart/?symbol=NSE:GAIL","Chart 📈")</f>
        <v/>
      </c>
    </row>
    <row r="53" ht="16" customHeight="1">
      <c r="A53" s="20" t="inlineStr">
        <is>
          <t>NIFTY OIL &amp; GAS</t>
        </is>
      </c>
      <c r="B53" s="17" t="inlineStr">
        <is>
          <t>MGL</t>
        </is>
      </c>
      <c r="C53" s="18" t="n">
        <v>1220</v>
      </c>
      <c r="D53" s="18" t="n">
        <v>1145.22</v>
      </c>
      <c r="E53" s="18" t="n">
        <v>1112.94</v>
      </c>
      <c r="F53" s="18" t="n">
        <v>1149.25</v>
      </c>
      <c r="G53" s="19">
        <f>HYPERLINK("https://www.tradingview.com/chart/?symbol=NSE:MGL","Chart 📈")</f>
        <v/>
      </c>
    </row>
    <row r="54" ht="16" customHeight="1">
      <c r="A54" s="20" t="inlineStr">
        <is>
          <t>NIFTY OIL &amp; GAS</t>
        </is>
      </c>
      <c r="B54" s="17" t="inlineStr">
        <is>
          <t>PETRONET</t>
        </is>
      </c>
      <c r="C54" s="18" t="n">
        <v>284.95</v>
      </c>
      <c r="D54" s="18" t="n">
        <v>278.06</v>
      </c>
      <c r="E54" s="18" t="n">
        <v>274.52</v>
      </c>
      <c r="F54" s="18" t="n">
        <v>275.71</v>
      </c>
      <c r="G54" s="19">
        <f>HYPERLINK("https://www.tradingview.com/chart/?symbol=NSE:PETRONET","Chart 📈")</f>
        <v/>
      </c>
    </row>
    <row r="55" ht="16" customHeight="1">
      <c r="A55" s="12" t="inlineStr">
        <is>
          <t>NIFTY ENERGY</t>
        </is>
      </c>
      <c r="B55" s="13" t="inlineStr">
        <is>
          <t>ABB</t>
        </is>
      </c>
      <c r="C55" s="14" t="n">
        <v>7158.5</v>
      </c>
      <c r="D55" s="14" t="n">
        <v>7034.85</v>
      </c>
      <c r="E55" s="14" t="n">
        <v>6857.11</v>
      </c>
      <c r="F55" s="14" t="n">
        <v>6148.5</v>
      </c>
      <c r="G55" s="15">
        <f>HYPERLINK("https://www.tradingview.com/chart/?symbol=NSE:ABB","Chart 📈")</f>
        <v/>
      </c>
    </row>
    <row r="56" ht="16" customHeight="1">
      <c r="A56" s="16" t="inlineStr">
        <is>
          <t>NIFTY ENERGY</t>
        </is>
      </c>
      <c r="B56" s="13" t="inlineStr">
        <is>
          <t>ADANIENSOL</t>
        </is>
      </c>
      <c r="C56" s="14" t="n">
        <v>1493.7</v>
      </c>
      <c r="D56" s="14" t="n">
        <v>1491.69</v>
      </c>
      <c r="E56" s="14" t="n">
        <v>1396.44</v>
      </c>
      <c r="F56" s="14" t="n">
        <v>1134.78</v>
      </c>
      <c r="G56" s="15">
        <f>HYPERLINK("https://www.tradingview.com/chart/?symbol=NSE:ADANIENSOL","Chart 📈")</f>
        <v/>
      </c>
    </row>
    <row r="57" ht="16" customHeight="1">
      <c r="A57" s="16" t="inlineStr">
        <is>
          <t>NIFTY ENERGY</t>
        </is>
      </c>
      <c r="B57" s="13" t="inlineStr">
        <is>
          <t>ADANIGREEN</t>
        </is>
      </c>
      <c r="C57" s="14" t="n">
        <v>1511.2</v>
      </c>
      <c r="D57" s="14" t="n">
        <v>1471.42</v>
      </c>
      <c r="E57" s="14" t="n">
        <v>1359.34</v>
      </c>
      <c r="F57" s="14" t="n">
        <v>1129.53</v>
      </c>
      <c r="G57" s="15">
        <f>HYPERLINK("https://www.tradingview.com/chart/?symbol=NSE:ADANIGREEN","Chart 📈")</f>
        <v/>
      </c>
    </row>
    <row r="58" ht="16" customHeight="1">
      <c r="A58" s="16" t="inlineStr">
        <is>
          <t>NIFTY ENERGY</t>
        </is>
      </c>
      <c r="B58" s="13" t="inlineStr">
        <is>
          <t>ADANIPOWER</t>
        </is>
      </c>
      <c r="C58" s="14" t="n">
        <v>231.39</v>
      </c>
      <c r="D58" s="14" t="n">
        <v>227.3</v>
      </c>
      <c r="E58" s="14" t="n">
        <v>216.08</v>
      </c>
      <c r="F58" s="14" t="n">
        <v>172.91</v>
      </c>
      <c r="G58" s="15">
        <f>HYPERLINK("https://www.tradingview.com/chart/?symbol=NSE:ADANIPOWER","Chart 📈")</f>
        <v/>
      </c>
    </row>
    <row r="59" ht="16" customHeight="1">
      <c r="A59" s="16" t="inlineStr">
        <is>
          <t>NIFTY ENERGY</t>
        </is>
      </c>
      <c r="B59" s="13" t="inlineStr">
        <is>
          <t>BHEL</t>
        </is>
      </c>
      <c r="C59" s="14" t="n">
        <v>399.85</v>
      </c>
      <c r="D59" s="14" t="n">
        <v>395.87</v>
      </c>
      <c r="E59" s="14" t="n">
        <v>374.47</v>
      </c>
      <c r="F59" s="14" t="n">
        <v>308.83</v>
      </c>
      <c r="G59" s="15">
        <f>HYPERLINK("https://www.tradingview.com/chart/?symbol=NSE:BHEL","Chart 📈")</f>
        <v/>
      </c>
    </row>
    <row r="60" ht="16" customHeight="1">
      <c r="A60" s="16" t="inlineStr">
        <is>
          <t>NIFTY ENERGY</t>
        </is>
      </c>
      <c r="B60" s="13" t="inlineStr">
        <is>
          <t>CGPOWER</t>
        </is>
      </c>
      <c r="C60" s="14" t="n">
        <v>950.5</v>
      </c>
      <c r="D60" s="14" t="n">
        <v>924.12</v>
      </c>
      <c r="E60" s="14" t="n">
        <v>869</v>
      </c>
      <c r="F60" s="14" t="n">
        <v>759.59</v>
      </c>
      <c r="G60" s="15">
        <f>HYPERLINK("https://www.tradingview.com/chart/?symbol=NSE:CGPOWER","Chart 📈")</f>
        <v/>
      </c>
    </row>
    <row r="61" ht="16" customHeight="1">
      <c r="A61" s="16" t="inlineStr">
        <is>
          <t>NIFTY ENERGY</t>
        </is>
      </c>
      <c r="B61" s="13" t="inlineStr">
        <is>
          <t>GVT&amp;D</t>
        </is>
      </c>
      <c r="C61" s="14" t="n">
        <v>5404</v>
      </c>
      <c r="D61" s="14" t="n">
        <v>5040.33</v>
      </c>
      <c r="E61" s="14" t="n">
        <v>4697.85</v>
      </c>
      <c r="F61" s="14" t="n">
        <v>3756.49</v>
      </c>
      <c r="G61" s="15">
        <f>HYPERLINK("https://www.tradingview.com/chart/?symbol=NSE:GVT&amp;D","Chart 📈")</f>
        <v/>
      </c>
    </row>
    <row r="62" ht="16" customHeight="1">
      <c r="A62" s="16" t="inlineStr">
        <is>
          <t>NIFTY ENERGY</t>
        </is>
      </c>
      <c r="B62" s="13" t="inlineStr">
        <is>
          <t>JSWENERGY</t>
        </is>
      </c>
      <c r="C62" s="14" t="n">
        <v>568.9</v>
      </c>
      <c r="D62" s="14" t="n">
        <v>568.51</v>
      </c>
      <c r="E62" s="14" t="n">
        <v>554.02</v>
      </c>
      <c r="F62" s="14" t="n">
        <v>521.4299999999999</v>
      </c>
      <c r="G62" s="15">
        <f>HYPERLINK("https://www.tradingview.com/chart/?symbol=NSE:JSWENERGY","Chart 📈")</f>
        <v/>
      </c>
    </row>
    <row r="63" ht="16" customHeight="1">
      <c r="A63" s="16" t="inlineStr">
        <is>
          <t>NIFTY ENERGY</t>
        </is>
      </c>
      <c r="B63" s="13" t="inlineStr">
        <is>
          <t>NLCINDIA</t>
        </is>
      </c>
      <c r="C63" s="14" t="n">
        <v>327.15</v>
      </c>
      <c r="D63" s="14" t="n">
        <v>326.24</v>
      </c>
      <c r="E63" s="14" t="n">
        <v>319.42</v>
      </c>
      <c r="F63" s="14" t="n">
        <v>280.16</v>
      </c>
      <c r="G63" s="15">
        <f>HYPERLINK("https://www.tradingview.com/chart/?symbol=NSE:NLCINDIA","Chart 📈")</f>
        <v/>
      </c>
    </row>
    <row r="64" ht="16" customHeight="1">
      <c r="A64" s="16" t="inlineStr">
        <is>
          <t>NIFTY ENERGY</t>
        </is>
      </c>
      <c r="B64" s="13" t="inlineStr">
        <is>
          <t>POWERINDIA</t>
        </is>
      </c>
      <c r="C64" s="14" t="n">
        <v>36090</v>
      </c>
      <c r="D64" s="14" t="n">
        <v>35409.2</v>
      </c>
      <c r="E64" s="14" t="n">
        <v>33364.31</v>
      </c>
      <c r="F64" s="14" t="n">
        <v>26208.93</v>
      </c>
      <c r="G64" s="15">
        <f>HYPERLINK("https://www.tradingview.com/chart/?symbol=NSE:POWERINDIA","Chart 📈")</f>
        <v/>
      </c>
    </row>
    <row r="65" ht="16" customHeight="1">
      <c r="A65" s="16" t="inlineStr">
        <is>
          <t>NIFTY ENERGY</t>
        </is>
      </c>
      <c r="B65" s="13" t="inlineStr">
        <is>
          <t>SCHNEIDER</t>
        </is>
      </c>
      <c r="C65" s="14" t="n">
        <v>1442.2</v>
      </c>
      <c r="D65" s="14" t="n">
        <v>1254.23</v>
      </c>
      <c r="E65" s="14" t="n">
        <v>1191.33</v>
      </c>
      <c r="F65" s="14" t="n">
        <v>976.6900000000001</v>
      </c>
      <c r="G65" s="15">
        <f>HYPERLINK("https://www.tradingview.com/chart/?symbol=NSE:SCHNEIDER","Chart 📈")</f>
        <v/>
      </c>
    </row>
    <row r="66" ht="16" customHeight="1">
      <c r="A66" s="16" t="inlineStr">
        <is>
          <t>NIFTY ENERGY</t>
        </is>
      </c>
      <c r="B66" s="13" t="inlineStr">
        <is>
          <t>SUZLON</t>
        </is>
      </c>
      <c r="C66" s="14" t="n">
        <v>58.29</v>
      </c>
      <c r="D66" s="14" t="n">
        <v>56.46</v>
      </c>
      <c r="E66" s="14" t="n">
        <v>54.01</v>
      </c>
      <c r="F66" s="14" t="n">
        <v>52.97</v>
      </c>
      <c r="G66" s="15">
        <f>HYPERLINK("https://www.tradingview.com/chart/?symbol=NSE:SUZLON","Chart 📈")</f>
        <v/>
      </c>
    </row>
    <row r="67" ht="16" customHeight="1">
      <c r="A67" s="16" t="inlineStr">
        <is>
          <t>NIFTY ENERGY</t>
        </is>
      </c>
      <c r="B67" s="13" t="inlineStr">
        <is>
          <t>THERMAX</t>
        </is>
      </c>
      <c r="C67" s="14" t="n">
        <v>4799.9</v>
      </c>
      <c r="D67" s="14" t="n">
        <v>4702.9</v>
      </c>
      <c r="E67" s="14" t="n">
        <v>4413.96</v>
      </c>
      <c r="F67" s="14" t="n">
        <v>3703.95</v>
      </c>
      <c r="G67" s="15">
        <f>HYPERLINK("https://www.tradingview.com/chart/?symbol=NSE:THERMAX","Chart 📈")</f>
        <v/>
      </c>
    </row>
    <row r="68" ht="16" customHeight="1">
      <c r="A68" s="16" t="inlineStr">
        <is>
          <t>NIFTY ENERGY</t>
        </is>
      </c>
      <c r="B68" s="13" t="inlineStr">
        <is>
          <t>TRITURBINE</t>
        </is>
      </c>
      <c r="C68" s="14" t="n">
        <v>717.65</v>
      </c>
      <c r="D68" s="14" t="n">
        <v>676.28</v>
      </c>
      <c r="E68" s="14" t="n">
        <v>631.05</v>
      </c>
      <c r="F68" s="14" t="n">
        <v>563.97</v>
      </c>
      <c r="G68" s="15">
        <f>HYPERLINK("https://www.tradingview.com/chart/?symbol=NSE:TRITURBINE","Chart 📈")</f>
        <v/>
      </c>
    </row>
    <row r="69" ht="16" customHeight="1">
      <c r="A69" s="8" t="inlineStr">
        <is>
          <t>NIFTY MIDSMALL IT &amp; TELECOM</t>
        </is>
      </c>
      <c r="B69" s="17" t="inlineStr">
        <is>
          <t>HFCL</t>
        </is>
      </c>
      <c r="C69" s="18" t="n">
        <v>202.29</v>
      </c>
      <c r="D69" s="18" t="n">
        <v>183.45</v>
      </c>
      <c r="E69" s="18" t="n">
        <v>155</v>
      </c>
      <c r="F69" s="18" t="n">
        <v>105.09</v>
      </c>
      <c r="G69" s="19">
        <f>HYPERLINK("https://www.tradingview.com/chart/?symbol=NSE:HFCL","Chart 📈")</f>
        <v/>
      </c>
    </row>
    <row r="70" ht="16" customHeight="1">
      <c r="A70" s="20" t="inlineStr">
        <is>
          <t>NIFTY MIDSMALL IT &amp; TELECOM</t>
        </is>
      </c>
      <c r="B70" s="17" t="inlineStr">
        <is>
          <t>IDEA</t>
        </is>
      </c>
      <c r="C70" s="18" t="n">
        <v>14.45</v>
      </c>
      <c r="D70" s="18" t="n">
        <v>14.33</v>
      </c>
      <c r="E70" s="18" t="n">
        <v>13.08</v>
      </c>
      <c r="F70" s="18" t="n">
        <v>10.72</v>
      </c>
      <c r="G70" s="19">
        <f>HYPERLINK("https://www.tradingview.com/chart/?symbol=NSE:IDEA","Chart 📈")</f>
        <v/>
      </c>
    </row>
    <row r="71" ht="16" customHeight="1">
      <c r="A71" s="20" t="inlineStr">
        <is>
          <t>NIFTY MIDSMALL IT &amp; TELECOM</t>
        </is>
      </c>
      <c r="B71" s="17" t="inlineStr">
        <is>
          <t>OFSS</t>
        </is>
      </c>
      <c r="C71" s="18" t="n">
        <v>9862.5</v>
      </c>
      <c r="D71" s="18" t="n">
        <v>9610.389999999999</v>
      </c>
      <c r="E71" s="18" t="n">
        <v>9161.709999999999</v>
      </c>
      <c r="F71" s="18" t="n">
        <v>8299.709999999999</v>
      </c>
      <c r="G71" s="19">
        <f>HYPERLINK("https://www.tradingview.com/chart/?symbol=NSE:OFSS","Chart 📈")</f>
        <v/>
      </c>
    </row>
    <row r="72" ht="16" customHeight="1">
      <c r="A72" s="20" t="inlineStr">
        <is>
          <t>NIFTY MIDSMALL IT &amp; TELECOM</t>
        </is>
      </c>
      <c r="B72" s="17" t="inlineStr">
        <is>
          <t>TATACOMM</t>
        </is>
      </c>
      <c r="C72" s="18" t="n">
        <v>2023.2</v>
      </c>
      <c r="D72" s="18" t="n">
        <v>1922.39</v>
      </c>
      <c r="E72" s="18" t="n">
        <v>1798.16</v>
      </c>
      <c r="F72" s="18" t="n">
        <v>1688.54</v>
      </c>
      <c r="G72" s="19">
        <f>HYPERLINK("https://www.tradingview.com/chart/?symbol=NSE:TATACOMM","Chart 📈")</f>
        <v/>
      </c>
    </row>
    <row r="73" ht="16" customHeight="1">
      <c r="A73" s="20" t="inlineStr">
        <is>
          <t>NIFTY MIDSMALL IT &amp; TELECOM</t>
        </is>
      </c>
      <c r="B73" s="17" t="inlineStr">
        <is>
          <t>TATATECH</t>
        </is>
      </c>
      <c r="C73" s="18" t="n">
        <v>759.1</v>
      </c>
      <c r="D73" s="18" t="n">
        <v>730.4</v>
      </c>
      <c r="E73" s="18" t="n">
        <v>678.96</v>
      </c>
      <c r="F73" s="18" t="n">
        <v>644.87</v>
      </c>
      <c r="G73" s="19">
        <f>HYPERLINK("https://www.tradingview.com/chart/?symbol=NSE:TATATECH","Chart 📈")</f>
        <v/>
      </c>
    </row>
    <row r="74" ht="16" customHeight="1">
      <c r="A74" s="20" t="inlineStr">
        <is>
          <t>NIFTY MIDSMALL IT &amp; TELECOM</t>
        </is>
      </c>
      <c r="B74" s="17" t="inlineStr">
        <is>
          <t>TEJASNET</t>
        </is>
      </c>
      <c r="C74" s="18" t="n">
        <v>620.25</v>
      </c>
      <c r="D74" s="18" t="n">
        <v>570.38</v>
      </c>
      <c r="E74" s="18" t="n">
        <v>515.96</v>
      </c>
      <c r="F74" s="18" t="n">
        <v>497.13</v>
      </c>
      <c r="G74" s="19">
        <f>HYPERLINK("https://www.tradingview.com/chart/?symbol=NSE:TEJASNET","Chart 📈")</f>
        <v/>
      </c>
    </row>
    <row r="75" ht="16" customHeight="1">
      <c r="A75" s="12" t="inlineStr">
        <is>
          <t>NIFTY FMCG</t>
        </is>
      </c>
      <c r="B75" s="13" t="inlineStr">
        <is>
          <t>MARICO</t>
        </is>
      </c>
      <c r="C75" s="14" t="n">
        <v>821.05</v>
      </c>
      <c r="D75" s="14" t="n">
        <v>815.27</v>
      </c>
      <c r="E75" s="14" t="n">
        <v>806.1</v>
      </c>
      <c r="F75" s="14" t="n">
        <v>765.5</v>
      </c>
      <c r="G75" s="15">
        <f>HYPERLINK("https://www.tradingview.com/chart/?symbol=NSE:MARICO","Chart 📈")</f>
        <v/>
      </c>
    </row>
    <row r="76" ht="16" customHeight="1">
      <c r="A76" s="16" t="inlineStr">
        <is>
          <t>NIFTY FMCG</t>
        </is>
      </c>
      <c r="B76" s="13" t="inlineStr">
        <is>
          <t>RADICO</t>
        </is>
      </c>
      <c r="C76" s="14" t="n">
        <v>3718.9</v>
      </c>
      <c r="D76" s="14" t="n">
        <v>3581.7</v>
      </c>
      <c r="E76" s="14" t="n">
        <v>3418.15</v>
      </c>
      <c r="F76" s="14" t="n">
        <v>3101.92</v>
      </c>
      <c r="G76" s="15">
        <f>HYPERLINK("https://www.tradingview.com/chart/?symbol=NSE:RADICO","Chart 📈")</f>
        <v/>
      </c>
    </row>
    <row r="77" ht="16" customHeight="1">
      <c r="A77" s="16" t="inlineStr">
        <is>
          <t>NIFTY FMCG</t>
        </is>
      </c>
      <c r="B77" s="13" t="inlineStr">
        <is>
          <t>UNITDSPR</t>
        </is>
      </c>
      <c r="C77" s="14" t="n">
        <v>1337.7</v>
      </c>
      <c r="D77" s="14" t="n">
        <v>1296.93</v>
      </c>
      <c r="E77" s="14" t="n">
        <v>1297.58</v>
      </c>
      <c r="F77" s="14" t="n">
        <v>1335.18</v>
      </c>
      <c r="G77" s="15">
        <f>HYPERLINK("https://www.tradingview.com/chart/?symbol=NSE:UNITDSPR","Chart 📈")</f>
        <v/>
      </c>
    </row>
    <row r="78" ht="16" customHeight="1">
      <c r="A78" s="8" t="inlineStr">
        <is>
          <t>NIFTY METAL</t>
        </is>
      </c>
      <c r="B78" s="17" t="inlineStr">
        <is>
          <t>ADANIENT</t>
        </is>
      </c>
      <c r="C78" s="18" t="n">
        <v>2962.9</v>
      </c>
      <c r="D78" s="18" t="n">
        <v>2925.51</v>
      </c>
      <c r="E78" s="18" t="n">
        <v>2711.99</v>
      </c>
      <c r="F78" s="18" t="n">
        <v>2427.23</v>
      </c>
      <c r="G78" s="19">
        <f>HYPERLINK("https://www.tradingview.com/chart/?symbol=NSE:ADANIENT","Chart 📈")</f>
        <v/>
      </c>
    </row>
    <row r="79" ht="16" customHeight="1">
      <c r="A79" s="20" t="inlineStr">
        <is>
          <t>NIFTY METAL</t>
        </is>
      </c>
      <c r="B79" s="17" t="inlineStr">
        <is>
          <t>RATNAMANI</t>
        </is>
      </c>
      <c r="C79" s="18" t="n">
        <v>2740.4</v>
      </c>
      <c r="D79" s="18" t="n">
        <v>2630.44</v>
      </c>
      <c r="E79" s="18" t="n">
        <v>2575.56</v>
      </c>
      <c r="F79" s="18" t="n">
        <v>2482.81</v>
      </c>
      <c r="G79" s="19">
        <f>HYPERLINK("https://www.tradingview.com/chart/?symbol=NSE:RATNAMANI","Chart 📈")</f>
        <v/>
      </c>
    </row>
    <row r="80" ht="16" customHeight="1">
      <c r="A80" s="20" t="inlineStr">
        <is>
          <t>NIFTY METAL</t>
        </is>
      </c>
      <c r="B80" s="17" t="inlineStr">
        <is>
          <t>WELCORP</t>
        </is>
      </c>
      <c r="C80" s="18" t="n">
        <v>1416.4</v>
      </c>
      <c r="D80" s="18" t="n">
        <v>1378.55</v>
      </c>
      <c r="E80" s="18" t="n">
        <v>1277.93</v>
      </c>
      <c r="F80" s="18" t="n">
        <v>1027.6</v>
      </c>
      <c r="G80" s="19">
        <f>HYPERLINK("https://www.tradingview.com/chart/?symbol=NSE:WELCORP","Chart 📈")</f>
        <v/>
      </c>
    </row>
    <row r="81" ht="16" customHeight="1">
      <c r="A81" s="12" t="inlineStr">
        <is>
          <t>NIFTY BANK</t>
        </is>
      </c>
      <c r="B81" s="13" t="inlineStr">
        <is>
          <t>AUBANK</t>
        </is>
      </c>
      <c r="C81" s="14" t="n">
        <v>1026.35</v>
      </c>
      <c r="D81" s="14" t="n">
        <v>1006.27</v>
      </c>
      <c r="E81" s="14" t="n">
        <v>993.51</v>
      </c>
      <c r="F81" s="14" t="n">
        <v>937.8</v>
      </c>
      <c r="G81" s="15">
        <f>HYPERLINK("https://www.tradingview.com/chart/?symbol=NSE:AUBANK","Chart 📈")</f>
        <v/>
      </c>
    </row>
    <row r="82" ht="16" customHeight="1">
      <c r="A82" s="16" t="inlineStr">
        <is>
          <t>NIFTY BANK</t>
        </is>
      </c>
      <c r="B82" s="13" t="inlineStr">
        <is>
          <t>FEDERALBNK</t>
        </is>
      </c>
      <c r="C82" s="14" t="n">
        <v>319.9</v>
      </c>
      <c r="D82" s="14" t="n">
        <v>310.55</v>
      </c>
      <c r="E82" s="14" t="n">
        <v>298.92</v>
      </c>
      <c r="F82" s="14" t="n">
        <v>268.45</v>
      </c>
      <c r="G82" s="15">
        <f>HYPERLINK("https://www.tradingview.com/chart/?symbol=NSE:FEDERALBNK","Chart 📈")</f>
        <v/>
      </c>
    </row>
    <row r="83" ht="16" customHeight="1">
      <c r="A83" s="16" t="inlineStr">
        <is>
          <t>NIFTY BANK</t>
        </is>
      </c>
      <c r="B83" s="13" t="inlineStr">
        <is>
          <t>IDFCFIRSTB</t>
        </is>
      </c>
      <c r="C83" s="14" t="n">
        <v>78.75</v>
      </c>
      <c r="D83" s="14" t="n">
        <v>75.17</v>
      </c>
      <c r="E83" s="14" t="n">
        <v>72.44</v>
      </c>
      <c r="F83" s="14" t="n">
        <v>73.22</v>
      </c>
      <c r="G83" s="15">
        <f>HYPERLINK("https://www.tradingview.com/chart/?symbol=NSE:IDFCFIRSTB","Chart 📈")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2026-06-23T13:54:12Z</dcterms:created>
  <dcterms:modified xsi:type="dcterms:W3CDTF">2026-06-23T13:54:13Z</dcterms:modified>
</cp:coreProperties>
</file>