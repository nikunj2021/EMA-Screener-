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09-Jul-2026  13:58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18</v>
      </c>
      <c r="D5" s="9" t="n">
        <v>17</v>
      </c>
      <c r="E5" s="9" t="n">
        <v>17</v>
      </c>
      <c r="F5" s="10" t="n">
        <v>0.9</v>
      </c>
      <c r="G5" s="10" t="n">
        <v>0.85</v>
      </c>
      <c r="H5" s="10" t="n">
        <v>0.85</v>
      </c>
      <c r="I5" s="11" t="n">
        <v>0.8667</v>
      </c>
    </row>
    <row r="6" ht="17" customHeight="1">
      <c r="A6" s="4" t="inlineStr">
        <is>
          <t>NIFTY AUTO</t>
        </is>
      </c>
      <c r="B6" s="5" t="n">
        <v>15</v>
      </c>
      <c r="C6" s="5" t="n">
        <v>8</v>
      </c>
      <c r="D6" s="5" t="n">
        <v>11</v>
      </c>
      <c r="E6" s="5" t="n">
        <v>7</v>
      </c>
      <c r="F6" s="6" t="n">
        <v>0.5329999999999999</v>
      </c>
      <c r="G6" s="6" t="n">
        <v>0.733</v>
      </c>
      <c r="H6" s="6" t="n">
        <v>0.467</v>
      </c>
      <c r="I6" s="7" t="n">
        <v>0.5777</v>
      </c>
    </row>
    <row r="7" ht="17" customHeight="1">
      <c r="A7" s="8" t="inlineStr">
        <is>
          <t>NIFTY FMCG</t>
        </is>
      </c>
      <c r="B7" s="9" t="n">
        <v>15</v>
      </c>
      <c r="C7" s="9" t="n">
        <v>9</v>
      </c>
      <c r="D7" s="9" t="n">
        <v>9</v>
      </c>
      <c r="E7" s="9" t="n">
        <v>5</v>
      </c>
      <c r="F7" s="10" t="n">
        <v>0.6</v>
      </c>
      <c r="G7" s="10" t="n">
        <v>0.6</v>
      </c>
      <c r="H7" s="10" t="n">
        <v>0.333</v>
      </c>
      <c r="I7" s="11" t="n">
        <v>0.511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8</v>
      </c>
      <c r="D8" s="5" t="n">
        <v>6</v>
      </c>
      <c r="E8" s="5" t="n">
        <v>7</v>
      </c>
      <c r="F8" s="6" t="n">
        <v>0.5329999999999999</v>
      </c>
      <c r="G8" s="6" t="n">
        <v>0.4</v>
      </c>
      <c r="H8" s="6" t="n">
        <v>0.467</v>
      </c>
      <c r="I8" s="7" t="n">
        <v>0.4667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9</v>
      </c>
      <c r="D9" s="9" t="n">
        <v>9</v>
      </c>
      <c r="E9" s="9" t="n">
        <v>8</v>
      </c>
      <c r="F9" s="10" t="n">
        <v>0.45</v>
      </c>
      <c r="G9" s="10" t="n">
        <v>0.45</v>
      </c>
      <c r="H9" s="10" t="n">
        <v>0.4</v>
      </c>
      <c r="I9" s="11" t="n">
        <v>0.4333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7</v>
      </c>
      <c r="D10" s="5" t="n">
        <v>11</v>
      </c>
      <c r="E10" s="5" t="n">
        <v>6</v>
      </c>
      <c r="F10" s="6" t="n">
        <v>0.35</v>
      </c>
      <c r="G10" s="6" t="n">
        <v>0.55</v>
      </c>
      <c r="H10" s="6" t="n">
        <v>0.3</v>
      </c>
      <c r="I10" s="7" t="n">
        <v>0.4</v>
      </c>
    </row>
    <row r="11" ht="17" customHeight="1">
      <c r="A11" s="8" t="inlineStr">
        <is>
          <t>NIFTY MEDIA</t>
        </is>
      </c>
      <c r="B11" s="9" t="n">
        <v>10</v>
      </c>
      <c r="C11" s="9" t="n">
        <v>4</v>
      </c>
      <c r="D11" s="9" t="n">
        <v>4</v>
      </c>
      <c r="E11" s="9" t="n">
        <v>4</v>
      </c>
      <c r="F11" s="10" t="n">
        <v>0.4</v>
      </c>
      <c r="G11" s="10" t="n">
        <v>0.4</v>
      </c>
      <c r="H11" s="10" t="n">
        <v>0.4</v>
      </c>
      <c r="I11" s="11" t="n">
        <v>0.4</v>
      </c>
    </row>
    <row r="12" ht="17" customHeight="1">
      <c r="A12" s="4" t="inlineStr">
        <is>
          <t>NIFTY METAL</t>
        </is>
      </c>
      <c r="B12" s="5" t="n">
        <v>15</v>
      </c>
      <c r="C12" s="5" t="n">
        <v>4</v>
      </c>
      <c r="D12" s="5" t="n">
        <v>3</v>
      </c>
      <c r="E12" s="5" t="n">
        <v>9</v>
      </c>
      <c r="F12" s="6" t="n">
        <v>0.267</v>
      </c>
      <c r="G12" s="6" t="n">
        <v>0.2</v>
      </c>
      <c r="H12" s="6" t="n">
        <v>0.6</v>
      </c>
      <c r="I12" s="7" t="n">
        <v>0.3557</v>
      </c>
    </row>
    <row r="13" ht="17" customHeight="1">
      <c r="A13" s="8" t="inlineStr">
        <is>
          <t>NIFTY BANK</t>
        </is>
      </c>
      <c r="B13" s="9" t="n">
        <v>12</v>
      </c>
      <c r="C13" s="9" t="n">
        <v>4</v>
      </c>
      <c r="D13" s="9" t="n">
        <v>4</v>
      </c>
      <c r="E13" s="9" t="n">
        <v>4</v>
      </c>
      <c r="F13" s="10" t="n">
        <v>0.333</v>
      </c>
      <c r="G13" s="10" t="n">
        <v>0.333</v>
      </c>
      <c r="H13" s="10" t="n">
        <v>0.333</v>
      </c>
      <c r="I13" s="11" t="n">
        <v>0.333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2</v>
      </c>
      <c r="D14" s="5" t="n">
        <v>6</v>
      </c>
      <c r="E14" s="5" t="n">
        <v>4</v>
      </c>
      <c r="F14" s="6" t="n">
        <v>0.133</v>
      </c>
      <c r="G14" s="6" t="n">
        <v>0.4</v>
      </c>
      <c r="H14" s="6" t="n">
        <v>0.267</v>
      </c>
      <c r="I14" s="7" t="n">
        <v>0.2667</v>
      </c>
    </row>
    <row r="15" ht="17" customHeight="1">
      <c r="A15" s="8" t="inlineStr">
        <is>
          <t>NIFTY ENERGY</t>
        </is>
      </c>
      <c r="B15" s="9" t="n">
        <v>40</v>
      </c>
      <c r="C15" s="9" t="n">
        <v>5</v>
      </c>
      <c r="D15" s="9" t="n">
        <v>6</v>
      </c>
      <c r="E15" s="9" t="n">
        <v>16</v>
      </c>
      <c r="F15" s="10" t="n">
        <v>0.125</v>
      </c>
      <c r="G15" s="10" t="n">
        <v>0.15</v>
      </c>
      <c r="H15" s="10" t="n">
        <v>0.4</v>
      </c>
      <c r="I15" s="11" t="n">
        <v>0.225</v>
      </c>
    </row>
    <row r="16" ht="17" customHeight="1">
      <c r="A16" s="4" t="inlineStr">
        <is>
          <t>NIFTY PSU BANK</t>
        </is>
      </c>
      <c r="B16" s="5" t="n">
        <v>12</v>
      </c>
      <c r="C16" s="5" t="n">
        <v>0</v>
      </c>
      <c r="D16" s="5" t="n">
        <v>2</v>
      </c>
      <c r="E16" s="5" t="n">
        <v>2</v>
      </c>
      <c r="F16" s="6" t="n">
        <v>0</v>
      </c>
      <c r="G16" s="6" t="n">
        <v>0.167</v>
      </c>
      <c r="H16" s="6" t="n">
        <v>0.167</v>
      </c>
      <c r="I16" s="7" t="n">
        <v>0.1113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1</v>
      </c>
      <c r="E17" s="9" t="n">
        <v>0</v>
      </c>
      <c r="F17" s="10" t="n">
        <v>0.2</v>
      </c>
      <c r="G17" s="10" t="n">
        <v>0.1</v>
      </c>
      <c r="H17" s="10" t="n">
        <v>0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659.6</v>
      </c>
      <c r="D3" s="14" t="n">
        <v>632.87</v>
      </c>
      <c r="E3" s="14" t="n">
        <v>612.8</v>
      </c>
      <c r="F3" s="14" t="n">
        <v>647.65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2029.9</v>
      </c>
      <c r="D4" s="14" t="n">
        <v>1898.34</v>
      </c>
      <c r="E4" s="14" t="n">
        <v>1821.75</v>
      </c>
      <c r="F4" s="14" t="n">
        <v>1872.22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1192.15</v>
      </c>
      <c r="D5" s="14" t="n">
        <v>1007.45</v>
      </c>
      <c r="E5" s="14" t="n">
        <v>950.29</v>
      </c>
      <c r="F5" s="14" t="n">
        <v>1012.79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368</v>
      </c>
      <c r="D6" s="14" t="n">
        <v>357.61</v>
      </c>
      <c r="E6" s="14" t="n">
        <v>347.12</v>
      </c>
      <c r="F6" s="14" t="n">
        <v>352.16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1873.2</v>
      </c>
      <c r="D7" s="14" t="n">
        <v>1795.42</v>
      </c>
      <c r="E7" s="14" t="n">
        <v>1719.52</v>
      </c>
      <c r="F7" s="14" t="n">
        <v>1662.45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2088</v>
      </c>
      <c r="D8" s="14" t="n">
        <v>1954.67</v>
      </c>
      <c r="E8" s="14" t="n">
        <v>1860.49</v>
      </c>
      <c r="F8" s="14" t="n">
        <v>1736.47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1673.9</v>
      </c>
      <c r="D9" s="14" t="n">
        <v>1575.35</v>
      </c>
      <c r="E9" s="14" t="n">
        <v>1490.25</v>
      </c>
      <c r="F9" s="14" t="n">
        <v>1491.95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620.55</v>
      </c>
      <c r="D10" s="14" t="n">
        <v>589.66</v>
      </c>
      <c r="E10" s="14" t="n">
        <v>547.58</v>
      </c>
      <c r="F10" s="14" t="n">
        <v>511.66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1469.8</v>
      </c>
      <c r="D11" s="14" t="n">
        <v>1418.57</v>
      </c>
      <c r="E11" s="14" t="n">
        <v>1397.45</v>
      </c>
      <c r="F11" s="14" t="n">
        <v>1426.67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3307.6</v>
      </c>
      <c r="D12" s="18" t="n">
        <v>3243.06</v>
      </c>
      <c r="E12" s="18" t="n">
        <v>3129.23</v>
      </c>
      <c r="F12" s="18" t="n">
        <v>2886.58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5648.5</v>
      </c>
      <c r="D13" s="18" t="n">
        <v>5501.97</v>
      </c>
      <c r="E13" s="18" t="n">
        <v>5454.13</v>
      </c>
      <c r="F13" s="18" t="n">
        <v>5401.04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1587.4</v>
      </c>
      <c r="D14" s="18" t="n">
        <v>1539.41</v>
      </c>
      <c r="E14" s="18" t="n">
        <v>1483.53</v>
      </c>
      <c r="F14" s="18" t="n">
        <v>1322.28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CIPLA</t>
        </is>
      </c>
      <c r="C15" s="18" t="n">
        <v>1441.3</v>
      </c>
      <c r="D15" s="18" t="n">
        <v>1429.37</v>
      </c>
      <c r="E15" s="18" t="n">
        <v>1392.19</v>
      </c>
      <c r="F15" s="18" t="n">
        <v>1392.12</v>
      </c>
      <c r="G15" s="19">
        <f>HYPERLINK("https://www.tradingview.com/chart/?symbol=NSE:CIPLA","Chart 📈")</f>
        <v/>
      </c>
    </row>
    <row r="16" ht="16" customHeight="1">
      <c r="A16" s="20" t="inlineStr">
        <is>
          <t>NIFTY PHARMA</t>
        </is>
      </c>
      <c r="B16" s="17" t="inlineStr">
        <is>
          <t>DIVISLAB</t>
        </is>
      </c>
      <c r="C16" s="18" t="n">
        <v>6813</v>
      </c>
      <c r="D16" s="18" t="n">
        <v>6714.99</v>
      </c>
      <c r="E16" s="18" t="n">
        <v>6641.43</v>
      </c>
      <c r="F16" s="18" t="n">
        <v>6496.73</v>
      </c>
      <c r="G16" s="19">
        <f>HYPERLINK("https://www.tradingview.com/chart/?symbol=NSE:DIVISLAB","Chart 📈")</f>
        <v/>
      </c>
    </row>
    <row r="17" ht="16" customHeight="1">
      <c r="A17" s="20" t="inlineStr">
        <is>
          <t>NIFTY PHARMA</t>
        </is>
      </c>
      <c r="B17" s="17" t="inlineStr">
        <is>
          <t>GLAND</t>
        </is>
      </c>
      <c r="C17" s="18" t="n">
        <v>2469.5</v>
      </c>
      <c r="D17" s="18" t="n">
        <v>2379.78</v>
      </c>
      <c r="E17" s="18" t="n">
        <v>2224.26</v>
      </c>
      <c r="F17" s="18" t="n">
        <v>1966.85</v>
      </c>
      <c r="G17" s="19">
        <f>HYPERLINK("https://www.tradingview.com/chart/?symbol=NSE:GLAND","Chart 📈")</f>
        <v/>
      </c>
    </row>
    <row r="18" ht="16" customHeight="1">
      <c r="A18" s="20" t="inlineStr">
        <is>
          <t>NIFTY PHARMA</t>
        </is>
      </c>
      <c r="B18" s="17" t="inlineStr">
        <is>
          <t>GLENMARK</t>
        </is>
      </c>
      <c r="C18" s="18" t="n">
        <v>2267.2</v>
      </c>
      <c r="D18" s="18" t="n">
        <v>2213.44</v>
      </c>
      <c r="E18" s="18" t="n">
        <v>2219.88</v>
      </c>
      <c r="F18" s="18" t="n">
        <v>2117.1</v>
      </c>
      <c r="G18" s="19">
        <f>HYPERLINK("https://www.tradingview.com/chart/?symbol=NSE:GLENMARK","Chart 📈")</f>
        <v/>
      </c>
    </row>
    <row r="19" ht="16" customHeight="1">
      <c r="A19" s="20" t="inlineStr">
        <is>
          <t>NIFTY PHARMA</t>
        </is>
      </c>
      <c r="B19" s="17" t="inlineStr">
        <is>
          <t>GRANULES</t>
        </is>
      </c>
      <c r="C19" s="18" t="n">
        <v>882.05</v>
      </c>
      <c r="D19" s="18" t="n">
        <v>812.8099999999999</v>
      </c>
      <c r="E19" s="18" t="n">
        <v>768.97</v>
      </c>
      <c r="F19" s="18" t="n">
        <v>651.73</v>
      </c>
      <c r="G19" s="19">
        <f>HYPERLINK("https://www.tradingview.com/chart/?symbol=NSE:GRANULES","Chart 📈")</f>
        <v/>
      </c>
    </row>
    <row r="20" ht="16" customHeight="1">
      <c r="A20" s="20" t="inlineStr">
        <is>
          <t>NIFTY PHARMA</t>
        </is>
      </c>
      <c r="B20" s="17" t="inlineStr">
        <is>
          <t>IPCALAB</t>
        </is>
      </c>
      <c r="C20" s="18" t="n">
        <v>1770.4</v>
      </c>
      <c r="D20" s="18" t="n">
        <v>1685.4</v>
      </c>
      <c r="E20" s="18" t="n">
        <v>1622.58</v>
      </c>
      <c r="F20" s="18" t="n">
        <v>1519.3</v>
      </c>
      <c r="G20" s="19">
        <f>HYPERLINK("https://www.tradingview.com/chart/?symbol=NSE:IPCALAB","Chart 📈")</f>
        <v/>
      </c>
    </row>
    <row r="21" ht="16" customHeight="1">
      <c r="A21" s="20" t="inlineStr">
        <is>
          <t>NIFTY PHARMA</t>
        </is>
      </c>
      <c r="B21" s="17" t="inlineStr">
        <is>
          <t>JBCHEPHARM</t>
        </is>
      </c>
      <c r="C21" s="18" t="n">
        <v>2444.5</v>
      </c>
      <c r="D21" s="18" t="n">
        <v>2307.56</v>
      </c>
      <c r="E21" s="18" t="n">
        <v>2216.86</v>
      </c>
      <c r="F21" s="18" t="n">
        <v>1993.13</v>
      </c>
      <c r="G21" s="19">
        <f>HYPERLINK("https://www.tradingview.com/chart/?symbol=NSE:JBCHEPHARM","Chart 📈")</f>
        <v/>
      </c>
    </row>
    <row r="22" ht="16" customHeight="1">
      <c r="A22" s="20" t="inlineStr">
        <is>
          <t>NIFTY PHARMA</t>
        </is>
      </c>
      <c r="B22" s="17" t="inlineStr">
        <is>
          <t>LAURUSLABS</t>
        </is>
      </c>
      <c r="C22" s="18" t="n">
        <v>1507.4</v>
      </c>
      <c r="D22" s="18" t="n">
        <v>1464.53</v>
      </c>
      <c r="E22" s="18" t="n">
        <v>1375.45</v>
      </c>
      <c r="F22" s="18" t="n">
        <v>1141.54</v>
      </c>
      <c r="G22" s="19">
        <f>HYPERLINK("https://www.tradingview.com/chart/?symbol=NSE:LAURUSLABS","Chart 📈")</f>
        <v/>
      </c>
    </row>
    <row r="23" ht="16" customHeight="1">
      <c r="A23" s="20" t="inlineStr">
        <is>
          <t>NIFTY PHARMA</t>
        </is>
      </c>
      <c r="B23" s="17" t="inlineStr">
        <is>
          <t>LUPIN</t>
        </is>
      </c>
      <c r="C23" s="18" t="n">
        <v>2503.3</v>
      </c>
      <c r="D23" s="18" t="n">
        <v>2398.26</v>
      </c>
      <c r="E23" s="18" t="n">
        <v>2343.82</v>
      </c>
      <c r="F23" s="18" t="n">
        <v>2211.36</v>
      </c>
      <c r="G23" s="19">
        <f>HYPERLINK("https://www.tradingview.com/chart/?symbol=NSE:LUPIN","Chart 📈")</f>
        <v/>
      </c>
    </row>
    <row r="24" ht="16" customHeight="1">
      <c r="A24" s="20" t="inlineStr">
        <is>
          <t>NIFTY PHARMA</t>
        </is>
      </c>
      <c r="B24" s="17" t="inlineStr">
        <is>
          <t>MANKIND</t>
        </is>
      </c>
      <c r="C24" s="18" t="n">
        <v>2532</v>
      </c>
      <c r="D24" s="18" t="n">
        <v>2478.74</v>
      </c>
      <c r="E24" s="18" t="n">
        <v>2408.9</v>
      </c>
      <c r="F24" s="18" t="n">
        <v>2328.35</v>
      </c>
      <c r="G24" s="19">
        <f>HYPERLINK("https://www.tradingview.com/chart/?symbol=NSE:MANKIND","Chart 📈")</f>
        <v/>
      </c>
    </row>
    <row r="25" ht="16" customHeight="1">
      <c r="A25" s="20" t="inlineStr">
        <is>
          <t>NIFTY PHARMA</t>
        </is>
      </c>
      <c r="B25" s="17" t="inlineStr">
        <is>
          <t>SUNPHARMA</t>
        </is>
      </c>
      <c r="C25" s="18" t="n">
        <v>1938.7</v>
      </c>
      <c r="D25" s="18" t="n">
        <v>1867.02</v>
      </c>
      <c r="E25" s="18" t="n">
        <v>1831.27</v>
      </c>
      <c r="F25" s="18" t="n">
        <v>1754.28</v>
      </c>
      <c r="G25" s="19">
        <f>HYPERLINK("https://www.tradingview.com/chart/?symbol=NSE:SUNPHARMA","Chart 📈")</f>
        <v/>
      </c>
    </row>
    <row r="26" ht="16" customHeight="1">
      <c r="A26" s="20" t="inlineStr">
        <is>
          <t>NIFTY PHARMA</t>
        </is>
      </c>
      <c r="B26" s="17" t="inlineStr">
        <is>
          <t>TORNTPHARM</t>
        </is>
      </c>
      <c r="C26" s="18" t="n">
        <v>4898.2</v>
      </c>
      <c r="D26" s="18" t="n">
        <v>4652.8</v>
      </c>
      <c r="E26" s="18" t="n">
        <v>4504.26</v>
      </c>
      <c r="F26" s="18" t="n">
        <v>4120.51</v>
      </c>
      <c r="G26" s="19">
        <f>HYPERLINK("https://www.tradingview.com/chart/?symbol=NSE:TORNTPHARM","Chart 📈")</f>
        <v/>
      </c>
    </row>
    <row r="27" ht="16" customHeight="1">
      <c r="A27" s="20" t="inlineStr">
        <is>
          <t>NIFTY PHARMA</t>
        </is>
      </c>
      <c r="B27" s="17" t="inlineStr">
        <is>
          <t>ZYDUSLIFE</t>
        </is>
      </c>
      <c r="C27" s="18" t="n">
        <v>1159</v>
      </c>
      <c r="D27" s="18" t="n">
        <v>1114.23</v>
      </c>
      <c r="E27" s="18" t="n">
        <v>1064.75</v>
      </c>
      <c r="F27" s="18" t="n">
        <v>984.33</v>
      </c>
      <c r="G27" s="19">
        <f>HYPERLINK("https://www.tradingview.com/chart/?symbol=NSE:ZYDUSLIFE","Chart 📈")</f>
        <v/>
      </c>
    </row>
    <row r="28" ht="16" customHeight="1">
      <c r="A28" s="12" t="inlineStr">
        <is>
          <t>NIFTY AUTO</t>
        </is>
      </c>
      <c r="B28" s="13" t="inlineStr">
        <is>
          <t>BAJAJ-AUTO</t>
        </is>
      </c>
      <c r="C28" s="14" t="n">
        <v>10155</v>
      </c>
      <c r="D28" s="14" t="n">
        <v>10003.08</v>
      </c>
      <c r="E28" s="14" t="n">
        <v>9979.209999999999</v>
      </c>
      <c r="F28" s="14" t="n">
        <v>9461.92</v>
      </c>
      <c r="G28" s="15">
        <f>HYPERLINK("https://www.tradingview.com/chart/?symbol=NSE:BAJAJ-AUTO","Chart 📈")</f>
        <v/>
      </c>
    </row>
    <row r="29" ht="16" customHeight="1">
      <c r="A29" s="16" t="inlineStr">
        <is>
          <t>NIFTY AUTO</t>
        </is>
      </c>
      <c r="B29" s="13" t="inlineStr">
        <is>
          <t>BHARATFORG</t>
        </is>
      </c>
      <c r="C29" s="14" t="n">
        <v>2130.6</v>
      </c>
      <c r="D29" s="14" t="n">
        <v>2085.81</v>
      </c>
      <c r="E29" s="14" t="n">
        <v>1997.39</v>
      </c>
      <c r="F29" s="14" t="n">
        <v>1707.13</v>
      </c>
      <c r="G29" s="15">
        <f>HYPERLINK("https://www.tradingview.com/chart/?symbol=NSE:BHARATFORG","Chart 📈")</f>
        <v/>
      </c>
    </row>
    <row r="30" ht="16" customHeight="1">
      <c r="A30" s="16" t="inlineStr">
        <is>
          <t>NIFTY AUTO</t>
        </is>
      </c>
      <c r="B30" s="13" t="inlineStr">
        <is>
          <t>BOSCHLTD</t>
        </is>
      </c>
      <c r="C30" s="14" t="n">
        <v>42225</v>
      </c>
      <c r="D30" s="14" t="n">
        <v>40484.37</v>
      </c>
      <c r="E30" s="14" t="n">
        <v>38752.64</v>
      </c>
      <c r="F30" s="14" t="n">
        <v>36956.97</v>
      </c>
      <c r="G30" s="15">
        <f>HYPERLINK("https://www.tradingview.com/chart/?symbol=NSE:BOSCHLTD","Chart 📈")</f>
        <v/>
      </c>
    </row>
    <row r="31" ht="16" customHeight="1">
      <c r="A31" s="16" t="inlineStr">
        <is>
          <t>NIFTY AUTO</t>
        </is>
      </c>
      <c r="B31" s="13" t="inlineStr">
        <is>
          <t>EXIDEIND</t>
        </is>
      </c>
      <c r="C31" s="14" t="n">
        <v>425.2</v>
      </c>
      <c r="D31" s="14" t="n">
        <v>399.82</v>
      </c>
      <c r="E31" s="14" t="n">
        <v>380.87</v>
      </c>
      <c r="F31" s="14" t="n">
        <v>363.33</v>
      </c>
      <c r="G31" s="15">
        <f>HYPERLINK("https://www.tradingview.com/chart/?symbol=NSE:EXIDEIND","Chart 📈")</f>
        <v/>
      </c>
    </row>
    <row r="32" ht="16" customHeight="1">
      <c r="A32" s="16" t="inlineStr">
        <is>
          <t>NIFTY AUTO</t>
        </is>
      </c>
      <c r="B32" s="13" t="inlineStr">
        <is>
          <t>TVSMOTOR</t>
        </is>
      </c>
      <c r="C32" s="14" t="n">
        <v>3626.1</v>
      </c>
      <c r="D32" s="14" t="n">
        <v>3544.93</v>
      </c>
      <c r="E32" s="14" t="n">
        <v>3508.99</v>
      </c>
      <c r="F32" s="14" t="n">
        <v>3472.68</v>
      </c>
      <c r="G32" s="15">
        <f>HYPERLINK("https://www.tradingview.com/chart/?symbol=NSE:TVSMOTOR","Chart 📈")</f>
        <v/>
      </c>
    </row>
    <row r="33" ht="16" customHeight="1">
      <c r="A33" s="8" t="inlineStr">
        <is>
          <t>NIFTY FMCG</t>
        </is>
      </c>
      <c r="B33" s="17" t="inlineStr">
        <is>
          <t>BALRAMCHIN</t>
        </is>
      </c>
      <c r="C33" s="18" t="n">
        <v>567.45</v>
      </c>
      <c r="D33" s="18" t="n">
        <v>551.6900000000001</v>
      </c>
      <c r="E33" s="18" t="n">
        <v>537.46</v>
      </c>
      <c r="F33" s="18" t="n">
        <v>511.79</v>
      </c>
      <c r="G33" s="19">
        <f>HYPERLINK("https://www.tradingview.com/chart/?symbol=NSE:BALRAMCHIN","Chart 📈")</f>
        <v/>
      </c>
    </row>
    <row r="34" ht="16" customHeight="1">
      <c r="A34" s="20" t="inlineStr">
        <is>
          <t>NIFTY FMCG</t>
        </is>
      </c>
      <c r="B34" s="17" t="inlineStr">
        <is>
          <t>MARICO</t>
        </is>
      </c>
      <c r="C34" s="18" t="n">
        <v>860.05</v>
      </c>
      <c r="D34" s="18" t="n">
        <v>834.47</v>
      </c>
      <c r="E34" s="18" t="n">
        <v>819.4400000000001</v>
      </c>
      <c r="F34" s="18" t="n">
        <v>776.6900000000001</v>
      </c>
      <c r="G34" s="19">
        <f>HYPERLINK("https://www.tradingview.com/chart/?symbol=NSE:MARICO","Chart 📈")</f>
        <v/>
      </c>
    </row>
    <row r="35" ht="16" customHeight="1">
      <c r="A35" s="20" t="inlineStr">
        <is>
          <t>NIFTY FMCG</t>
        </is>
      </c>
      <c r="B35" s="17" t="inlineStr">
        <is>
          <t>NESTLEIND</t>
        </is>
      </c>
      <c r="C35" s="18" t="n">
        <v>1463.2</v>
      </c>
      <c r="D35" s="18" t="n">
        <v>1431.01</v>
      </c>
      <c r="E35" s="18" t="n">
        <v>1406.95</v>
      </c>
      <c r="F35" s="18" t="n">
        <v>1320.54</v>
      </c>
      <c r="G35" s="19">
        <f>HYPERLINK("https://www.tradingview.com/chart/?symbol=NSE:NESTLEIND","Chart 📈")</f>
        <v/>
      </c>
    </row>
    <row r="36" ht="16" customHeight="1">
      <c r="A36" s="20" t="inlineStr">
        <is>
          <t>NIFTY FMCG</t>
        </is>
      </c>
      <c r="B36" s="17" t="inlineStr">
        <is>
          <t>RADICO</t>
        </is>
      </c>
      <c r="C36" s="18" t="n">
        <v>4089</v>
      </c>
      <c r="D36" s="18" t="n">
        <v>3865.51</v>
      </c>
      <c r="E36" s="18" t="n">
        <v>3627.36</v>
      </c>
      <c r="F36" s="18" t="n">
        <v>3200.86</v>
      </c>
      <c r="G36" s="19">
        <f>HYPERLINK("https://www.tradingview.com/chart/?symbol=NSE:RADICO","Chart 📈")</f>
        <v/>
      </c>
    </row>
    <row r="37" ht="16" customHeight="1">
      <c r="A37" s="20" t="inlineStr">
        <is>
          <t>NIFTY FMCG</t>
        </is>
      </c>
      <c r="B37" s="17" t="inlineStr">
        <is>
          <t>UNITDSPR</t>
        </is>
      </c>
      <c r="C37" s="18" t="n">
        <v>1381.2</v>
      </c>
      <c r="D37" s="18" t="n">
        <v>1352.78</v>
      </c>
      <c r="E37" s="18" t="n">
        <v>1321.72</v>
      </c>
      <c r="F37" s="18" t="n">
        <v>1326.77</v>
      </c>
      <c r="G37" s="19">
        <f>HYPERLINK("https://www.tradingview.com/chart/?symbol=NSE:UNITDSPR","Chart 📈")</f>
        <v/>
      </c>
    </row>
    <row r="38" ht="16" customHeight="1">
      <c r="A38" s="12" t="inlineStr">
        <is>
          <t>NIFTY CONSUMER DURABLES</t>
        </is>
      </c>
      <c r="B38" s="13" t="inlineStr">
        <is>
          <t>CENTURYPLY</t>
        </is>
      </c>
      <c r="C38" s="14" t="n">
        <v>773.6</v>
      </c>
      <c r="D38" s="14" t="n">
        <v>761.0599999999999</v>
      </c>
      <c r="E38" s="14" t="n">
        <v>759.1</v>
      </c>
      <c r="F38" s="14" t="n">
        <v>759</v>
      </c>
      <c r="G38" s="15">
        <f>HYPERLINK("https://www.tradingview.com/chart/?symbol=NSE:CENTURYPLY","Chart 📈")</f>
        <v/>
      </c>
    </row>
    <row r="39" ht="16" customHeight="1">
      <c r="A39" s="16" t="inlineStr">
        <is>
          <t>NIFTY CONSUMER DURABLES</t>
        </is>
      </c>
      <c r="B39" s="13" t="inlineStr">
        <is>
          <t>CERA</t>
        </is>
      </c>
      <c r="C39" s="14" t="n">
        <v>6291</v>
      </c>
      <c r="D39" s="14" t="n">
        <v>6238.9</v>
      </c>
      <c r="E39" s="14" t="n">
        <v>5920.83</v>
      </c>
      <c r="F39" s="14" t="n">
        <v>5652.56</v>
      </c>
      <c r="G39" s="15">
        <f>HYPERLINK("https://www.tradingview.com/chart/?symbol=NSE:CERA","Chart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DIXON</t>
        </is>
      </c>
      <c r="C40" s="14" t="n">
        <v>13477</v>
      </c>
      <c r="D40" s="14" t="n">
        <v>12413.89</v>
      </c>
      <c r="E40" s="14" t="n">
        <v>11898.45</v>
      </c>
      <c r="F40" s="14" t="n">
        <v>12487.83</v>
      </c>
      <c r="G40" s="15">
        <f>HYPERLINK("https://www.tradingview.com/chart/?symbol=NSE:DIXON","Chart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KAJARIACER</t>
        </is>
      </c>
      <c r="C41" s="14" t="n">
        <v>1215</v>
      </c>
      <c r="D41" s="14" t="n">
        <v>1180.89</v>
      </c>
      <c r="E41" s="14" t="n">
        <v>1138</v>
      </c>
      <c r="F41" s="14" t="n">
        <v>1095.97</v>
      </c>
      <c r="G41" s="15">
        <f>HYPERLINK("https://www.tradingview.com/chart/?symbol=NSE:KAJARIACER","Chart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KALYANKJIL</t>
        </is>
      </c>
      <c r="C42" s="14" t="n">
        <v>443</v>
      </c>
      <c r="D42" s="14" t="n">
        <v>380.7</v>
      </c>
      <c r="E42" s="14" t="n">
        <v>379.52</v>
      </c>
      <c r="F42" s="14" t="n">
        <v>428.05</v>
      </c>
      <c r="G42" s="15">
        <f>HYPERLINK("https://www.tradingview.com/chart/?symbol=NSE:KALYANKJIL","Chart 📈")</f>
        <v/>
      </c>
    </row>
    <row r="43" ht="16" customHeight="1">
      <c r="A43" s="16" t="inlineStr">
        <is>
          <t>NIFTY CONSUMER DURABLES</t>
        </is>
      </c>
      <c r="B43" s="13" t="inlineStr">
        <is>
          <t>TITAN</t>
        </is>
      </c>
      <c r="C43" s="14" t="n">
        <v>4555.8</v>
      </c>
      <c r="D43" s="14" t="n">
        <v>4387.97</v>
      </c>
      <c r="E43" s="14" t="n">
        <v>4296.74</v>
      </c>
      <c r="F43" s="14" t="n">
        <v>4066.9</v>
      </c>
      <c r="G43" s="15">
        <f>HYPERLINK("https://www.tradingview.com/chart/?symbol=NSE:TITAN","Chart 📈")</f>
        <v/>
      </c>
    </row>
    <row r="44" ht="16" customHeight="1">
      <c r="A44" s="8" t="inlineStr">
        <is>
          <t>NIFTY FINANCIAL SERVICES</t>
        </is>
      </c>
      <c r="B44" s="17" t="inlineStr">
        <is>
          <t>BAJAJFINSV</t>
        </is>
      </c>
      <c r="C44" s="18" t="n">
        <v>1895</v>
      </c>
      <c r="D44" s="18" t="n">
        <v>1812.43</v>
      </c>
      <c r="E44" s="18" t="n">
        <v>1790.51</v>
      </c>
      <c r="F44" s="18" t="n">
        <v>1877.71</v>
      </c>
      <c r="G44" s="19">
        <f>HYPERLINK("https://www.tradingview.com/chart/?symbol=NSE:BAJAJFINSV","Chart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BAJFINANCE</t>
        </is>
      </c>
      <c r="C45" s="18" t="n">
        <v>1003.8</v>
      </c>
      <c r="D45" s="18" t="n">
        <v>984.5599999999999</v>
      </c>
      <c r="E45" s="18" t="n">
        <v>951.61</v>
      </c>
      <c r="F45" s="18" t="n">
        <v>944.17</v>
      </c>
      <c r="G45" s="19">
        <f>HYPERLINK("https://www.tradingview.com/chart/?symbol=NSE:BAJFINANCE","Chart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CHOLAFIN</t>
        </is>
      </c>
      <c r="C46" s="18" t="n">
        <v>1791.9</v>
      </c>
      <c r="D46" s="18" t="n">
        <v>1743.37</v>
      </c>
      <c r="E46" s="18" t="n">
        <v>1664.25</v>
      </c>
      <c r="F46" s="18" t="n">
        <v>1619.55</v>
      </c>
      <c r="G46" s="19">
        <f>HYPERLINK("https://www.tradingview.com/chart/?symbol=NSE:CHOLAFIN","Chart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HDFCAMC</t>
        </is>
      </c>
      <c r="C47" s="18" t="n">
        <v>2737.1</v>
      </c>
      <c r="D47" s="18" t="n">
        <v>2685.31</v>
      </c>
      <c r="E47" s="18" t="n">
        <v>2639.05</v>
      </c>
      <c r="F47" s="18" t="n">
        <v>2602.21</v>
      </c>
      <c r="G47" s="19">
        <f>HYPERLINK("https://www.tradingview.com/chart/?symbol=NSE:HDFCAMC","Chart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ICICIBANK</t>
        </is>
      </c>
      <c r="C48" s="18" t="n">
        <v>1380.7</v>
      </c>
      <c r="D48" s="18" t="n">
        <v>1368.08</v>
      </c>
      <c r="E48" s="18" t="n">
        <v>1332.8</v>
      </c>
      <c r="F48" s="18" t="n">
        <v>1342.97</v>
      </c>
      <c r="G48" s="19">
        <f>HYPERLINK("https://www.tradingview.com/chart/?symbol=NSE:ICICIBANK","Chart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SHRIRAMFIN</t>
        </is>
      </c>
      <c r="C49" s="18" t="n">
        <v>1031.7</v>
      </c>
      <c r="D49" s="18" t="n">
        <v>1016.48</v>
      </c>
      <c r="E49" s="18" t="n">
        <v>988.26</v>
      </c>
      <c r="F49" s="18" t="n">
        <v>912.52</v>
      </c>
      <c r="G49" s="19">
        <f>HYPERLINK("https://www.tradingview.com/chart/?symbol=NSE:SHRIRAMFIN","Chart 📈")</f>
        <v/>
      </c>
    </row>
    <row r="50" ht="16" customHeight="1">
      <c r="A50" s="12" t="inlineStr">
        <is>
          <t>NIFTY MIDSMALL IT &amp; TELECOM</t>
        </is>
      </c>
      <c r="B50" s="13" t="inlineStr">
        <is>
          <t>HFCL</t>
        </is>
      </c>
      <c r="C50" s="14" t="n">
        <v>214.68</v>
      </c>
      <c r="D50" s="14" t="n">
        <v>205.63</v>
      </c>
      <c r="E50" s="14" t="n">
        <v>177.72</v>
      </c>
      <c r="F50" s="14" t="n">
        <v>117.47</v>
      </c>
      <c r="G50" s="15">
        <f>HYPERLINK("https://www.tradingview.com/chart/?symbol=NSE:HFCL","Chart 📈")</f>
        <v/>
      </c>
    </row>
    <row r="51" ht="16" customHeight="1">
      <c r="A51" s="16" t="inlineStr">
        <is>
          <t>NIFTY MIDSMALL IT &amp; TELECOM</t>
        </is>
      </c>
      <c r="B51" s="13" t="inlineStr">
        <is>
          <t>OFSS</t>
        </is>
      </c>
      <c r="C51" s="14" t="n">
        <v>11134</v>
      </c>
      <c r="D51" s="14" t="n">
        <v>10580.55</v>
      </c>
      <c r="E51" s="14" t="n">
        <v>9852.469999999999</v>
      </c>
      <c r="F51" s="14" t="n">
        <v>8584.15</v>
      </c>
      <c r="G51" s="15">
        <f>HYPERLINK("https://www.tradingview.com/chart/?symbol=NSE:OFSS","Chart 📈")</f>
        <v/>
      </c>
    </row>
    <row r="52" ht="16" customHeight="1">
      <c r="A52" s="8" t="inlineStr">
        <is>
          <t>NIFTY MEDIA</t>
        </is>
      </c>
      <c r="B52" s="17" t="inlineStr">
        <is>
          <t>NAZARA</t>
        </is>
      </c>
      <c r="C52" s="18" t="n">
        <v>303.8</v>
      </c>
      <c r="D52" s="18" t="n">
        <v>297.28</v>
      </c>
      <c r="E52" s="18" t="n">
        <v>287.3</v>
      </c>
      <c r="F52" s="18" t="n">
        <v>279.86</v>
      </c>
      <c r="G52" s="19">
        <f>HYPERLINK("https://www.tradingview.com/chart/?symbol=NSE:NAZARA","Chart 📈")</f>
        <v/>
      </c>
    </row>
    <row r="53" ht="16" customHeight="1">
      <c r="A53" s="20" t="inlineStr">
        <is>
          <t>NIFTY MEDIA</t>
        </is>
      </c>
      <c r="B53" s="17" t="inlineStr">
        <is>
          <t>SAREGAMA</t>
        </is>
      </c>
      <c r="C53" s="18" t="n">
        <v>476.1</v>
      </c>
      <c r="D53" s="18" t="n">
        <v>469.29</v>
      </c>
      <c r="E53" s="18" t="n">
        <v>438.32</v>
      </c>
      <c r="F53" s="18" t="n">
        <v>407.52</v>
      </c>
      <c r="G53" s="19">
        <f>HYPERLINK("https://www.tradingview.com/chart/?symbol=NSE:SAREGAMA","Chart 📈")</f>
        <v/>
      </c>
    </row>
    <row r="54" ht="16" customHeight="1">
      <c r="A54" s="20" t="inlineStr">
        <is>
          <t>NIFTY MEDIA</t>
        </is>
      </c>
      <c r="B54" s="17" t="inlineStr">
        <is>
          <t>TIPSMUSIC</t>
        </is>
      </c>
      <c r="C54" s="18" t="n">
        <v>711.15</v>
      </c>
      <c r="D54" s="18" t="n">
        <v>663.26</v>
      </c>
      <c r="E54" s="18" t="n">
        <v>645.27</v>
      </c>
      <c r="F54" s="18" t="n">
        <v>597.2</v>
      </c>
      <c r="G54" s="19">
        <f>HYPERLINK("https://www.tradingview.com/chart/?symbol=NSE:TIPSMUSIC","Chart 📈")</f>
        <v/>
      </c>
    </row>
    <row r="55" ht="16" customHeight="1">
      <c r="A55" s="12" t="inlineStr">
        <is>
          <t>NIFTY METAL</t>
        </is>
      </c>
      <c r="B55" s="13" t="inlineStr">
        <is>
          <t>ADANIENT</t>
        </is>
      </c>
      <c r="C55" s="14" t="n">
        <v>3083.6</v>
      </c>
      <c r="D55" s="14" t="n">
        <v>3048.91</v>
      </c>
      <c r="E55" s="14" t="n">
        <v>2858.93</v>
      </c>
      <c r="F55" s="14" t="n">
        <v>2510.76</v>
      </c>
      <c r="G55" s="15">
        <f>HYPERLINK("https://www.tradingview.com/chart/?symbol=NSE:ADANIENT","Chart 📈")</f>
        <v/>
      </c>
    </row>
    <row r="56" ht="16" customHeight="1">
      <c r="A56" s="16" t="inlineStr">
        <is>
          <t>NIFTY METAL</t>
        </is>
      </c>
      <c r="B56" s="13" t="inlineStr">
        <is>
          <t>RATNAMANI</t>
        </is>
      </c>
      <c r="C56" s="14" t="n">
        <v>2633.9</v>
      </c>
      <c r="D56" s="14" t="n">
        <v>2594.36</v>
      </c>
      <c r="E56" s="14" t="n">
        <v>2577.66</v>
      </c>
      <c r="F56" s="14" t="n">
        <v>2499.34</v>
      </c>
      <c r="G56" s="15">
        <f>HYPERLINK("https://www.tradingview.com/chart/?symbol=NSE:RATNAMANI","Chart 📈")</f>
        <v/>
      </c>
    </row>
    <row r="57" ht="16" customHeight="1">
      <c r="A57" s="16" t="inlineStr">
        <is>
          <t>NIFTY METAL</t>
        </is>
      </c>
      <c r="B57" s="13" t="inlineStr">
        <is>
          <t>WELCORP</t>
        </is>
      </c>
      <c r="C57" s="14" t="n">
        <v>1601.9</v>
      </c>
      <c r="D57" s="14" t="n">
        <v>1469.96</v>
      </c>
      <c r="E57" s="14" t="n">
        <v>1360.98</v>
      </c>
      <c r="F57" s="14" t="n">
        <v>1081.54</v>
      </c>
      <c r="G57" s="15">
        <f>HYPERLINK("https://www.tradingview.com/chart/?symbol=NSE:WELCORP","Chart 📈")</f>
        <v/>
      </c>
    </row>
    <row r="58" ht="16" customHeight="1">
      <c r="A58" s="8" t="inlineStr">
        <is>
          <t>NIFTY BANK</t>
        </is>
      </c>
      <c r="B58" s="17" t="inlineStr">
        <is>
          <t>AUBANK</t>
        </is>
      </c>
      <c r="C58" s="18" t="n">
        <v>1047.4</v>
      </c>
      <c r="D58" s="18" t="n">
        <v>1036.67</v>
      </c>
      <c r="E58" s="18" t="n">
        <v>1014.71</v>
      </c>
      <c r="F58" s="18" t="n">
        <v>952.66</v>
      </c>
      <c r="G58" s="19">
        <f>HYPERLINK("https://www.tradingview.com/chart/?symbol=NSE:AUBANK","Chart 📈")</f>
        <v/>
      </c>
    </row>
    <row r="59" ht="16" customHeight="1">
      <c r="A59" s="20" t="inlineStr">
        <is>
          <t>NIFTY BANK</t>
        </is>
      </c>
      <c r="B59" s="17" t="inlineStr">
        <is>
          <t>FEDERALBNK</t>
        </is>
      </c>
      <c r="C59" s="18" t="n">
        <v>327.75</v>
      </c>
      <c r="D59" s="18" t="n">
        <v>322.9</v>
      </c>
      <c r="E59" s="18" t="n">
        <v>310</v>
      </c>
      <c r="F59" s="18" t="n">
        <v>275.68</v>
      </c>
      <c r="G59" s="19">
        <f>HYPERLINK("https://www.tradingview.com/chart/?symbol=NSE:FEDERALBNK","Chart 📈")</f>
        <v/>
      </c>
    </row>
    <row r="60" ht="16" customHeight="1">
      <c r="A60" s="20" t="inlineStr">
        <is>
          <t>NIFTY BANK</t>
        </is>
      </c>
      <c r="B60" s="17" t="inlineStr">
        <is>
          <t>IDFCFIRSTB</t>
        </is>
      </c>
      <c r="C60" s="18" t="n">
        <v>79.45999999999999</v>
      </c>
      <c r="D60" s="18" t="n">
        <v>78.18000000000001</v>
      </c>
      <c r="E60" s="18" t="n">
        <v>75.11</v>
      </c>
      <c r="F60" s="18" t="n">
        <v>74.41</v>
      </c>
      <c r="G60" s="19">
        <f>HYPERLINK("https://www.tradingview.com/chart/?symbol=NSE:IDFCFIRSTB","Chart 📈")</f>
        <v/>
      </c>
    </row>
    <row r="61" ht="16" customHeight="1">
      <c r="A61" s="20" t="inlineStr">
        <is>
          <t>NIFTY BANK</t>
        </is>
      </c>
      <c r="B61" s="17" t="inlineStr">
        <is>
          <t>INDUSINDBK</t>
        </is>
      </c>
      <c r="C61" s="18" t="n">
        <v>1015.15</v>
      </c>
      <c r="D61" s="18" t="n">
        <v>954.47</v>
      </c>
      <c r="E61" s="18" t="n">
        <v>925.53</v>
      </c>
      <c r="F61" s="18" t="n">
        <v>878.92</v>
      </c>
      <c r="G61" s="19">
        <f>HYPERLINK("https://www.tradingview.com/chart/?symbol=NSE:INDUSINDBK","Chart 📈")</f>
        <v/>
      </c>
    </row>
    <row r="62" ht="16" customHeight="1">
      <c r="A62" s="12" t="inlineStr">
        <is>
          <t>NIFTY OIL &amp; GAS</t>
        </is>
      </c>
      <c r="B62" s="13" t="inlineStr">
        <is>
          <t>AEGISLOG</t>
        </is>
      </c>
      <c r="C62" s="14" t="n">
        <v>1264.1</v>
      </c>
      <c r="D62" s="14" t="n">
        <v>1156.03</v>
      </c>
      <c r="E62" s="14" t="n">
        <v>972.88</v>
      </c>
      <c r="F62" s="14" t="n">
        <v>794.04</v>
      </c>
      <c r="G62" s="15">
        <f>HYPERLINK("https://www.tradingview.com/chart/?symbol=NSE:AEGISLOG","Chart 📈")</f>
        <v/>
      </c>
    </row>
    <row r="63" ht="16" customHeight="1">
      <c r="A63" s="8" t="inlineStr">
        <is>
          <t>NIFTY ENERGY</t>
        </is>
      </c>
      <c r="B63" s="17" t="inlineStr">
        <is>
          <t>ADANIENSOL</t>
        </is>
      </c>
      <c r="C63" s="18" t="n">
        <v>1618.5</v>
      </c>
      <c r="D63" s="18" t="n">
        <v>1550.87</v>
      </c>
      <c r="E63" s="18" t="n">
        <v>1460.63</v>
      </c>
      <c r="F63" s="18" t="n">
        <v>1186.78</v>
      </c>
      <c r="G63" s="19">
        <f>HYPERLINK("https://www.tradingview.com/chart/?symbol=NSE:ADANIENSOL","Chart 📈")</f>
        <v/>
      </c>
    </row>
    <row r="64" ht="16" customHeight="1">
      <c r="A64" s="20" t="inlineStr">
        <is>
          <t>NIFTY ENERGY</t>
        </is>
      </c>
      <c r="B64" s="17" t="inlineStr">
        <is>
          <t>SCHNEIDER</t>
        </is>
      </c>
      <c r="C64" s="18" t="n">
        <v>1485.2</v>
      </c>
      <c r="D64" s="18" t="n">
        <v>1389.38</v>
      </c>
      <c r="E64" s="18" t="n">
        <v>1285.01</v>
      </c>
      <c r="F64" s="18" t="n">
        <v>1033.13</v>
      </c>
      <c r="G64" s="19">
        <f>HYPERLINK("https://www.tradingview.com/chart/?symbol=NSE:SCHNEIDER","Chart 📈")</f>
        <v/>
      </c>
    </row>
    <row r="65" ht="16" customHeight="1">
      <c r="A65" s="20" t="inlineStr">
        <is>
          <t>NIFTY ENERGY</t>
        </is>
      </c>
      <c r="B65" s="17" t="inlineStr">
        <is>
          <t>THERMAX</t>
        </is>
      </c>
      <c r="C65" s="18" t="n">
        <v>4785</v>
      </c>
      <c r="D65" s="18" t="n">
        <v>4771.7</v>
      </c>
      <c r="E65" s="18" t="n">
        <v>4560.05</v>
      </c>
      <c r="F65" s="18" t="n">
        <v>3815.64</v>
      </c>
      <c r="G65" s="19">
        <f>HYPERLINK("https://www.tradingview.com/chart/?symbol=NSE:THERMAX","Chart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2026-07-09T13:58:24Z</dcterms:created>
  <dcterms:modified xsi:type="dcterms:W3CDTF">2026-07-09T13:58:25Z</dcterms:modified>
</cp:coreProperties>
</file>