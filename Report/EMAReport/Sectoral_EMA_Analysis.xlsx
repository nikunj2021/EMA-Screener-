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14-Oct-2026  15:52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MEDIA</t>
        </is>
      </c>
      <c r="B4" s="5" t="n">
        <v>10</v>
      </c>
      <c r="C4" s="5" t="n">
        <v>8</v>
      </c>
      <c r="D4" s="5" t="n">
        <v>6</v>
      </c>
      <c r="E4" s="5" t="n">
        <v>5</v>
      </c>
      <c r="F4" s="6" t="n">
        <v>0.8</v>
      </c>
      <c r="G4" s="6" t="n">
        <v>0.6</v>
      </c>
      <c r="H4" s="6" t="n">
        <v>0.5</v>
      </c>
      <c r="I4" s="7" t="n">
        <v>0.6333</v>
      </c>
    </row>
    <row r="5" ht="17" customHeight="1">
      <c r="A5" s="8" t="inlineStr">
        <is>
          <t>NIFTY MIDSMALL IT &amp; TELECOM</t>
        </is>
      </c>
      <c r="B5" s="9" t="n">
        <v>20</v>
      </c>
      <c r="C5" s="9" t="n">
        <v>13</v>
      </c>
      <c r="D5" s="9" t="n">
        <v>11</v>
      </c>
      <c r="E5" s="9" t="n">
        <v>10</v>
      </c>
      <c r="F5" s="10" t="n">
        <v>0.65</v>
      </c>
      <c r="G5" s="10" t="n">
        <v>0.55</v>
      </c>
      <c r="H5" s="10" t="n">
        <v>0.5</v>
      </c>
      <c r="I5" s="11" t="n">
        <v>0.5667</v>
      </c>
    </row>
    <row r="6" ht="17" customHeight="1">
      <c r="A6" s="4" t="inlineStr">
        <is>
          <t>NIFTY PSU BANK</t>
        </is>
      </c>
      <c r="B6" s="5" t="n">
        <v>12</v>
      </c>
      <c r="C6" s="5" t="n">
        <v>7</v>
      </c>
      <c r="D6" s="5" t="n">
        <v>5</v>
      </c>
      <c r="E6" s="5" t="n">
        <v>4</v>
      </c>
      <c r="F6" s="6" t="n">
        <v>0.583</v>
      </c>
      <c r="G6" s="6" t="n">
        <v>0.417</v>
      </c>
      <c r="H6" s="6" t="n">
        <v>0.333</v>
      </c>
      <c r="I6" s="7" t="n">
        <v>0.4443</v>
      </c>
    </row>
    <row r="7" ht="17" customHeight="1">
      <c r="A7" s="8" t="inlineStr">
        <is>
          <t>NIFTY FMCG</t>
        </is>
      </c>
      <c r="B7" s="9" t="n">
        <v>15</v>
      </c>
      <c r="C7" s="9" t="n">
        <v>12</v>
      </c>
      <c r="D7" s="9" t="n">
        <v>3</v>
      </c>
      <c r="E7" s="9" t="n">
        <v>4</v>
      </c>
      <c r="F7" s="10" t="n">
        <v>0.8</v>
      </c>
      <c r="G7" s="10" t="n">
        <v>0.2</v>
      </c>
      <c r="H7" s="10" t="n">
        <v>0.267</v>
      </c>
      <c r="I7" s="11" t="n">
        <v>0.4223</v>
      </c>
    </row>
    <row r="8" ht="17" customHeight="1">
      <c r="A8" s="4" t="inlineStr">
        <is>
          <t>NIFTY IT</t>
        </is>
      </c>
      <c r="B8" s="5" t="n">
        <v>10</v>
      </c>
      <c r="C8" s="5" t="n">
        <v>5</v>
      </c>
      <c r="D8" s="5" t="n">
        <v>5</v>
      </c>
      <c r="E8" s="5" t="n">
        <v>2</v>
      </c>
      <c r="F8" s="6" t="n">
        <v>0.5</v>
      </c>
      <c r="G8" s="6" t="n">
        <v>0.5</v>
      </c>
      <c r="H8" s="6" t="n">
        <v>0.2</v>
      </c>
      <c r="I8" s="7" t="n">
        <v>0.4</v>
      </c>
    </row>
    <row r="9" ht="17" customHeight="1">
      <c r="A9" s="8" t="inlineStr">
        <is>
          <t>NIFTY PHARMA</t>
        </is>
      </c>
      <c r="B9" s="9" t="n">
        <v>20</v>
      </c>
      <c r="C9" s="9" t="n">
        <v>4</v>
      </c>
      <c r="D9" s="9" t="n">
        <v>6</v>
      </c>
      <c r="E9" s="9" t="n">
        <v>10</v>
      </c>
      <c r="F9" s="10" t="n">
        <v>0.2</v>
      </c>
      <c r="G9" s="10" t="n">
        <v>0.3</v>
      </c>
      <c r="H9" s="10" t="n">
        <v>0.5</v>
      </c>
      <c r="I9" s="11" t="n">
        <v>0.3333</v>
      </c>
    </row>
    <row r="10" ht="17" customHeight="1">
      <c r="A10" s="4" t="inlineStr">
        <is>
          <t>NIFTY REALTY</t>
        </is>
      </c>
      <c r="B10" s="5" t="n">
        <v>10</v>
      </c>
      <c r="C10" s="5" t="n">
        <v>2</v>
      </c>
      <c r="D10" s="5" t="n">
        <v>2</v>
      </c>
      <c r="E10" s="5" t="n">
        <v>3</v>
      </c>
      <c r="F10" s="6" t="n">
        <v>0.2</v>
      </c>
      <c r="G10" s="6" t="n">
        <v>0.2</v>
      </c>
      <c r="H10" s="6" t="n">
        <v>0.3</v>
      </c>
      <c r="I10" s="7" t="n">
        <v>0.2333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6</v>
      </c>
      <c r="D11" s="9" t="n">
        <v>4</v>
      </c>
      <c r="E11" s="9" t="n">
        <v>4</v>
      </c>
      <c r="F11" s="10" t="n">
        <v>0.3</v>
      </c>
      <c r="G11" s="10" t="n">
        <v>0.2</v>
      </c>
      <c r="H11" s="10" t="n">
        <v>0.2</v>
      </c>
      <c r="I11" s="11" t="n">
        <v>0.2333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4</v>
      </c>
      <c r="D12" s="5" t="n">
        <v>3</v>
      </c>
      <c r="E12" s="5" t="n">
        <v>3</v>
      </c>
      <c r="F12" s="6" t="n">
        <v>0.267</v>
      </c>
      <c r="G12" s="6" t="n">
        <v>0.2</v>
      </c>
      <c r="H12" s="6" t="n">
        <v>0.2</v>
      </c>
      <c r="I12" s="7" t="n">
        <v>0.2223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5</v>
      </c>
      <c r="D13" s="9" t="n">
        <v>3</v>
      </c>
      <c r="E13" s="9" t="n">
        <v>2</v>
      </c>
      <c r="F13" s="10" t="n">
        <v>0.333</v>
      </c>
      <c r="G13" s="10" t="n">
        <v>0.2</v>
      </c>
      <c r="H13" s="10" t="n">
        <v>0.133</v>
      </c>
      <c r="I13" s="11" t="n">
        <v>0.222</v>
      </c>
    </row>
    <row r="14" ht="17" customHeight="1">
      <c r="A14" s="4" t="inlineStr">
        <is>
          <t>NIFTY ENERGY</t>
        </is>
      </c>
      <c r="B14" s="5" t="n">
        <v>40</v>
      </c>
      <c r="C14" s="5" t="n">
        <v>9</v>
      </c>
      <c r="D14" s="5" t="n">
        <v>3</v>
      </c>
      <c r="E14" s="5" t="n">
        <v>11</v>
      </c>
      <c r="F14" s="6" t="n">
        <v>0.225</v>
      </c>
      <c r="G14" s="6" t="n">
        <v>0.075</v>
      </c>
      <c r="H14" s="6" t="n">
        <v>0.275</v>
      </c>
      <c r="I14" s="7" t="n">
        <v>0.1917</v>
      </c>
    </row>
    <row r="15" ht="17" customHeight="1">
      <c r="A15" s="8" t="inlineStr">
        <is>
          <t>NIFTY METAL</t>
        </is>
      </c>
      <c r="B15" s="9" t="n">
        <v>15</v>
      </c>
      <c r="C15" s="9" t="n">
        <v>1</v>
      </c>
      <c r="D15" s="9" t="n">
        <v>2</v>
      </c>
      <c r="E15" s="9" t="n">
        <v>4</v>
      </c>
      <c r="F15" s="10" t="n">
        <v>0.067</v>
      </c>
      <c r="G15" s="10" t="n">
        <v>0.133</v>
      </c>
      <c r="H15" s="10" t="n">
        <v>0.267</v>
      </c>
      <c r="I15" s="11" t="n">
        <v>0.1557</v>
      </c>
    </row>
    <row r="16" ht="17" customHeight="1">
      <c r="A16" s="4" t="inlineStr">
        <is>
          <t>NIFTY AUTO</t>
        </is>
      </c>
      <c r="B16" s="5" t="n">
        <v>15</v>
      </c>
      <c r="C16" s="5" t="n">
        <v>1</v>
      </c>
      <c r="D16" s="5" t="n">
        <v>1</v>
      </c>
      <c r="E16" s="5" t="n">
        <v>3</v>
      </c>
      <c r="F16" s="6" t="n">
        <v>0.067</v>
      </c>
      <c r="G16" s="6" t="n">
        <v>0.067</v>
      </c>
      <c r="H16" s="6" t="n">
        <v>0.2</v>
      </c>
      <c r="I16" s="7" t="n">
        <v>0.1113</v>
      </c>
    </row>
    <row r="17" ht="17" customHeight="1">
      <c r="A17" s="8" t="inlineStr">
        <is>
          <t>NIFTY BANK</t>
        </is>
      </c>
      <c r="B17" s="9" t="n">
        <v>12</v>
      </c>
      <c r="C17" s="9" t="n">
        <v>1</v>
      </c>
      <c r="D17" s="9" t="n">
        <v>0</v>
      </c>
      <c r="E17" s="9" t="n">
        <v>3</v>
      </c>
      <c r="F17" s="10" t="n">
        <v>0.083</v>
      </c>
      <c r="G17" s="10" t="n">
        <v>0</v>
      </c>
      <c r="H17" s="10" t="n">
        <v>0.25</v>
      </c>
      <c r="I17" s="11" t="n">
        <v>0.111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MEDIA</t>
        </is>
      </c>
      <c r="B3" s="13" t="inlineStr">
        <is>
          <t>NAZARA</t>
        </is>
      </c>
      <c r="C3" s="14" t="n">
        <v>405.2</v>
      </c>
      <c r="D3" s="14" t="n">
        <v>382.68</v>
      </c>
      <c r="E3" s="14" t="n">
        <v>364.72</v>
      </c>
      <c r="F3" s="14" t="n">
        <v>313.1</v>
      </c>
      <c r="G3" s="15">
        <f>HYPERLINK("https://www.tradingview.com/chart/?symbol=NSE:NAZARA","Chart 📈")</f>
        <v/>
      </c>
    </row>
    <row r="4" ht="16" customHeight="1">
      <c r="A4" s="16" t="inlineStr">
        <is>
          <t>NIFTY MEDIA</t>
        </is>
      </c>
      <c r="B4" s="13" t="inlineStr">
        <is>
          <t>PVRINOX</t>
        </is>
      </c>
      <c r="C4" s="14" t="n">
        <v>1381</v>
      </c>
      <c r="D4" s="14" t="n">
        <v>1297.96</v>
      </c>
      <c r="E4" s="14" t="n">
        <v>1233.89</v>
      </c>
      <c r="F4" s="14" t="n">
        <v>1113.48</v>
      </c>
      <c r="G4" s="15">
        <f>HYPERLINK("https://www.tradingview.com/chart/?symbol=NSE:PVRINOX","Chart 📈")</f>
        <v/>
      </c>
    </row>
    <row r="5" ht="16" customHeight="1">
      <c r="A5" s="16" t="inlineStr">
        <is>
          <t>NIFTY MEDIA</t>
        </is>
      </c>
      <c r="B5" s="13" t="inlineStr">
        <is>
          <t>SAREGAMA</t>
        </is>
      </c>
      <c r="C5" s="14" t="n">
        <v>510.6</v>
      </c>
      <c r="D5" s="14" t="n">
        <v>497.96</v>
      </c>
      <c r="E5" s="14" t="n">
        <v>495.8</v>
      </c>
      <c r="F5" s="14" t="n">
        <v>451.2</v>
      </c>
      <c r="G5" s="15">
        <f>HYPERLINK("https://www.tradingview.com/chart/?symbol=NSE:SAREGAMA","Chart 📈")</f>
        <v/>
      </c>
    </row>
    <row r="6" ht="16" customHeight="1">
      <c r="A6" s="16" t="inlineStr">
        <is>
          <t>NIFTY MEDIA</t>
        </is>
      </c>
      <c r="B6" s="13" t="inlineStr">
        <is>
          <t>SUNTV</t>
        </is>
      </c>
      <c r="C6" s="14" t="n">
        <v>653.1</v>
      </c>
      <c r="D6" s="14" t="n">
        <v>577.95</v>
      </c>
      <c r="E6" s="14" t="n">
        <v>532.61</v>
      </c>
      <c r="F6" s="14" t="n">
        <v>529.8</v>
      </c>
      <c r="G6" s="15">
        <f>HYPERLINK("https://www.tradingview.com/chart/?symbol=NSE:SUNTV","Chart 📈")</f>
        <v/>
      </c>
    </row>
    <row r="7" ht="16" customHeight="1">
      <c r="A7" s="16" t="inlineStr">
        <is>
          <t>NIFTY MEDIA</t>
        </is>
      </c>
      <c r="B7" s="13" t="inlineStr">
        <is>
          <t>TIPSMUSIC</t>
        </is>
      </c>
      <c r="C7" s="14" t="n">
        <v>718.25</v>
      </c>
      <c r="D7" s="14" t="n">
        <v>662.76</v>
      </c>
      <c r="E7" s="14" t="n">
        <v>659.0700000000001</v>
      </c>
      <c r="F7" s="14" t="n">
        <v>621.03</v>
      </c>
      <c r="G7" s="15">
        <f>HYPERLINK("https://www.tradingview.com/chart/?symbol=NSE:TIPSMUSIC","Chart 📈")</f>
        <v/>
      </c>
    </row>
    <row r="8" ht="16" customHeight="1">
      <c r="A8" s="8" t="inlineStr">
        <is>
          <t>NIFTY MIDSMALL IT &amp; TELECOM</t>
        </is>
      </c>
      <c r="B8" s="17" t="inlineStr">
        <is>
          <t>COFORGE</t>
        </is>
      </c>
      <c r="C8" s="18" t="n">
        <v>1928</v>
      </c>
      <c r="D8" s="18" t="n">
        <v>1843.28</v>
      </c>
      <c r="E8" s="18" t="n">
        <v>1797.08</v>
      </c>
      <c r="F8" s="18" t="n">
        <v>1629.21</v>
      </c>
      <c r="G8" s="19">
        <f>HYPERLINK("https://www.tradingview.com/chart/?symbol=NSE:COFORGE","Chart 📈")</f>
        <v/>
      </c>
    </row>
    <row r="9" ht="16" customHeight="1">
      <c r="A9" s="20" t="inlineStr">
        <is>
          <t>NIFTY MIDSMALL IT &amp; TELECOM</t>
        </is>
      </c>
      <c r="B9" s="17" t="inlineStr">
        <is>
          <t>CYIENT</t>
        </is>
      </c>
      <c r="C9" s="18" t="n">
        <v>1195.4</v>
      </c>
      <c r="D9" s="18" t="n">
        <v>1112.06</v>
      </c>
      <c r="E9" s="18" t="n">
        <v>1046.96</v>
      </c>
      <c r="F9" s="18" t="n">
        <v>992.73</v>
      </c>
      <c r="G9" s="19">
        <f>HYPERLINK("https://www.tradingview.com/chart/?symbol=NSE:CYIENT","Chart 📈")</f>
        <v/>
      </c>
    </row>
    <row r="10" ht="16" customHeight="1">
      <c r="A10" s="20" t="inlineStr">
        <is>
          <t>NIFTY MIDSMALL IT &amp; TELECOM</t>
        </is>
      </c>
      <c r="B10" s="17" t="inlineStr">
        <is>
          <t>HFCL</t>
        </is>
      </c>
      <c r="C10" s="18" t="n">
        <v>256.65</v>
      </c>
      <c r="D10" s="18" t="n">
        <v>243.73</v>
      </c>
      <c r="E10" s="18" t="n">
        <v>229.85</v>
      </c>
      <c r="F10" s="18" t="n">
        <v>169.6</v>
      </c>
      <c r="G10" s="19">
        <f>HYPERLINK("https://www.tradingview.com/chart/?symbol=NSE:HFCL","Chart 📈")</f>
        <v/>
      </c>
    </row>
    <row r="11" ht="16" customHeight="1">
      <c r="A11" s="20" t="inlineStr">
        <is>
          <t>NIFTY MIDSMALL IT &amp; TELECOM</t>
        </is>
      </c>
      <c r="B11" s="17" t="inlineStr">
        <is>
          <t>LTTS</t>
        </is>
      </c>
      <c r="C11" s="18" t="n">
        <v>3613.4</v>
      </c>
      <c r="D11" s="18" t="n">
        <v>3324.38</v>
      </c>
      <c r="E11" s="18" t="n">
        <v>3367.16</v>
      </c>
      <c r="F11" s="18" t="n">
        <v>3534.61</v>
      </c>
      <c r="G11" s="19">
        <f>HYPERLINK("https://www.tradingview.com/chart/?symbol=NSE:LTTS","Chart 📈")</f>
        <v/>
      </c>
    </row>
    <row r="12" ht="16" customHeight="1">
      <c r="A12" s="20" t="inlineStr">
        <is>
          <t>NIFTY MIDSMALL IT &amp; TELECOM</t>
        </is>
      </c>
      <c r="B12" s="17" t="inlineStr">
        <is>
          <t>MPHASIS</t>
        </is>
      </c>
      <c r="C12" s="18" t="n">
        <v>2435.3</v>
      </c>
      <c r="D12" s="18" t="n">
        <v>2328.22</v>
      </c>
      <c r="E12" s="18" t="n">
        <v>2336.07</v>
      </c>
      <c r="F12" s="18" t="n">
        <v>2377.71</v>
      </c>
      <c r="G12" s="19">
        <f>HYPERLINK("https://www.tradingview.com/chart/?symbol=NSE:MPHASIS","Chart 📈")</f>
        <v/>
      </c>
    </row>
    <row r="13" ht="16" customHeight="1">
      <c r="A13" s="20" t="inlineStr">
        <is>
          <t>NIFTY MIDSMALL IT &amp; TELECOM</t>
        </is>
      </c>
      <c r="B13" s="17" t="inlineStr">
        <is>
          <t>PERSISTENT</t>
        </is>
      </c>
      <c r="C13" s="18" t="n">
        <v>5898</v>
      </c>
      <c r="D13" s="18" t="n">
        <v>5576.45</v>
      </c>
      <c r="E13" s="18" t="n">
        <v>5477.87</v>
      </c>
      <c r="F13" s="18" t="n">
        <v>5360.27</v>
      </c>
      <c r="G13" s="19">
        <f>HYPERLINK("https://www.tradingview.com/chart/?symbol=NSE:PERSISTENT","Chart 📈")</f>
        <v/>
      </c>
    </row>
    <row r="14" ht="16" customHeight="1">
      <c r="A14" s="20" t="inlineStr">
        <is>
          <t>NIFTY MIDSMALL IT &amp; TELECOM</t>
        </is>
      </c>
      <c r="B14" s="17" t="inlineStr">
        <is>
          <t>TANLA</t>
        </is>
      </c>
      <c r="C14" s="18" t="n">
        <v>568.1</v>
      </c>
      <c r="D14" s="18" t="n">
        <v>509.25</v>
      </c>
      <c r="E14" s="18" t="n">
        <v>521.55</v>
      </c>
      <c r="F14" s="18" t="n">
        <v>538.23</v>
      </c>
      <c r="G14" s="19">
        <f>HYPERLINK("https://www.tradingview.com/chart/?symbol=NSE:TANLA","Chart 📈")</f>
        <v/>
      </c>
    </row>
    <row r="15" ht="16" customHeight="1">
      <c r="A15" s="20" t="inlineStr">
        <is>
          <t>NIFTY MIDSMALL IT &amp; TELECOM</t>
        </is>
      </c>
      <c r="B15" s="17" t="inlineStr">
        <is>
          <t>TATATECH</t>
        </is>
      </c>
      <c r="C15" s="18" t="n">
        <v>745.55</v>
      </c>
      <c r="D15" s="18" t="n">
        <v>726.59</v>
      </c>
      <c r="E15" s="18" t="n">
        <v>744.14</v>
      </c>
      <c r="F15" s="18" t="n">
        <v>704.92</v>
      </c>
      <c r="G15" s="19">
        <f>HYPERLINK("https://www.tradingview.com/chart/?symbol=NSE:TATATECH","Chart 📈")</f>
        <v/>
      </c>
    </row>
    <row r="16" ht="16" customHeight="1">
      <c r="A16" s="12" t="inlineStr">
        <is>
          <t>NIFTY PSU BANK</t>
        </is>
      </c>
      <c r="B16" s="13" t="inlineStr">
        <is>
          <t>INDIANB</t>
        </is>
      </c>
      <c r="C16" s="14" t="n">
        <v>849.45</v>
      </c>
      <c r="D16" s="14" t="n">
        <v>829.9</v>
      </c>
      <c r="E16" s="14" t="n">
        <v>840.78</v>
      </c>
      <c r="F16" s="14" t="n">
        <v>839.28</v>
      </c>
      <c r="G16" s="15">
        <f>HYPERLINK("https://www.tradingview.com/chart/?symbol=NSE:INDIANB","Chart 📈")</f>
        <v/>
      </c>
    </row>
    <row r="17" ht="16" customHeight="1">
      <c r="A17" s="16" t="inlineStr">
        <is>
          <t>NIFTY PSU BANK</t>
        </is>
      </c>
      <c r="B17" s="13" t="inlineStr">
        <is>
          <t>MAHABANK</t>
        </is>
      </c>
      <c r="C17" s="14" t="n">
        <v>83.09999999999999</v>
      </c>
      <c r="D17" s="14" t="n">
        <v>82.40000000000001</v>
      </c>
      <c r="E17" s="14" t="n">
        <v>82.14</v>
      </c>
      <c r="F17" s="14" t="n">
        <v>75.67</v>
      </c>
      <c r="G17" s="15">
        <f>HYPERLINK("https://www.tradingview.com/chart/?symbol=NSE:MAHABANK","Chart 📈")</f>
        <v/>
      </c>
    </row>
    <row r="18" ht="16" customHeight="1">
      <c r="A18" s="16" t="inlineStr">
        <is>
          <t>NIFTY PSU BANK</t>
        </is>
      </c>
      <c r="B18" s="13" t="inlineStr">
        <is>
          <t>PNB</t>
        </is>
      </c>
      <c r="C18" s="14" t="n">
        <v>118.5</v>
      </c>
      <c r="D18" s="14" t="n">
        <v>115.36</v>
      </c>
      <c r="E18" s="14" t="n">
        <v>114.5</v>
      </c>
      <c r="F18" s="14" t="n">
        <v>112.43</v>
      </c>
      <c r="G18" s="15">
        <f>HYPERLINK("https://www.tradingview.com/chart/?symbol=NSE:PNB","Chart 📈")</f>
        <v/>
      </c>
    </row>
    <row r="19" ht="16" customHeight="1">
      <c r="A19" s="8" t="inlineStr">
        <is>
          <t>NIFTY FMCG</t>
        </is>
      </c>
      <c r="B19" s="17" t="inlineStr">
        <is>
          <t>BALRAMCHIN</t>
        </is>
      </c>
      <c r="C19" s="18" t="n">
        <v>713.85</v>
      </c>
      <c r="D19" s="18" t="n">
        <v>687.1</v>
      </c>
      <c r="E19" s="18" t="n">
        <v>666.34</v>
      </c>
      <c r="F19" s="18" t="n">
        <v>576.09</v>
      </c>
      <c r="G19" s="19">
        <f>HYPERLINK("https://www.tradingview.com/chart/?symbol=NSE:BALRAMCHIN","Chart 📈")</f>
        <v/>
      </c>
    </row>
    <row r="20" ht="16" customHeight="1">
      <c r="A20" s="20" t="inlineStr">
        <is>
          <t>NIFTY FMCG</t>
        </is>
      </c>
      <c r="B20" s="17" t="inlineStr">
        <is>
          <t>RADICO</t>
        </is>
      </c>
      <c r="C20" s="18" t="n">
        <v>4554.1</v>
      </c>
      <c r="D20" s="18" t="n">
        <v>4474.23</v>
      </c>
      <c r="E20" s="18" t="n">
        <v>4408.42</v>
      </c>
      <c r="F20" s="18" t="n">
        <v>3809.16</v>
      </c>
      <c r="G20" s="19">
        <f>HYPERLINK("https://www.tradingview.com/chart/?symbol=NSE:RADICO","Chart 📈")</f>
        <v/>
      </c>
    </row>
    <row r="21" ht="16" customHeight="1">
      <c r="A21" s="12" t="inlineStr">
        <is>
          <t>NIFTY IT</t>
        </is>
      </c>
      <c r="B21" s="13" t="inlineStr">
        <is>
          <t>HCLTECH</t>
        </is>
      </c>
      <c r="C21" s="14" t="n">
        <v>1327</v>
      </c>
      <c r="D21" s="14" t="n">
        <v>1250.01</v>
      </c>
      <c r="E21" s="14" t="n">
        <v>1257.3</v>
      </c>
      <c r="F21" s="14" t="n">
        <v>1300.89</v>
      </c>
      <c r="G21" s="15">
        <f>HYPERLINK("https://www.tradingview.com/chart/?symbol=NSE:HCLTECH","Chart 📈")</f>
        <v/>
      </c>
    </row>
    <row r="22" ht="16" customHeight="1">
      <c r="A22" s="16" t="inlineStr">
        <is>
          <t>NIFTY IT</t>
        </is>
      </c>
      <c r="B22" s="13" t="inlineStr">
        <is>
          <t>TECHM</t>
        </is>
      </c>
      <c r="C22" s="14" t="n">
        <v>1575.2</v>
      </c>
      <c r="D22" s="14" t="n">
        <v>1533.99</v>
      </c>
      <c r="E22" s="14" t="n">
        <v>1544.77</v>
      </c>
      <c r="F22" s="14" t="n">
        <v>1498.83</v>
      </c>
      <c r="G22" s="15">
        <f>HYPERLINK("https://www.tradingview.com/chart/?symbol=NSE:TECHM","Chart 📈")</f>
        <v/>
      </c>
    </row>
    <row r="23" ht="16" customHeight="1">
      <c r="A23" s="8" t="inlineStr">
        <is>
          <t>NIFTY PHARMA</t>
        </is>
      </c>
      <c r="B23" s="17" t="inlineStr">
        <is>
          <t>GLAND</t>
        </is>
      </c>
      <c r="C23" s="18" t="n">
        <v>3052.3</v>
      </c>
      <c r="D23" s="18" t="n">
        <v>2989.54</v>
      </c>
      <c r="E23" s="18" t="n">
        <v>2860.34</v>
      </c>
      <c r="F23" s="18" t="n">
        <v>2373.74</v>
      </c>
      <c r="G23" s="19">
        <f>HYPERLINK("https://www.tradingview.com/chart/?symbol=NSE:GLAND","Chart 📈")</f>
        <v/>
      </c>
    </row>
    <row r="24" ht="16" customHeight="1">
      <c r="A24" s="20" t="inlineStr">
        <is>
          <t>NIFTY PHARMA</t>
        </is>
      </c>
      <c r="B24" s="17" t="inlineStr">
        <is>
          <t>LAURUSLABS</t>
        </is>
      </c>
      <c r="C24" s="18" t="n">
        <v>2036.9</v>
      </c>
      <c r="D24" s="18" t="n">
        <v>2002.41</v>
      </c>
      <c r="E24" s="18" t="n">
        <v>1902.65</v>
      </c>
      <c r="F24" s="18" t="n">
        <v>1501.35</v>
      </c>
      <c r="G24" s="19">
        <f>HYPERLINK("https://www.tradingview.com/chart/?symbol=NSE:LAURUSLABS","Chart 📈")</f>
        <v/>
      </c>
    </row>
    <row r="25" ht="16" customHeight="1">
      <c r="A25" s="12" t="inlineStr">
        <is>
          <t>NIFTY REALTY</t>
        </is>
      </c>
      <c r="B25" s="13" t="inlineStr">
        <is>
          <t>DLF</t>
        </is>
      </c>
      <c r="C25" s="14" t="n">
        <v>666.9</v>
      </c>
      <c r="D25" s="14" t="n">
        <v>659.86</v>
      </c>
      <c r="E25" s="14" t="n">
        <v>657.41</v>
      </c>
      <c r="F25" s="14" t="n">
        <v>646.41</v>
      </c>
      <c r="G25" s="15">
        <f>HYPERLINK("https://www.tradingview.com/chart/?symbol=NSE:DLF","Chart 📈")</f>
        <v/>
      </c>
    </row>
    <row r="26" ht="16" customHeight="1">
      <c r="A26" s="16" t="inlineStr">
        <is>
          <t>NIFTY REALTY</t>
        </is>
      </c>
      <c r="B26" s="13" t="inlineStr">
        <is>
          <t>RAYMOND</t>
        </is>
      </c>
      <c r="C26" s="14" t="n">
        <v>1186.1</v>
      </c>
      <c r="D26" s="14" t="n">
        <v>1122.73</v>
      </c>
      <c r="E26" s="14" t="n">
        <v>946.29</v>
      </c>
      <c r="F26" s="14" t="n">
        <v>668.29</v>
      </c>
      <c r="G26" s="15">
        <f>HYPERLINK("https://www.tradingview.com/chart/?symbol=NSE:RAYMOND","Chart 📈")</f>
        <v/>
      </c>
    </row>
    <row r="27" ht="16" customHeight="1">
      <c r="A27" s="8" t="inlineStr">
        <is>
          <t>NIFTY FINANCIAL SERVICES</t>
        </is>
      </c>
      <c r="B27" s="17" t="inlineStr">
        <is>
          <t>AXISBANK</t>
        </is>
      </c>
      <c r="C27" s="18" t="n">
        <v>1264.6</v>
      </c>
      <c r="D27" s="18" t="n">
        <v>1243.84</v>
      </c>
      <c r="E27" s="18" t="n">
        <v>1249.04</v>
      </c>
      <c r="F27" s="18" t="n">
        <v>1263.13</v>
      </c>
      <c r="G27" s="19">
        <f>HYPERLINK("https://www.tradingview.com/chart/?symbol=NSE:AXISBANK","Chart 📈")</f>
        <v/>
      </c>
    </row>
    <row r="28" ht="16" customHeight="1">
      <c r="A28" s="20" t="inlineStr">
        <is>
          <t>NIFTY FINANCIAL SERVICES</t>
        </is>
      </c>
      <c r="B28" s="17" t="inlineStr">
        <is>
          <t>KOTAKBANK</t>
        </is>
      </c>
      <c r="C28" s="18" t="n">
        <v>438.05</v>
      </c>
      <c r="D28" s="18" t="n">
        <v>425.44</v>
      </c>
      <c r="E28" s="18" t="n">
        <v>414.41</v>
      </c>
      <c r="F28" s="18" t="n">
        <v>404.93</v>
      </c>
      <c r="G28" s="19">
        <f>HYPERLINK("https://www.tradingview.com/chart/?symbol=NSE:KOTAKBANK","Chart 📈")</f>
        <v/>
      </c>
    </row>
    <row r="29" ht="16" customHeight="1">
      <c r="A29" s="12" t="inlineStr">
        <is>
          <t>NIFTY OIL &amp; GAS</t>
        </is>
      </c>
      <c r="B29" s="13" t="inlineStr">
        <is>
          <t>AEGISLOG</t>
        </is>
      </c>
      <c r="C29" s="14" t="n">
        <v>1489.1</v>
      </c>
      <c r="D29" s="14" t="n">
        <v>1390.7</v>
      </c>
      <c r="E29" s="14" t="n">
        <v>1334.18</v>
      </c>
      <c r="F29" s="14" t="n">
        <v>1063.69</v>
      </c>
      <c r="G29" s="15">
        <f>HYPERLINK("https://www.tradingview.com/chart/?symbol=NSE:AEGISLOG","Chart 📈")</f>
        <v/>
      </c>
    </row>
    <row r="30" ht="16" customHeight="1">
      <c r="A30" s="16" t="inlineStr">
        <is>
          <t>NIFTY OIL &amp; GAS</t>
        </is>
      </c>
      <c r="B30" s="13" t="inlineStr">
        <is>
          <t>CASTROLIND</t>
        </is>
      </c>
      <c r="C30" s="14" t="n">
        <v>196.96</v>
      </c>
      <c r="D30" s="14" t="n">
        <v>195.38</v>
      </c>
      <c r="E30" s="14" t="n">
        <v>191.21</v>
      </c>
      <c r="F30" s="14" t="n">
        <v>183.7</v>
      </c>
      <c r="G30" s="15">
        <f>HYPERLINK("https://www.tradingview.com/chart/?symbol=NSE:CASTROLIND","Chart 📈")</f>
        <v/>
      </c>
    </row>
    <row r="31" ht="16" customHeight="1">
      <c r="A31" s="16" t="inlineStr">
        <is>
          <t>NIFTY OIL &amp; GAS</t>
        </is>
      </c>
      <c r="B31" s="13" t="inlineStr">
        <is>
          <t>PETRONET</t>
        </is>
      </c>
      <c r="C31" s="14" t="n">
        <v>292.95</v>
      </c>
      <c r="D31" s="14" t="n">
        <v>289.48</v>
      </c>
      <c r="E31" s="14" t="n">
        <v>286.88</v>
      </c>
      <c r="F31" s="14" t="n">
        <v>279.83</v>
      </c>
      <c r="G31" s="15">
        <f>HYPERLINK("https://www.tradingview.com/chart/?symbol=NSE:PETRONET","Chart 📈")</f>
        <v/>
      </c>
    </row>
    <row r="32" ht="16" customHeight="1">
      <c r="A32" s="8" t="inlineStr">
        <is>
          <t>NIFTY CONSUMER DURABLES</t>
        </is>
      </c>
      <c r="B32" s="17" t="inlineStr">
        <is>
          <t>KAJARIACER</t>
        </is>
      </c>
      <c r="C32" s="18" t="n">
        <v>1224.6</v>
      </c>
      <c r="D32" s="18" t="n">
        <v>1217.51</v>
      </c>
      <c r="E32" s="18" t="n">
        <v>1210.41</v>
      </c>
      <c r="F32" s="18" t="n">
        <v>1153.71</v>
      </c>
      <c r="G32" s="19">
        <f>HYPERLINK("https://www.tradingview.com/chart/?symbol=NSE:KAJARIACER","Chart 📈")</f>
        <v/>
      </c>
    </row>
    <row r="33" ht="16" customHeight="1">
      <c r="A33" s="12" t="inlineStr">
        <is>
          <t>NIFTY ENERGY</t>
        </is>
      </c>
      <c r="B33" s="13" t="inlineStr">
        <is>
          <t>ADANIGREEN</t>
        </is>
      </c>
      <c r="C33" s="14" t="n">
        <v>1318.4</v>
      </c>
      <c r="D33" s="14" t="n">
        <v>1288.07</v>
      </c>
      <c r="E33" s="14" t="n">
        <v>1311.81</v>
      </c>
      <c r="F33" s="14" t="n">
        <v>1251.43</v>
      </c>
      <c r="G33" s="15">
        <f>HYPERLINK("https://www.tradingview.com/chart/?symbol=NSE:ADANIGREEN","Chart 📈")</f>
        <v/>
      </c>
    </row>
    <row r="34" ht="16" customHeight="1">
      <c r="A34" s="16" t="inlineStr">
        <is>
          <t>NIFTY ENERGY</t>
        </is>
      </c>
      <c r="B34" s="13" t="inlineStr">
        <is>
          <t>BHEL</t>
        </is>
      </c>
      <c r="C34" s="14" t="n">
        <v>464</v>
      </c>
      <c r="D34" s="14" t="n">
        <v>433.56</v>
      </c>
      <c r="E34" s="14" t="n">
        <v>424.11</v>
      </c>
      <c r="F34" s="14" t="n">
        <v>366.96</v>
      </c>
      <c r="G34" s="15">
        <f>HYPERLINK("https://www.tradingview.com/chart/?symbol=NSE:BHEL","Chart 📈")</f>
        <v/>
      </c>
    </row>
    <row r="35" ht="16" customHeight="1">
      <c r="A35" s="16" t="inlineStr">
        <is>
          <t>NIFTY ENERGY</t>
        </is>
      </c>
      <c r="B35" s="13" t="inlineStr">
        <is>
          <t>COALINDIA</t>
        </is>
      </c>
      <c r="C35" s="14" t="n">
        <v>417</v>
      </c>
      <c r="D35" s="14" t="n">
        <v>415.61</v>
      </c>
      <c r="E35" s="14" t="n">
        <v>416.01</v>
      </c>
      <c r="F35" s="14" t="n">
        <v>413.73</v>
      </c>
      <c r="G35" s="15">
        <f>HYPERLINK("https://www.tradingview.com/chart/?symbol=NSE:COALINDIA","Chart 📈")</f>
        <v/>
      </c>
    </row>
    <row r="36" ht="16" customHeight="1">
      <c r="A36" s="8" t="inlineStr">
        <is>
          <t>NIFTY METAL</t>
        </is>
      </c>
      <c r="B36" s="17" t="inlineStr">
        <is>
          <t>APLAPOLLO</t>
        </is>
      </c>
      <c r="C36" s="18" t="n">
        <v>2160</v>
      </c>
      <c r="D36" s="18" t="n">
        <v>2150.98</v>
      </c>
      <c r="E36" s="18" t="n">
        <v>2108.35</v>
      </c>
      <c r="F36" s="18" t="n">
        <v>1975.22</v>
      </c>
      <c r="G36" s="19">
        <f>HYPERLINK("https://www.tradingview.com/chart/?symbol=NSE:APLAPOLLO","Chart 📈")</f>
        <v/>
      </c>
    </row>
    <row r="37" ht="16" customHeight="1">
      <c r="A37" s="12" t="inlineStr">
        <is>
          <t>NIFTY AUTO</t>
        </is>
      </c>
      <c r="B37" s="13" t="inlineStr">
        <is>
          <t>MOTHERSON</t>
        </is>
      </c>
      <c r="C37" s="14" t="n">
        <v>159.8</v>
      </c>
      <c r="D37" s="14" t="n">
        <v>159.53</v>
      </c>
      <c r="E37" s="14" t="n">
        <v>158.89</v>
      </c>
      <c r="F37" s="14" t="n">
        <v>141.27</v>
      </c>
      <c r="G37" s="15">
        <f>HYPERLINK("https://www.tradingview.com/chart/?symbol=NSE:MOTHERSON","Chart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2026-10-14T15:52:25Z</dcterms:created>
  <dcterms:modified xmlns:dcterms="http://purl.org/dc/terms/" xmlns:xsi="http://www.w3.org/2001/XMLSchema-instance" xsi:type="dcterms:W3CDTF">2026-10-14T15:52:25Z</dcterms:modified>
</cp:coreProperties>
</file>