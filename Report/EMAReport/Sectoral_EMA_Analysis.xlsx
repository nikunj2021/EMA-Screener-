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ctor EMA Summary" sheetId="1" state="visible" r:id="rId1"/>
    <sheet name="Ticker Detail (Above EMA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2"/>
    </font>
    <font>
      <name val="Arial"/>
      <b val="1"/>
      <color rgb="00FFFFFF"/>
      <sz val="9"/>
    </font>
    <font>
      <name val="Arial"/>
      <b val="1"/>
      <color rgb="00FFFFFF"/>
      <sz val="10"/>
    </font>
    <font>
      <name val="Arial"/>
      <b val="1"/>
      <color rgb="001A1A1A"/>
      <sz val="10"/>
    </font>
    <font>
      <name val="Arial"/>
      <color rgb="001A1A1A"/>
      <sz val="10"/>
    </font>
    <font>
      <name val="Arial"/>
      <color rgb="000563C1"/>
      <sz val="10"/>
      <u val="single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4472C4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  <fill>
      <patternFill patternType="solid">
        <fgColor rgb="00D6E4F7"/>
      </patternFill>
    </fill>
  </fills>
  <borders count="4">
    <border>
      <left/>
      <right/>
      <top/>
      <bottom/>
      <diagonal/>
    </border>
    <border>
      <bottom style="thin">
        <color rgb="00AAAAAA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medium">
        <color rgb="00555555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2" applyAlignment="1" pivotButton="0" quotePrefix="0" xfId="0">
      <alignment horizontal="center" vertical="center" wrapText="1"/>
    </xf>
    <xf numFmtId="0" fontId="4" fillId="5" borderId="3" applyAlignment="1" pivotButton="0" quotePrefix="0" xfId="0">
      <alignment horizontal="left" vertical="center"/>
    </xf>
    <xf numFmtId="1" fontId="5" fillId="5" borderId="3" applyAlignment="1" pivotButton="0" quotePrefix="0" xfId="0">
      <alignment horizontal="center" vertical="center"/>
    </xf>
    <xf numFmtId="164" fontId="5" fillId="5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0" fontId="4" fillId="6" borderId="3" applyAlignment="1" pivotButton="0" quotePrefix="0" xfId="0">
      <alignment horizontal="left" vertical="center"/>
    </xf>
    <xf numFmtId="1" fontId="5" fillId="6" borderId="3" applyAlignment="1" pivotButton="0" quotePrefix="0" xfId="0">
      <alignment horizontal="center" vertical="center"/>
    </xf>
    <xf numFmtId="164" fontId="5" fillId="6" borderId="3" applyAlignment="1" pivotButton="0" quotePrefix="0" xfId="0">
      <alignment horizontal="center" vertical="center"/>
    </xf>
    <xf numFmtId="164" fontId="4" fillId="6" borderId="3" applyAlignment="1" pivotButton="0" quotePrefix="0" xfId="0">
      <alignment horizontal="center" vertical="center"/>
    </xf>
    <xf numFmtId="0" fontId="4" fillId="7" borderId="3" applyAlignment="1" pivotButton="0" quotePrefix="0" xfId="0">
      <alignment horizontal="left" vertical="center"/>
    </xf>
    <xf numFmtId="0" fontId="5" fillId="7" borderId="3" applyAlignment="1" pivotButton="0" quotePrefix="0" xfId="0">
      <alignment horizontal="center" vertical="center"/>
    </xf>
    <xf numFmtId="4" fontId="5" fillId="7" borderId="3" applyAlignment="1" pivotButton="0" quotePrefix="0" xfId="0">
      <alignment horizontal="right" vertical="center"/>
    </xf>
    <xf numFmtId="0" fontId="6" fillId="7" borderId="3" applyAlignment="1" pivotButton="0" quotePrefix="0" xfId="0">
      <alignment horizontal="center" vertical="center"/>
    </xf>
    <xf numFmtId="0" fontId="5" fillId="7" borderId="3" applyAlignment="1" pivotButton="0" quotePrefix="0" xfId="0">
      <alignment horizontal="left" vertical="center"/>
    </xf>
    <xf numFmtId="0" fontId="5" fillId="6" borderId="3" applyAlignment="1" pivotButton="0" quotePrefix="0" xfId="0">
      <alignment horizontal="center" vertical="center"/>
    </xf>
    <xf numFmtId="4" fontId="5" fillId="6" borderId="3" applyAlignment="1" pivotButton="0" quotePrefix="0" xfId="0">
      <alignment horizontal="right" vertical="center"/>
    </xf>
    <xf numFmtId="0" fontId="6" fillId="6" borderId="3" applyAlignment="1" pivotButton="0" quotePrefix="0" xfId="0">
      <alignment horizontal="center" vertical="center"/>
    </xf>
    <xf numFmtId="0" fontId="5" fillId="6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4" customWidth="1" min="9" max="9"/>
  </cols>
  <sheetData>
    <row r="1" ht="28" customHeight="1">
      <c r="A1" s="1" t="inlineStr">
        <is>
          <t>NSE Sectoral EMA Analysis   ·   Generated: 14-May-2026  17:39</t>
        </is>
      </c>
    </row>
    <row r="2" ht="18" customHeight="1">
      <c r="C2" s="2" t="inlineStr">
        <is>
          <t>No. of Stocks Above EMA</t>
        </is>
      </c>
      <c r="F2" s="2" t="inlineStr">
        <is>
          <t>% of Stocks Above EMA</t>
        </is>
      </c>
    </row>
    <row r="3" ht="36" customHeight="1">
      <c r="A3" s="3" t="inlineStr">
        <is>
          <t>Sector</t>
        </is>
      </c>
      <c r="B3" s="3" t="inlineStr">
        <is>
          <t>Total
Stocks</t>
        </is>
      </c>
      <c r="C3" s="3" t="inlineStr">
        <is>
          <t>Above
20 EMA</t>
        </is>
      </c>
      <c r="D3" s="3" t="inlineStr">
        <is>
          <t>Above
50 EMA</t>
        </is>
      </c>
      <c r="E3" s="3" t="inlineStr">
        <is>
          <t>Above
200 EMA</t>
        </is>
      </c>
      <c r="F3" s="3" t="inlineStr">
        <is>
          <t>% Above
20 EMA</t>
        </is>
      </c>
      <c r="G3" s="3" t="inlineStr">
        <is>
          <t>% Above
50 EMA</t>
        </is>
      </c>
      <c r="H3" s="3" t="inlineStr">
        <is>
          <t>% Above
200 EMA</t>
        </is>
      </c>
      <c r="I3" s="3" t="inlineStr">
        <is>
          <t>Composite
Strength %</t>
        </is>
      </c>
    </row>
    <row r="4" ht="17" customHeight="1">
      <c r="A4" s="4" t="inlineStr">
        <is>
          <t>NIFTY PHARMA</t>
        </is>
      </c>
      <c r="B4" s="5" t="n">
        <v>20</v>
      </c>
      <c r="C4" s="5" t="n">
        <v>19</v>
      </c>
      <c r="D4" s="5" t="n">
        <v>19</v>
      </c>
      <c r="E4" s="5" t="n">
        <v>19</v>
      </c>
      <c r="F4" s="6" t="n">
        <v>0.95</v>
      </c>
      <c r="G4" s="6" t="n">
        <v>0.95</v>
      </c>
      <c r="H4" s="6" t="n">
        <v>0.95</v>
      </c>
      <c r="I4" s="7" t="n">
        <v>0.95</v>
      </c>
    </row>
    <row r="5" ht="17" customHeight="1">
      <c r="A5" s="8" t="inlineStr">
        <is>
          <t>NIFTY METAL</t>
        </is>
      </c>
      <c r="B5" s="9" t="n">
        <v>15</v>
      </c>
      <c r="C5" s="9" t="n">
        <v>12</v>
      </c>
      <c r="D5" s="9" t="n">
        <v>12</v>
      </c>
      <c r="E5" s="9" t="n">
        <v>12</v>
      </c>
      <c r="F5" s="10" t="n">
        <v>0.8</v>
      </c>
      <c r="G5" s="10" t="n">
        <v>0.8</v>
      </c>
      <c r="H5" s="10" t="n">
        <v>0.8</v>
      </c>
      <c r="I5" s="11" t="n">
        <v>0.8</v>
      </c>
    </row>
    <row r="6" ht="17" customHeight="1">
      <c r="A6" s="4" t="inlineStr">
        <is>
          <t>NIFTY FMCG</t>
        </is>
      </c>
      <c r="B6" s="5" t="n">
        <v>15</v>
      </c>
      <c r="C6" s="5" t="n">
        <v>9</v>
      </c>
      <c r="D6" s="5" t="n">
        <v>8</v>
      </c>
      <c r="E6" s="5" t="n">
        <v>6</v>
      </c>
      <c r="F6" s="6" t="n">
        <v>0.6</v>
      </c>
      <c r="G6" s="6" t="n">
        <v>0.5329999999999999</v>
      </c>
      <c r="H6" s="6" t="n">
        <v>0.4</v>
      </c>
      <c r="I6" s="7" t="n">
        <v>0.511</v>
      </c>
    </row>
    <row r="7" ht="17" customHeight="1">
      <c r="A7" s="8" t="inlineStr">
        <is>
          <t>NIFTY ENERGY</t>
        </is>
      </c>
      <c r="B7" s="9" t="n">
        <v>40</v>
      </c>
      <c r="C7" s="9" t="n">
        <v>14</v>
      </c>
      <c r="D7" s="9" t="n">
        <v>19</v>
      </c>
      <c r="E7" s="9" t="n">
        <v>22</v>
      </c>
      <c r="F7" s="10" t="n">
        <v>0.35</v>
      </c>
      <c r="G7" s="10" t="n">
        <v>0.475</v>
      </c>
      <c r="H7" s="10" t="n">
        <v>0.55</v>
      </c>
      <c r="I7" s="11" t="n">
        <v>0.4583</v>
      </c>
    </row>
    <row r="8" ht="17" customHeight="1">
      <c r="A8" s="4" t="inlineStr">
        <is>
          <t>NIFTY MIDSMALL IT &amp; TELECOM</t>
        </is>
      </c>
      <c r="B8" s="5" t="n">
        <v>20</v>
      </c>
      <c r="C8" s="5" t="n">
        <v>9</v>
      </c>
      <c r="D8" s="5" t="n">
        <v>10</v>
      </c>
      <c r="E8" s="5" t="n">
        <v>5</v>
      </c>
      <c r="F8" s="6" t="n">
        <v>0.45</v>
      </c>
      <c r="G8" s="6" t="n">
        <v>0.5</v>
      </c>
      <c r="H8" s="6" t="n">
        <v>0.25</v>
      </c>
      <c r="I8" s="7" t="n">
        <v>0.4</v>
      </c>
    </row>
    <row r="9" ht="17" customHeight="1">
      <c r="A9" s="8" t="inlineStr">
        <is>
          <t>NIFTY FINANCIAL SERVICES</t>
        </is>
      </c>
      <c r="B9" s="9" t="n">
        <v>20</v>
      </c>
      <c r="C9" s="9" t="n">
        <v>8</v>
      </c>
      <c r="D9" s="9" t="n">
        <v>7</v>
      </c>
      <c r="E9" s="9" t="n">
        <v>6</v>
      </c>
      <c r="F9" s="10" t="n">
        <v>0.4</v>
      </c>
      <c r="G9" s="10" t="n">
        <v>0.35</v>
      </c>
      <c r="H9" s="10" t="n">
        <v>0.3</v>
      </c>
      <c r="I9" s="11" t="n">
        <v>0.35</v>
      </c>
    </row>
    <row r="10" ht="17" customHeight="1">
      <c r="A10" s="4" t="inlineStr">
        <is>
          <t>NIFTY CONSUMER DURABLES</t>
        </is>
      </c>
      <c r="B10" s="5" t="n">
        <v>15</v>
      </c>
      <c r="C10" s="5" t="n">
        <v>4</v>
      </c>
      <c r="D10" s="5" t="n">
        <v>5</v>
      </c>
      <c r="E10" s="5" t="n">
        <v>6</v>
      </c>
      <c r="F10" s="6" t="n">
        <v>0.267</v>
      </c>
      <c r="G10" s="6" t="n">
        <v>0.333</v>
      </c>
      <c r="H10" s="6" t="n">
        <v>0.4</v>
      </c>
      <c r="I10" s="7" t="n">
        <v>0.3333</v>
      </c>
    </row>
    <row r="11" ht="17" customHeight="1">
      <c r="A11" s="8" t="inlineStr">
        <is>
          <t>NIFTY MEDIA</t>
        </is>
      </c>
      <c r="B11" s="9" t="n">
        <v>10</v>
      </c>
      <c r="C11" s="9" t="n">
        <v>4</v>
      </c>
      <c r="D11" s="9" t="n">
        <v>5</v>
      </c>
      <c r="E11" s="9" t="n">
        <v>1</v>
      </c>
      <c r="F11" s="10" t="n">
        <v>0.4</v>
      </c>
      <c r="G11" s="10" t="n">
        <v>0.5</v>
      </c>
      <c r="H11" s="10" t="n">
        <v>0.1</v>
      </c>
      <c r="I11" s="11" t="n">
        <v>0.3333</v>
      </c>
    </row>
    <row r="12" ht="17" customHeight="1">
      <c r="A12" s="4" t="inlineStr">
        <is>
          <t>NIFTY AUTO</t>
        </is>
      </c>
      <c r="B12" s="5" t="n">
        <v>15</v>
      </c>
      <c r="C12" s="5" t="n">
        <v>5</v>
      </c>
      <c r="D12" s="5" t="n">
        <v>5</v>
      </c>
      <c r="E12" s="5" t="n">
        <v>5</v>
      </c>
      <c r="F12" s="6" t="n">
        <v>0.333</v>
      </c>
      <c r="G12" s="6" t="n">
        <v>0.333</v>
      </c>
      <c r="H12" s="6" t="n">
        <v>0.333</v>
      </c>
      <c r="I12" s="7" t="n">
        <v>0.333</v>
      </c>
    </row>
    <row r="13" ht="17" customHeight="1">
      <c r="A13" s="8" t="inlineStr">
        <is>
          <t>NIFTY REALTY</t>
        </is>
      </c>
      <c r="B13" s="9" t="n">
        <v>10</v>
      </c>
      <c r="C13" s="9" t="n">
        <v>1</v>
      </c>
      <c r="D13" s="9" t="n">
        <v>4</v>
      </c>
      <c r="E13" s="9" t="n">
        <v>2</v>
      </c>
      <c r="F13" s="10" t="n">
        <v>0.1</v>
      </c>
      <c r="G13" s="10" t="n">
        <v>0.4</v>
      </c>
      <c r="H13" s="10" t="n">
        <v>0.2</v>
      </c>
      <c r="I13" s="11" t="n">
        <v>0.2333</v>
      </c>
    </row>
    <row r="14" ht="17" customHeight="1">
      <c r="A14" s="4" t="inlineStr">
        <is>
          <t>NIFTY OIL &amp; GAS</t>
        </is>
      </c>
      <c r="B14" s="5" t="n">
        <v>15</v>
      </c>
      <c r="C14" s="5" t="n">
        <v>3</v>
      </c>
      <c r="D14" s="5" t="n">
        <v>4</v>
      </c>
      <c r="E14" s="5" t="n">
        <v>3</v>
      </c>
      <c r="F14" s="6" t="n">
        <v>0.2</v>
      </c>
      <c r="G14" s="6" t="n">
        <v>0.267</v>
      </c>
      <c r="H14" s="6" t="n">
        <v>0.2</v>
      </c>
      <c r="I14" s="7" t="n">
        <v>0.2223</v>
      </c>
    </row>
    <row r="15" ht="17" customHeight="1">
      <c r="A15" s="8" t="inlineStr">
        <is>
          <t>NIFTY BANK</t>
        </is>
      </c>
      <c r="B15" s="9" t="n">
        <v>12</v>
      </c>
      <c r="C15" s="9" t="n">
        <v>2</v>
      </c>
      <c r="D15" s="9" t="n">
        <v>2</v>
      </c>
      <c r="E15" s="9" t="n">
        <v>3</v>
      </c>
      <c r="F15" s="10" t="n">
        <v>0.167</v>
      </c>
      <c r="G15" s="10" t="n">
        <v>0.167</v>
      </c>
      <c r="H15" s="10" t="n">
        <v>0.25</v>
      </c>
      <c r="I15" s="11" t="n">
        <v>0.1947</v>
      </c>
    </row>
    <row r="16" ht="17" customHeight="1">
      <c r="A16" s="4" t="inlineStr">
        <is>
          <t>NIFTY PSU BANK</t>
        </is>
      </c>
      <c r="B16" s="5" t="n">
        <v>12</v>
      </c>
      <c r="C16" s="5" t="n">
        <v>2</v>
      </c>
      <c r="D16" s="5" t="n">
        <v>1</v>
      </c>
      <c r="E16" s="5" t="n">
        <v>4</v>
      </c>
      <c r="F16" s="6" t="n">
        <v>0.167</v>
      </c>
      <c r="G16" s="6" t="n">
        <v>0.083</v>
      </c>
      <c r="H16" s="6" t="n">
        <v>0.333</v>
      </c>
      <c r="I16" s="7" t="n">
        <v>0.1943</v>
      </c>
    </row>
    <row r="17" ht="17" customHeight="1">
      <c r="A17" s="8" t="inlineStr">
        <is>
          <t>NIFTY IT</t>
        </is>
      </c>
      <c r="B17" s="9" t="n">
        <v>10</v>
      </c>
      <c r="C17" s="9" t="n">
        <v>0</v>
      </c>
      <c r="D17" s="9" t="n">
        <v>0</v>
      </c>
      <c r="E17" s="9" t="n">
        <v>0</v>
      </c>
      <c r="F17" s="10" t="n">
        <v>0</v>
      </c>
      <c r="G17" s="10" t="n">
        <v>0</v>
      </c>
      <c r="H17" s="10" t="n">
        <v>0</v>
      </c>
      <c r="I17" s="11" t="n">
        <v>0</v>
      </c>
    </row>
  </sheetData>
  <mergeCells count="3">
    <mergeCell ref="A1:I1"/>
    <mergeCell ref="C2:E2"/>
    <mergeCell ref="F2:H2"/>
  </mergeCells>
  <conditionalFormatting sqref="F4:F1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4:G1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4:H1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4:I17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3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</cols>
  <sheetData>
    <row r="1" ht="28" customHeight="1">
      <c r="A1" s="1" t="inlineStr">
        <is>
          <t>NSE Stocks Trading Above 20 / 50 / 200-Day EMA   ·   Strongest Sector First</t>
        </is>
      </c>
    </row>
    <row r="2" ht="36" customHeight="1">
      <c r="A2" s="3" t="inlineStr">
        <is>
          <t>Sector</t>
        </is>
      </c>
      <c r="B2" s="3" t="inlineStr">
        <is>
          <t>Ticker</t>
        </is>
      </c>
      <c r="C2" s="3" t="inlineStr">
        <is>
          <t>Current
Close (₹)</t>
        </is>
      </c>
      <c r="D2" s="3" t="inlineStr">
        <is>
          <t>20-Day
EMA (₹)</t>
        </is>
      </c>
      <c r="E2" s="3" t="inlineStr">
        <is>
          <t>50-Day
EMA (₹)</t>
        </is>
      </c>
      <c r="F2" s="3" t="inlineStr">
        <is>
          <t>200-Day
EMA (₹)</t>
        </is>
      </c>
      <c r="G2" s="3" t="inlineStr">
        <is>
          <t>TradingView
Chart</t>
        </is>
      </c>
    </row>
    <row r="3" ht="16" customHeight="1">
      <c r="A3" s="12" t="inlineStr">
        <is>
          <t>NIFTY PHARMA</t>
        </is>
      </c>
      <c r="B3" s="13" t="inlineStr">
        <is>
          <t>AJANTPHARM</t>
        </is>
      </c>
      <c r="C3" s="14" t="n">
        <v>3259.2</v>
      </c>
      <c r="D3" s="14" t="n">
        <v>2973.03</v>
      </c>
      <c r="E3" s="14" t="n">
        <v>2903.61</v>
      </c>
      <c r="F3" s="14" t="n">
        <v>2750.76</v>
      </c>
      <c r="G3" s="15">
        <f>HYPERLINK("https://www.tradingview.com/chart/?symbol=NSE:AJANTPHARM","Chart 📈")</f>
        <v/>
      </c>
    </row>
    <row r="4" ht="16" customHeight="1">
      <c r="A4" s="16" t="inlineStr">
        <is>
          <t>NIFTY PHARMA</t>
        </is>
      </c>
      <c r="B4" s="13" t="inlineStr">
        <is>
          <t>ALKEM</t>
        </is>
      </c>
      <c r="C4" s="14" t="n">
        <v>5576.5</v>
      </c>
      <c r="D4" s="14" t="n">
        <v>5483.03</v>
      </c>
      <c r="E4" s="14" t="n">
        <v>5468.64</v>
      </c>
      <c r="F4" s="14" t="n">
        <v>5420.97</v>
      </c>
      <c r="G4" s="15">
        <f>HYPERLINK("https://www.tradingview.com/chart/?symbol=NSE:ALKEM","Chart 📈")</f>
        <v/>
      </c>
    </row>
    <row r="5" ht="16" customHeight="1">
      <c r="A5" s="16" t="inlineStr">
        <is>
          <t>NIFTY PHARMA</t>
        </is>
      </c>
      <c r="B5" s="13" t="inlineStr">
        <is>
          <t>AUROPHARMA</t>
        </is>
      </c>
      <c r="C5" s="14" t="n">
        <v>1510.9</v>
      </c>
      <c r="D5" s="14" t="n">
        <v>1436.89</v>
      </c>
      <c r="E5" s="14" t="n">
        <v>1364.62</v>
      </c>
      <c r="F5" s="14" t="n">
        <v>1242.02</v>
      </c>
      <c r="G5" s="15">
        <f>HYPERLINK("https://www.tradingview.com/chart/?symbol=NSE:AUROPHARMA","Chart 📈")</f>
        <v/>
      </c>
    </row>
    <row r="6" ht="16" customHeight="1">
      <c r="A6" s="16" t="inlineStr">
        <is>
          <t>NIFTY PHARMA</t>
        </is>
      </c>
      <c r="B6" s="13" t="inlineStr">
        <is>
          <t>BIOCON</t>
        </is>
      </c>
      <c r="C6" s="14" t="n">
        <v>419</v>
      </c>
      <c r="D6" s="14" t="n">
        <v>379.94</v>
      </c>
      <c r="E6" s="14" t="n">
        <v>373.65</v>
      </c>
      <c r="F6" s="14" t="n">
        <v>370.88</v>
      </c>
      <c r="G6" s="15">
        <f>HYPERLINK("https://www.tradingview.com/chart/?symbol=NSE:BIOCON","Chart 📈")</f>
        <v/>
      </c>
    </row>
    <row r="7" ht="16" customHeight="1">
      <c r="A7" s="16" t="inlineStr">
        <is>
          <t>NIFTY PHARMA</t>
        </is>
      </c>
      <c r="B7" s="13" t="inlineStr">
        <is>
          <t>CIPLA</t>
        </is>
      </c>
      <c r="C7" s="14" t="n">
        <v>1436.7</v>
      </c>
      <c r="D7" s="14" t="n">
        <v>1317.49</v>
      </c>
      <c r="E7" s="14" t="n">
        <v>1306.52</v>
      </c>
      <c r="F7" s="14" t="n">
        <v>1395.41</v>
      </c>
      <c r="G7" s="15">
        <f>HYPERLINK("https://www.tradingview.com/chart/?symbol=NSE:CIPLA","Chart 📈")</f>
        <v/>
      </c>
    </row>
    <row r="8" ht="16" customHeight="1">
      <c r="A8" s="16" t="inlineStr">
        <is>
          <t>NIFTY PHARMA</t>
        </is>
      </c>
      <c r="B8" s="13" t="inlineStr">
        <is>
          <t>DIVISLAB</t>
        </is>
      </c>
      <c r="C8" s="14" t="n">
        <v>6921.5</v>
      </c>
      <c r="D8" s="14" t="n">
        <v>6550.34</v>
      </c>
      <c r="E8" s="14" t="n">
        <v>6373.43</v>
      </c>
      <c r="F8" s="14" t="n">
        <v>6313.81</v>
      </c>
      <c r="G8" s="15">
        <f>HYPERLINK("https://www.tradingview.com/chart/?symbol=NSE:DIVISLAB","Chart 📈")</f>
        <v/>
      </c>
    </row>
    <row r="9" ht="16" customHeight="1">
      <c r="A9" s="16" t="inlineStr">
        <is>
          <t>NIFTY PHARMA</t>
        </is>
      </c>
      <c r="B9" s="13" t="inlineStr">
        <is>
          <t>DRREDDY</t>
        </is>
      </c>
      <c r="C9" s="14" t="n">
        <v>1303.6</v>
      </c>
      <c r="D9" s="14" t="n">
        <v>1285.54</v>
      </c>
      <c r="E9" s="14" t="n">
        <v>1275.08</v>
      </c>
      <c r="F9" s="14" t="n">
        <v>1259.26</v>
      </c>
      <c r="G9" s="15">
        <f>HYPERLINK("https://www.tradingview.com/chart/?symbol=NSE:DRREDDY","Chart 📈")</f>
        <v/>
      </c>
    </row>
    <row r="10" ht="16" customHeight="1">
      <c r="A10" s="16" t="inlineStr">
        <is>
          <t>NIFTY PHARMA</t>
        </is>
      </c>
      <c r="B10" s="13" t="inlineStr">
        <is>
          <t>GLAND</t>
        </is>
      </c>
      <c r="C10" s="14" t="n">
        <v>1898.2</v>
      </c>
      <c r="D10" s="14" t="n">
        <v>1816.52</v>
      </c>
      <c r="E10" s="14" t="n">
        <v>1776.97</v>
      </c>
      <c r="F10" s="14" t="n">
        <v>1756.64</v>
      </c>
      <c r="G10" s="15">
        <f>HYPERLINK("https://www.tradingview.com/chart/?symbol=NSE:GLAND","Chart 📈")</f>
        <v/>
      </c>
    </row>
    <row r="11" ht="16" customHeight="1">
      <c r="A11" s="16" t="inlineStr">
        <is>
          <t>NIFTY PHARMA</t>
        </is>
      </c>
      <c r="B11" s="13" t="inlineStr">
        <is>
          <t>GLENMARK</t>
        </is>
      </c>
      <c r="C11" s="14" t="n">
        <v>2340.6</v>
      </c>
      <c r="D11" s="14" t="n">
        <v>2316.88</v>
      </c>
      <c r="E11" s="14" t="n">
        <v>2237.09</v>
      </c>
      <c r="F11" s="14" t="n">
        <v>2024.18</v>
      </c>
      <c r="G11" s="15">
        <f>HYPERLINK("https://www.tradingview.com/chart/?symbol=NSE:GLENMARK","Chart 📈")</f>
        <v/>
      </c>
    </row>
    <row r="12" ht="16" customHeight="1">
      <c r="A12" s="16" t="inlineStr">
        <is>
          <t>NIFTY PHARMA</t>
        </is>
      </c>
      <c r="B12" s="13" t="inlineStr">
        <is>
          <t>GRANULES</t>
        </is>
      </c>
      <c r="C12" s="14" t="n">
        <v>735.3</v>
      </c>
      <c r="D12" s="14" t="n">
        <v>707.28</v>
      </c>
      <c r="E12" s="14" t="n">
        <v>662.95</v>
      </c>
      <c r="F12" s="14" t="n">
        <v>587.88</v>
      </c>
      <c r="G12" s="15">
        <f>HYPERLINK("https://www.tradingview.com/chart/?symbol=NSE:GRANULES","Chart 📈")</f>
        <v/>
      </c>
    </row>
    <row r="13" ht="16" customHeight="1">
      <c r="A13" s="16" t="inlineStr">
        <is>
          <t>NIFTY PHARMA</t>
        </is>
      </c>
      <c r="B13" s="13" t="inlineStr">
        <is>
          <t>IPCALAB</t>
        </is>
      </c>
      <c r="C13" s="14" t="n">
        <v>1583.9</v>
      </c>
      <c r="D13" s="14" t="n">
        <v>1529.99</v>
      </c>
      <c r="E13" s="14" t="n">
        <v>1513.45</v>
      </c>
      <c r="F13" s="14" t="n">
        <v>1458.63</v>
      </c>
      <c r="G13" s="15">
        <f>HYPERLINK("https://www.tradingview.com/chart/?symbol=NSE:IPCALAB","Chart 📈")</f>
        <v/>
      </c>
    </row>
    <row r="14" ht="16" customHeight="1">
      <c r="A14" s="16" t="inlineStr">
        <is>
          <t>NIFTY PHARMA</t>
        </is>
      </c>
      <c r="B14" s="13" t="inlineStr">
        <is>
          <t>JBCHEPHARM</t>
        </is>
      </c>
      <c r="C14" s="14" t="n">
        <v>2137.8</v>
      </c>
      <c r="D14" s="14" t="n">
        <v>2088.65</v>
      </c>
      <c r="E14" s="14" t="n">
        <v>2043.24</v>
      </c>
      <c r="F14" s="14" t="n">
        <v>1882.37</v>
      </c>
      <c r="G14" s="15">
        <f>HYPERLINK("https://www.tradingview.com/chart/?symbol=NSE:JBCHEPHARM","Chart 📈")</f>
        <v/>
      </c>
    </row>
    <row r="15" ht="16" customHeight="1">
      <c r="A15" s="16" t="inlineStr">
        <is>
          <t>NIFTY PHARMA</t>
        </is>
      </c>
      <c r="B15" s="13" t="inlineStr">
        <is>
          <t>LAURUSLABS</t>
        </is>
      </c>
      <c r="C15" s="14" t="n">
        <v>1315.5</v>
      </c>
      <c r="D15" s="14" t="n">
        <v>1181.34</v>
      </c>
      <c r="E15" s="14" t="n">
        <v>1113.99</v>
      </c>
      <c r="F15" s="14" t="n">
        <v>982.11</v>
      </c>
      <c r="G15" s="15">
        <f>HYPERLINK("https://www.tradingview.com/chart/?symbol=NSE:LAURUSLABS","Chart 📈")</f>
        <v/>
      </c>
    </row>
    <row r="16" ht="16" customHeight="1">
      <c r="A16" s="16" t="inlineStr">
        <is>
          <t>NIFTY PHARMA</t>
        </is>
      </c>
      <c r="B16" s="13" t="inlineStr">
        <is>
          <t>MANKIND</t>
        </is>
      </c>
      <c r="C16" s="14" t="n">
        <v>2462.2</v>
      </c>
      <c r="D16" s="14" t="n">
        <v>2307.75</v>
      </c>
      <c r="E16" s="14" t="n">
        <v>2217.7</v>
      </c>
      <c r="F16" s="14" t="n">
        <v>2267.3</v>
      </c>
      <c r="G16" s="15">
        <f>HYPERLINK("https://www.tradingview.com/chart/?symbol=NSE:MANKIND","Chart 📈")</f>
        <v/>
      </c>
    </row>
    <row r="17" ht="16" customHeight="1">
      <c r="A17" s="16" t="inlineStr">
        <is>
          <t>NIFTY PHARMA</t>
        </is>
      </c>
      <c r="B17" s="13" t="inlineStr">
        <is>
          <t>NATCOPHARM</t>
        </is>
      </c>
      <c r="C17" s="14" t="n">
        <v>1204.4</v>
      </c>
      <c r="D17" s="14" t="n">
        <v>1130.88</v>
      </c>
      <c r="E17" s="14" t="n">
        <v>1062.67</v>
      </c>
      <c r="F17" s="14" t="n">
        <v>944.03</v>
      </c>
      <c r="G17" s="15">
        <f>HYPERLINK("https://www.tradingview.com/chart/?symbol=NSE:NATCOPHARM","Chart 📈")</f>
        <v/>
      </c>
    </row>
    <row r="18" ht="16" customHeight="1">
      <c r="A18" s="16" t="inlineStr">
        <is>
          <t>NIFTY PHARMA</t>
        </is>
      </c>
      <c r="B18" s="13" t="inlineStr">
        <is>
          <t>SUNPHARMA</t>
        </is>
      </c>
      <c r="C18" s="14" t="n">
        <v>1863.2</v>
      </c>
      <c r="D18" s="14" t="n">
        <v>1797.18</v>
      </c>
      <c r="E18" s="14" t="n">
        <v>1761.91</v>
      </c>
      <c r="F18" s="14" t="n">
        <v>1718.54</v>
      </c>
      <c r="G18" s="15">
        <f>HYPERLINK("https://www.tradingview.com/chart/?symbol=NSE:SUNPHARMA","Chart 📈")</f>
        <v/>
      </c>
    </row>
    <row r="19" ht="16" customHeight="1">
      <c r="A19" s="16" t="inlineStr">
        <is>
          <t>NIFTY PHARMA</t>
        </is>
      </c>
      <c r="B19" s="13" t="inlineStr">
        <is>
          <t>TORNTPHARM</t>
        </is>
      </c>
      <c r="C19" s="14" t="n">
        <v>4403.9</v>
      </c>
      <c r="D19" s="14" t="n">
        <v>4288.23</v>
      </c>
      <c r="E19" s="14" t="n">
        <v>4220.52</v>
      </c>
      <c r="F19" s="14" t="n">
        <v>3909.7</v>
      </c>
      <c r="G19" s="15">
        <f>HYPERLINK("https://www.tradingview.com/chart/?symbol=NSE:TORNTPHARM","Chart 📈")</f>
        <v/>
      </c>
    </row>
    <row r="20" ht="16" customHeight="1">
      <c r="A20" s="16" t="inlineStr">
        <is>
          <t>NIFTY PHARMA</t>
        </is>
      </c>
      <c r="B20" s="13" t="inlineStr">
        <is>
          <t>ZYDUSLIFE</t>
        </is>
      </c>
      <c r="C20" s="14" t="n">
        <v>991.7</v>
      </c>
      <c r="D20" s="14" t="n">
        <v>931.3200000000001</v>
      </c>
      <c r="E20" s="14" t="n">
        <v>918.7</v>
      </c>
      <c r="F20" s="14" t="n">
        <v>924.5</v>
      </c>
      <c r="G20" s="15">
        <f>HYPERLINK("https://www.tradingview.com/chart/?symbol=NSE:ZYDUSLIFE","Chart 📈")</f>
        <v/>
      </c>
    </row>
    <row r="21" ht="16" customHeight="1">
      <c r="A21" s="8" t="inlineStr">
        <is>
          <t>NIFTY METAL</t>
        </is>
      </c>
      <c r="B21" s="17" t="inlineStr">
        <is>
          <t>ADANIENT</t>
        </is>
      </c>
      <c r="C21" s="18" t="n">
        <v>2712.9</v>
      </c>
      <c r="D21" s="18" t="n">
        <v>2404.49</v>
      </c>
      <c r="E21" s="18" t="n">
        <v>2259.14</v>
      </c>
      <c r="F21" s="18" t="n">
        <v>2271.47</v>
      </c>
      <c r="G21" s="19">
        <f>HYPERLINK("https://www.tradingview.com/chart/?symbol=NSE:ADANIENT","Chart 📈")</f>
        <v/>
      </c>
    </row>
    <row r="22" ht="16" customHeight="1">
      <c r="A22" s="20" t="inlineStr">
        <is>
          <t>NIFTY METAL</t>
        </is>
      </c>
      <c r="B22" s="17" t="inlineStr">
        <is>
          <t>HINDALCO</t>
        </is>
      </c>
      <c r="C22" s="18" t="n">
        <v>1103.3</v>
      </c>
      <c r="D22" s="18" t="n">
        <v>1039.75</v>
      </c>
      <c r="E22" s="18" t="n">
        <v>996.8099999999999</v>
      </c>
      <c r="F22" s="18" t="n">
        <v>877.78</v>
      </c>
      <c r="G22" s="19">
        <f>HYPERLINK("https://www.tradingview.com/chart/?symbol=NSE:HINDALCO","Chart 📈")</f>
        <v/>
      </c>
    </row>
    <row r="23" ht="16" customHeight="1">
      <c r="A23" s="20" t="inlineStr">
        <is>
          <t>NIFTY METAL</t>
        </is>
      </c>
      <c r="B23" s="17" t="inlineStr">
        <is>
          <t>HINDCOPPER</t>
        </is>
      </c>
      <c r="C23" s="18" t="n">
        <v>606.45</v>
      </c>
      <c r="D23" s="18" t="n">
        <v>558.55</v>
      </c>
      <c r="E23" s="18" t="n">
        <v>542.62</v>
      </c>
      <c r="F23" s="18" t="n">
        <v>448.35</v>
      </c>
      <c r="G23" s="19">
        <f>HYPERLINK("https://www.tradingview.com/chart/?symbol=NSE:HINDCOPPER","Chart 📈")</f>
        <v/>
      </c>
    </row>
    <row r="24" ht="16" customHeight="1">
      <c r="A24" s="20" t="inlineStr">
        <is>
          <t>NIFTY METAL</t>
        </is>
      </c>
      <c r="B24" s="17" t="inlineStr">
        <is>
          <t>HINDZINC</t>
        </is>
      </c>
      <c r="C24" s="18" t="n">
        <v>669.25</v>
      </c>
      <c r="D24" s="18" t="n">
        <v>615.26</v>
      </c>
      <c r="E24" s="18" t="n">
        <v>589.86</v>
      </c>
      <c r="F24" s="18" t="n">
        <v>539.41</v>
      </c>
      <c r="G24" s="19">
        <f>HYPERLINK("https://www.tradingview.com/chart/?symbol=NSE:HINDZINC","Chart 📈")</f>
        <v/>
      </c>
    </row>
    <row r="25" ht="16" customHeight="1">
      <c r="A25" s="20" t="inlineStr">
        <is>
          <t>NIFTY METAL</t>
        </is>
      </c>
      <c r="B25" s="17" t="inlineStr">
        <is>
          <t>JINDALSTEL</t>
        </is>
      </c>
      <c r="C25" s="18" t="n">
        <v>1252.8</v>
      </c>
      <c r="D25" s="18" t="n">
        <v>1239.41</v>
      </c>
      <c r="E25" s="18" t="n">
        <v>1211.47</v>
      </c>
      <c r="F25" s="18" t="n">
        <v>1109.26</v>
      </c>
      <c r="G25" s="19">
        <f>HYPERLINK("https://www.tradingview.com/chart/?symbol=NSE:JINDALSTEL","Chart 📈")</f>
        <v/>
      </c>
    </row>
    <row r="26" ht="16" customHeight="1">
      <c r="A26" s="20" t="inlineStr">
        <is>
          <t>NIFTY METAL</t>
        </is>
      </c>
      <c r="B26" s="17" t="inlineStr">
        <is>
          <t>JSWSTEEL</t>
        </is>
      </c>
      <c r="C26" s="18" t="n">
        <v>1296.9</v>
      </c>
      <c r="D26" s="18" t="n">
        <v>1259.36</v>
      </c>
      <c r="E26" s="18" t="n">
        <v>1232.09</v>
      </c>
      <c r="F26" s="18" t="n">
        <v>1163.04</v>
      </c>
      <c r="G26" s="19">
        <f>HYPERLINK("https://www.tradingview.com/chart/?symbol=NSE:JSWSTEEL","Chart 📈")</f>
        <v/>
      </c>
    </row>
    <row r="27" ht="16" customHeight="1">
      <c r="A27" s="20" t="inlineStr">
        <is>
          <t>NIFTY METAL</t>
        </is>
      </c>
      <c r="B27" s="17" t="inlineStr">
        <is>
          <t>NATIONALUM</t>
        </is>
      </c>
      <c r="C27" s="18" t="n">
        <v>416.45</v>
      </c>
      <c r="D27" s="18" t="n">
        <v>408.72</v>
      </c>
      <c r="E27" s="18" t="n">
        <v>396.7</v>
      </c>
      <c r="F27" s="18" t="n">
        <v>315.64</v>
      </c>
      <c r="G27" s="19">
        <f>HYPERLINK("https://www.tradingview.com/chart/?symbol=NSE:NATIONALUM","Chart 📈")</f>
        <v/>
      </c>
    </row>
    <row r="28" ht="16" customHeight="1">
      <c r="A28" s="20" t="inlineStr">
        <is>
          <t>NIFTY METAL</t>
        </is>
      </c>
      <c r="B28" s="17" t="inlineStr">
        <is>
          <t>NMDC</t>
        </is>
      </c>
      <c r="C28" s="18" t="n">
        <v>93.20999999999999</v>
      </c>
      <c r="D28" s="18" t="n">
        <v>88.59</v>
      </c>
      <c r="E28" s="18" t="n">
        <v>85.40000000000001</v>
      </c>
      <c r="F28" s="18" t="n">
        <v>78.23</v>
      </c>
      <c r="G28" s="19">
        <f>HYPERLINK("https://www.tradingview.com/chart/?symbol=NSE:NMDC","Chart 📈")</f>
        <v/>
      </c>
    </row>
    <row r="29" ht="16" customHeight="1">
      <c r="A29" s="20" t="inlineStr">
        <is>
          <t>NIFTY METAL</t>
        </is>
      </c>
      <c r="B29" s="17" t="inlineStr">
        <is>
          <t>RATNAMANI</t>
        </is>
      </c>
      <c r="C29" s="18" t="n">
        <v>2888.6</v>
      </c>
      <c r="D29" s="18" t="n">
        <v>2697.26</v>
      </c>
      <c r="E29" s="18" t="n">
        <v>2519.93</v>
      </c>
      <c r="F29" s="18" t="n">
        <v>2443.92</v>
      </c>
      <c r="G29" s="19">
        <f>HYPERLINK("https://www.tradingview.com/chart/?symbol=NSE:RATNAMANI","Chart 📈")</f>
        <v/>
      </c>
    </row>
    <row r="30" ht="16" customHeight="1">
      <c r="A30" s="20" t="inlineStr">
        <is>
          <t>NIFTY METAL</t>
        </is>
      </c>
      <c r="B30" s="17" t="inlineStr">
        <is>
          <t>SAIL</t>
        </is>
      </c>
      <c r="C30" s="18" t="n">
        <v>199.08</v>
      </c>
      <c r="D30" s="18" t="n">
        <v>182.67</v>
      </c>
      <c r="E30" s="18" t="n">
        <v>171.61</v>
      </c>
      <c r="F30" s="18" t="n">
        <v>150.09</v>
      </c>
      <c r="G30" s="19">
        <f>HYPERLINK("https://www.tradingview.com/chart/?symbol=NSE:SAIL","Chart 📈")</f>
        <v/>
      </c>
    </row>
    <row r="31" ht="16" customHeight="1">
      <c r="A31" s="20" t="inlineStr">
        <is>
          <t>NIFTY METAL</t>
        </is>
      </c>
      <c r="B31" s="17" t="inlineStr">
        <is>
          <t>TATASTEEL</t>
        </is>
      </c>
      <c r="C31" s="18" t="n">
        <v>221.13</v>
      </c>
      <c r="D31" s="18" t="n">
        <v>212.76</v>
      </c>
      <c r="E31" s="18" t="n">
        <v>206.39</v>
      </c>
      <c r="F31" s="18" t="n">
        <v>186.84</v>
      </c>
      <c r="G31" s="19">
        <f>HYPERLINK("https://www.tradingview.com/chart/?symbol=NSE:TATASTEEL","Chart 📈")</f>
        <v/>
      </c>
    </row>
    <row r="32" ht="16" customHeight="1">
      <c r="A32" s="20" t="inlineStr">
        <is>
          <t>NIFTY METAL</t>
        </is>
      </c>
      <c r="B32" s="17" t="inlineStr">
        <is>
          <t>WELCORP</t>
        </is>
      </c>
      <c r="C32" s="18" t="n">
        <v>1367.5</v>
      </c>
      <c r="D32" s="18" t="n">
        <v>1229.9</v>
      </c>
      <c r="E32" s="18" t="n">
        <v>1075.31</v>
      </c>
      <c r="F32" s="18" t="n">
        <v>908.05</v>
      </c>
      <c r="G32" s="19">
        <f>HYPERLINK("https://www.tradingview.com/chart/?symbol=NSE:WELCORP","Chart 📈")</f>
        <v/>
      </c>
    </row>
    <row r="33" ht="16" customHeight="1">
      <c r="A33" s="12" t="inlineStr">
        <is>
          <t>NIFTY FMCG</t>
        </is>
      </c>
      <c r="B33" s="13" t="inlineStr">
        <is>
          <t>BALRAMCHIN</t>
        </is>
      </c>
      <c r="C33" s="14" t="n">
        <v>540.7</v>
      </c>
      <c r="D33" s="14" t="n">
        <v>521.87</v>
      </c>
      <c r="E33" s="14" t="n">
        <v>502.15</v>
      </c>
      <c r="F33" s="14" t="n">
        <v>492.3</v>
      </c>
      <c r="G33" s="15">
        <f>HYPERLINK("https://www.tradingview.com/chart/?symbol=NSE:BALRAMCHIN","Chart 📈")</f>
        <v/>
      </c>
    </row>
    <row r="34" ht="16" customHeight="1">
      <c r="A34" s="16" t="inlineStr">
        <is>
          <t>NIFTY FMCG</t>
        </is>
      </c>
      <c r="B34" s="13" t="inlineStr">
        <is>
          <t>MARICO</t>
        </is>
      </c>
      <c r="C34" s="14" t="n">
        <v>835</v>
      </c>
      <c r="D34" s="14" t="n">
        <v>802.87</v>
      </c>
      <c r="E34" s="14" t="n">
        <v>781.37</v>
      </c>
      <c r="F34" s="14" t="n">
        <v>750.61</v>
      </c>
      <c r="G34" s="15">
        <f>HYPERLINK("https://www.tradingview.com/chart/?symbol=NSE:MARICO","Chart 📈")</f>
        <v/>
      </c>
    </row>
    <row r="35" ht="16" customHeight="1">
      <c r="A35" s="16" t="inlineStr">
        <is>
          <t>NIFTY FMCG</t>
        </is>
      </c>
      <c r="B35" s="13" t="inlineStr">
        <is>
          <t>NESTLEIND</t>
        </is>
      </c>
      <c r="C35" s="14" t="n">
        <v>1459.6</v>
      </c>
      <c r="D35" s="14" t="n">
        <v>1424.3</v>
      </c>
      <c r="E35" s="14" t="n">
        <v>1352.3</v>
      </c>
      <c r="F35" s="14" t="n">
        <v>1269.65</v>
      </c>
      <c r="G35" s="15">
        <f>HYPERLINK("https://www.tradingview.com/chart/?symbol=NSE:NESTLEIND","Chart 📈")</f>
        <v/>
      </c>
    </row>
    <row r="36" ht="16" customHeight="1">
      <c r="A36" s="16" t="inlineStr">
        <is>
          <t>NIFTY FMCG</t>
        </is>
      </c>
      <c r="B36" s="13" t="inlineStr">
        <is>
          <t>RADICO</t>
        </is>
      </c>
      <c r="C36" s="14" t="n">
        <v>3461</v>
      </c>
      <c r="D36" s="14" t="n">
        <v>3314.72</v>
      </c>
      <c r="E36" s="14" t="n">
        <v>3110.53</v>
      </c>
      <c r="F36" s="14" t="n">
        <v>2947.63</v>
      </c>
      <c r="G36" s="15">
        <f>HYPERLINK("https://www.tradingview.com/chart/?symbol=NSE:RADICO","Chart 📈")</f>
        <v/>
      </c>
    </row>
    <row r="37" ht="16" customHeight="1">
      <c r="A37" s="16" t="inlineStr">
        <is>
          <t>NIFTY FMCG</t>
        </is>
      </c>
      <c r="B37" s="13" t="inlineStr">
        <is>
          <t>TATACONSUM</t>
        </is>
      </c>
      <c r="C37" s="14" t="n">
        <v>1228.3</v>
      </c>
      <c r="D37" s="14" t="n">
        <v>1175.02</v>
      </c>
      <c r="E37" s="14" t="n">
        <v>1143.64</v>
      </c>
      <c r="F37" s="14" t="n">
        <v>1133.24</v>
      </c>
      <c r="G37" s="15">
        <f>HYPERLINK("https://www.tradingview.com/chart/?symbol=NSE:TATACONSUM","Chart 📈")</f>
        <v/>
      </c>
    </row>
    <row r="38" ht="16" customHeight="1">
      <c r="A38" s="16" t="inlineStr">
        <is>
          <t>NIFTY FMCG</t>
        </is>
      </c>
      <c r="B38" s="13" t="inlineStr">
        <is>
          <t>VBL</t>
        </is>
      </c>
      <c r="C38" s="14" t="n">
        <v>505.15</v>
      </c>
      <c r="D38" s="14" t="n">
        <v>491.43</v>
      </c>
      <c r="E38" s="14" t="n">
        <v>470.12</v>
      </c>
      <c r="F38" s="14" t="n">
        <v>468.01</v>
      </c>
      <c r="G38" s="15">
        <f>HYPERLINK("https://www.tradingview.com/chart/?symbol=NSE:VBL","Chart 📈")</f>
        <v/>
      </c>
    </row>
    <row r="39" ht="16" customHeight="1">
      <c r="A39" s="8" t="inlineStr">
        <is>
          <t>NIFTY ENERGY</t>
        </is>
      </c>
      <c r="B39" s="17" t="inlineStr">
        <is>
          <t>ADANIENSOL</t>
        </is>
      </c>
      <c r="C39" s="18" t="n">
        <v>1319.1</v>
      </c>
      <c r="D39" s="18" t="n">
        <v>1310.19</v>
      </c>
      <c r="E39" s="18" t="n">
        <v>1198.37</v>
      </c>
      <c r="F39" s="18" t="n">
        <v>1025.93</v>
      </c>
      <c r="G39" s="19">
        <f>HYPERLINK("https://www.tradingview.com/chart/?symbol=NSE:ADANIENSOL","Chart 📈")</f>
        <v/>
      </c>
    </row>
    <row r="40" ht="16" customHeight="1">
      <c r="A40" s="20" t="inlineStr">
        <is>
          <t>NIFTY ENERGY</t>
        </is>
      </c>
      <c r="B40" s="17" t="inlineStr">
        <is>
          <t>ADANIGREEN</t>
        </is>
      </c>
      <c r="C40" s="18" t="n">
        <v>1414.9</v>
      </c>
      <c r="D40" s="18" t="n">
        <v>1266.81</v>
      </c>
      <c r="E40" s="18" t="n">
        <v>1132.96</v>
      </c>
      <c r="F40" s="18" t="n">
        <v>1024.62</v>
      </c>
      <c r="G40" s="19">
        <f>HYPERLINK("https://www.tradingview.com/chart/?symbol=NSE:ADANIGREEN","Chart 📈")</f>
        <v/>
      </c>
    </row>
    <row r="41" ht="16" customHeight="1">
      <c r="A41" s="20" t="inlineStr">
        <is>
          <t>NIFTY ENERGY</t>
        </is>
      </c>
      <c r="B41" s="17" t="inlineStr">
        <is>
          <t>ADANIPOWER</t>
        </is>
      </c>
      <c r="C41" s="18" t="n">
        <v>224.49</v>
      </c>
      <c r="D41" s="18" t="n">
        <v>212.91</v>
      </c>
      <c r="E41" s="18" t="n">
        <v>190.33</v>
      </c>
      <c r="F41" s="18" t="n">
        <v>155.01</v>
      </c>
      <c r="G41" s="19">
        <f>HYPERLINK("https://www.tradingview.com/chart/?symbol=NSE:ADANIPOWER","Chart 📈")</f>
        <v/>
      </c>
    </row>
    <row r="42" ht="16" customHeight="1">
      <c r="A42" s="20" t="inlineStr">
        <is>
          <t>NIFTY ENERGY</t>
        </is>
      </c>
      <c r="B42" s="17" t="inlineStr">
        <is>
          <t>BHEL</t>
        </is>
      </c>
      <c r="C42" s="18" t="n">
        <v>413.15</v>
      </c>
      <c r="D42" s="18" t="n">
        <v>365.74</v>
      </c>
      <c r="E42" s="18" t="n">
        <v>323.69</v>
      </c>
      <c r="F42" s="18" t="n">
        <v>278.13</v>
      </c>
      <c r="G42" s="19">
        <f>HYPERLINK("https://www.tradingview.com/chart/?symbol=NSE:BHEL","Chart 📈")</f>
        <v/>
      </c>
    </row>
    <row r="43" ht="16" customHeight="1">
      <c r="A43" s="20" t="inlineStr">
        <is>
          <t>NIFTY ENERGY</t>
        </is>
      </c>
      <c r="B43" s="17" t="inlineStr">
        <is>
          <t>CESC</t>
        </is>
      </c>
      <c r="C43" s="18" t="n">
        <v>184.46</v>
      </c>
      <c r="D43" s="18" t="n">
        <v>180.71</v>
      </c>
      <c r="E43" s="18" t="n">
        <v>171.74</v>
      </c>
      <c r="F43" s="18" t="n">
        <v>164.78</v>
      </c>
      <c r="G43" s="19">
        <f>HYPERLINK("https://www.tradingview.com/chart/?symbol=NSE:CESC","Chart 📈")</f>
        <v/>
      </c>
    </row>
    <row r="44" ht="16" customHeight="1">
      <c r="A44" s="20" t="inlineStr">
        <is>
          <t>NIFTY ENERGY</t>
        </is>
      </c>
      <c r="B44" s="17" t="inlineStr">
        <is>
          <t>CGPOWER</t>
        </is>
      </c>
      <c r="C44" s="18" t="n">
        <v>848.25</v>
      </c>
      <c r="D44" s="18" t="n">
        <v>818.74</v>
      </c>
      <c r="E44" s="18" t="n">
        <v>768.75</v>
      </c>
      <c r="F44" s="18" t="n">
        <v>710.49</v>
      </c>
      <c r="G44" s="19">
        <f>HYPERLINK("https://www.tradingview.com/chart/?symbol=NSE:CGPOWER","Chart 📈")</f>
        <v/>
      </c>
    </row>
    <row r="45" ht="16" customHeight="1">
      <c r="A45" s="20" t="inlineStr">
        <is>
          <t>NIFTY ENERGY</t>
        </is>
      </c>
      <c r="B45" s="17" t="inlineStr">
        <is>
          <t>NLCINDIA</t>
        </is>
      </c>
      <c r="C45" s="18" t="n">
        <v>370.9</v>
      </c>
      <c r="D45" s="18" t="n">
        <v>316.7</v>
      </c>
      <c r="E45" s="18" t="n">
        <v>294.53</v>
      </c>
      <c r="F45" s="18" t="n">
        <v>263.12</v>
      </c>
      <c r="G45" s="19">
        <f>HYPERLINK("https://www.tradingview.com/chart/?symbol=NSE:NLCINDIA","Chart 📈")</f>
        <v/>
      </c>
    </row>
    <row r="46" ht="16" customHeight="1">
      <c r="A46" s="20" t="inlineStr">
        <is>
          <t>NIFTY ENERGY</t>
        </is>
      </c>
      <c r="B46" s="17" t="inlineStr">
        <is>
          <t>NTPC</t>
        </is>
      </c>
      <c r="C46" s="18" t="n">
        <v>396.3</v>
      </c>
      <c r="D46" s="18" t="n">
        <v>395.06</v>
      </c>
      <c r="E46" s="18" t="n">
        <v>385.91</v>
      </c>
      <c r="F46" s="18" t="n">
        <v>356.79</v>
      </c>
      <c r="G46" s="19">
        <f>HYPERLINK("https://www.tradingview.com/chart/?symbol=NSE:NTPC","Chart 📈")</f>
        <v/>
      </c>
    </row>
    <row r="47" ht="16" customHeight="1">
      <c r="A47" s="20" t="inlineStr">
        <is>
          <t>NIFTY ENERGY</t>
        </is>
      </c>
      <c r="B47" s="17" t="inlineStr">
        <is>
          <t>POWERINDIA</t>
        </is>
      </c>
      <c r="C47" s="18" t="n">
        <v>32290</v>
      </c>
      <c r="D47" s="18" t="n">
        <v>31870.77</v>
      </c>
      <c r="E47" s="18" t="n">
        <v>28852.57</v>
      </c>
      <c r="F47" s="18" t="n">
        <v>23005.57</v>
      </c>
      <c r="G47" s="19">
        <f>HYPERLINK("https://www.tradingview.com/chart/?symbol=NSE:POWERINDIA","Chart 📈")</f>
        <v/>
      </c>
    </row>
    <row r="48" ht="16" customHeight="1">
      <c r="A48" s="20" t="inlineStr">
        <is>
          <t>NIFTY ENERGY</t>
        </is>
      </c>
      <c r="B48" s="17" t="inlineStr">
        <is>
          <t>SCHNEIDER</t>
        </is>
      </c>
      <c r="C48" s="18" t="n">
        <v>1315</v>
      </c>
      <c r="D48" s="18" t="n">
        <v>1219.72</v>
      </c>
      <c r="E48" s="18" t="n">
        <v>1077.17</v>
      </c>
      <c r="F48" s="18" t="n">
        <v>877.51</v>
      </c>
      <c r="G48" s="19">
        <f>HYPERLINK("https://www.tradingview.com/chart/?symbol=NSE:SCHNEIDER","Chart 📈")</f>
        <v/>
      </c>
    </row>
    <row r="49" ht="16" customHeight="1">
      <c r="A49" s="20" t="inlineStr">
        <is>
          <t>NIFTY ENERGY</t>
        </is>
      </c>
      <c r="B49" s="17" t="inlineStr">
        <is>
          <t>SIEMENS</t>
        </is>
      </c>
      <c r="C49" s="18" t="n">
        <v>3693.8</v>
      </c>
      <c r="D49" s="18" t="n">
        <v>3671.75</v>
      </c>
      <c r="E49" s="18" t="n">
        <v>3502.91</v>
      </c>
      <c r="F49" s="18" t="n">
        <v>3259.23</v>
      </c>
      <c r="G49" s="19">
        <f>HYPERLINK("https://www.tradingview.com/chart/?symbol=NSE:SIEMENS","Chart 📈")</f>
        <v/>
      </c>
    </row>
    <row r="50" ht="16" customHeight="1">
      <c r="A50" s="20" t="inlineStr">
        <is>
          <t>NIFTY ENERGY</t>
        </is>
      </c>
      <c r="B50" s="17" t="inlineStr">
        <is>
          <t>SUZLON</t>
        </is>
      </c>
      <c r="C50" s="18" t="n">
        <v>53.47</v>
      </c>
      <c r="D50" s="18" t="n">
        <v>52.85</v>
      </c>
      <c r="E50" s="18" t="n">
        <v>49.94</v>
      </c>
      <c r="F50" s="18" t="n">
        <v>51.94</v>
      </c>
      <c r="G50" s="19">
        <f>HYPERLINK("https://www.tradingview.com/chart/?symbol=NSE:SUZLON","Chart 📈")</f>
        <v/>
      </c>
    </row>
    <row r="51" ht="16" customHeight="1">
      <c r="A51" s="20" t="inlineStr">
        <is>
          <t>NIFTY ENERGY</t>
        </is>
      </c>
      <c r="B51" s="17" t="inlineStr">
        <is>
          <t>THERMAX</t>
        </is>
      </c>
      <c r="C51" s="18" t="n">
        <v>4597.7</v>
      </c>
      <c r="D51" s="18" t="n">
        <v>4200.17</v>
      </c>
      <c r="E51" s="18" t="n">
        <v>3809.28</v>
      </c>
      <c r="F51" s="18" t="n">
        <v>3381.27</v>
      </c>
      <c r="G51" s="19">
        <f>HYPERLINK("https://www.tradingview.com/chart/?symbol=NSE:THERMAX","Chart 📈")</f>
        <v/>
      </c>
    </row>
    <row r="52" ht="16" customHeight="1">
      <c r="A52" s="20" t="inlineStr">
        <is>
          <t>NIFTY ENERGY</t>
        </is>
      </c>
      <c r="B52" s="17" t="inlineStr">
        <is>
          <t>TRITURBINE</t>
        </is>
      </c>
      <c r="C52" s="18" t="n">
        <v>578.55</v>
      </c>
      <c r="D52" s="18" t="n">
        <v>557.29</v>
      </c>
      <c r="E52" s="18" t="n">
        <v>527.47</v>
      </c>
      <c r="F52" s="18" t="n">
        <v>524.61</v>
      </c>
      <c r="G52" s="19">
        <f>HYPERLINK("https://www.tradingview.com/chart/?symbol=NSE:TRITURBINE","Chart 📈")</f>
        <v/>
      </c>
    </row>
    <row r="53" ht="16" customHeight="1">
      <c r="A53" s="12" t="inlineStr">
        <is>
          <t>NIFTY MIDSMALL IT &amp; TELECOM</t>
        </is>
      </c>
      <c r="B53" s="13" t="inlineStr">
        <is>
          <t>HFCL</t>
        </is>
      </c>
      <c r="C53" s="14" t="n">
        <v>151.59</v>
      </c>
      <c r="D53" s="14" t="n">
        <v>125.07</v>
      </c>
      <c r="E53" s="14" t="n">
        <v>102.18</v>
      </c>
      <c r="F53" s="14" t="n">
        <v>82.45999999999999</v>
      </c>
      <c r="G53" s="15">
        <f>HYPERLINK("https://www.tradingview.com/chart/?symbol=NSE:HFCL","Chart 📈")</f>
        <v/>
      </c>
    </row>
    <row r="54" ht="16" customHeight="1">
      <c r="A54" s="16" t="inlineStr">
        <is>
          <t>NIFTY MIDSMALL IT &amp; TELECOM</t>
        </is>
      </c>
      <c r="B54" s="13" t="inlineStr">
        <is>
          <t>IDEA</t>
        </is>
      </c>
      <c r="C54" s="14" t="n">
        <v>12.97</v>
      </c>
      <c r="D54" s="14" t="n">
        <v>10.97</v>
      </c>
      <c r="E54" s="14" t="n">
        <v>10.37</v>
      </c>
      <c r="F54" s="14" t="n">
        <v>9.609999999999999</v>
      </c>
      <c r="G54" s="15">
        <f>HYPERLINK("https://www.tradingview.com/chart/?symbol=NSE:IDEA","Chart 📈")</f>
        <v/>
      </c>
    </row>
    <row r="55" ht="16" customHeight="1">
      <c r="A55" s="16" t="inlineStr">
        <is>
          <t>NIFTY MIDSMALL IT &amp; TELECOM</t>
        </is>
      </c>
      <c r="B55" s="13" t="inlineStr">
        <is>
          <t>INDUSTOWER</t>
        </is>
      </c>
      <c r="C55" s="14" t="n">
        <v>422.35</v>
      </c>
      <c r="D55" s="14" t="n">
        <v>411.7</v>
      </c>
      <c r="E55" s="14" t="n">
        <v>420.01</v>
      </c>
      <c r="F55" s="14" t="n">
        <v>412.15</v>
      </c>
      <c r="G55" s="15">
        <f>HYPERLINK("https://www.tradingview.com/chart/?symbol=NSE:INDUSTOWER","Chart 📈")</f>
        <v/>
      </c>
    </row>
    <row r="56" ht="16" customHeight="1">
      <c r="A56" s="16" t="inlineStr">
        <is>
          <t>NIFTY MIDSMALL IT &amp; TELECOM</t>
        </is>
      </c>
      <c r="B56" s="13" t="inlineStr">
        <is>
          <t>OFSS</t>
        </is>
      </c>
      <c r="C56" s="14" t="n">
        <v>8904.5</v>
      </c>
      <c r="D56" s="14" t="n">
        <v>8790.24</v>
      </c>
      <c r="E56" s="14" t="n">
        <v>8048.86</v>
      </c>
      <c r="F56" s="14" t="n">
        <v>7783.56</v>
      </c>
      <c r="G56" s="15">
        <f>HYPERLINK("https://www.tradingview.com/chart/?symbol=NSE:OFSS","Chart 📈")</f>
        <v/>
      </c>
    </row>
    <row r="57" ht="16" customHeight="1">
      <c r="A57" s="16" t="inlineStr">
        <is>
          <t>NIFTY MIDSMALL IT &amp; TELECOM</t>
        </is>
      </c>
      <c r="B57" s="13" t="inlineStr">
        <is>
          <t>TATACOMM</t>
        </is>
      </c>
      <c r="C57" s="14" t="n">
        <v>1656.1</v>
      </c>
      <c r="D57" s="14" t="n">
        <v>1563.86</v>
      </c>
      <c r="E57" s="14" t="n">
        <v>1550.68</v>
      </c>
      <c r="F57" s="14" t="n">
        <v>1626.75</v>
      </c>
      <c r="G57" s="15">
        <f>HYPERLINK("https://www.tradingview.com/chart/?symbol=NSE:TATACOMM","Chart 📈")</f>
        <v/>
      </c>
    </row>
    <row r="58" ht="16" customHeight="1">
      <c r="A58" s="8" t="inlineStr">
        <is>
          <t>NIFTY FINANCIAL SERVICES</t>
        </is>
      </c>
      <c r="B58" s="17" t="inlineStr">
        <is>
          <t>LICHSGFIN</t>
        </is>
      </c>
      <c r="C58" s="18" t="n">
        <v>560.4</v>
      </c>
      <c r="D58" s="18" t="n">
        <v>560.2</v>
      </c>
      <c r="E58" s="18" t="n">
        <v>542.4</v>
      </c>
      <c r="F58" s="18" t="n">
        <v>547.9</v>
      </c>
      <c r="G58" s="19">
        <f>HYPERLINK("https://www.tradingview.com/chart/?symbol=NSE:LICHSGFIN","Chart 📈")</f>
        <v/>
      </c>
    </row>
    <row r="59" ht="16" customHeight="1">
      <c r="A59" s="20" t="inlineStr">
        <is>
          <t>NIFTY FINANCIAL SERVICES</t>
        </is>
      </c>
      <c r="B59" s="17" t="inlineStr">
        <is>
          <t>MCX</t>
        </is>
      </c>
      <c r="C59" s="18" t="n">
        <v>3339.1</v>
      </c>
      <c r="D59" s="18" t="n">
        <v>2988.43</v>
      </c>
      <c r="E59" s="18" t="n">
        <v>2770.8</v>
      </c>
      <c r="F59" s="18" t="n">
        <v>2239.8</v>
      </c>
      <c r="G59" s="19">
        <f>HYPERLINK("https://www.tradingview.com/chart/?symbol=NSE:MCX","Chart 📈")</f>
        <v/>
      </c>
    </row>
    <row r="60" ht="16" customHeight="1">
      <c r="A60" s="20" t="inlineStr">
        <is>
          <t>NIFTY FINANCIAL SERVICES</t>
        </is>
      </c>
      <c r="B60" s="17" t="inlineStr">
        <is>
          <t>MUTHOOTFIN</t>
        </is>
      </c>
      <c r="C60" s="18" t="n">
        <v>3531.1</v>
      </c>
      <c r="D60" s="18" t="n">
        <v>3476.35</v>
      </c>
      <c r="E60" s="18" t="n">
        <v>3464.83</v>
      </c>
      <c r="F60" s="18" t="n">
        <v>3290.19</v>
      </c>
      <c r="G60" s="19">
        <f>HYPERLINK("https://www.tradingview.com/chart/?symbol=NSE:MUTHOOTFIN","Chart 📈")</f>
        <v/>
      </c>
    </row>
    <row r="61" ht="16" customHeight="1">
      <c r="A61" s="20" t="inlineStr">
        <is>
          <t>NIFTY FINANCIAL SERVICES</t>
        </is>
      </c>
      <c r="B61" s="17" t="inlineStr">
        <is>
          <t>PFC</t>
        </is>
      </c>
      <c r="C61" s="18" t="n">
        <v>451.45</v>
      </c>
      <c r="D61" s="18" t="n">
        <v>450.98</v>
      </c>
      <c r="E61" s="18" t="n">
        <v>434.62</v>
      </c>
      <c r="F61" s="18" t="n">
        <v>401.67</v>
      </c>
      <c r="G61" s="19">
        <f>HYPERLINK("https://www.tradingview.com/chart/?symbol=NSE:PFC","Chart 📈")</f>
        <v/>
      </c>
    </row>
    <row r="62" ht="16" customHeight="1">
      <c r="A62" s="12" t="inlineStr">
        <is>
          <t>NIFTY CONSUMER DURABLES</t>
        </is>
      </c>
      <c r="B62" s="13" t="inlineStr">
        <is>
          <t>AMBER</t>
        </is>
      </c>
      <c r="C62" s="14" t="n">
        <v>8288.5</v>
      </c>
      <c r="D62" s="14" t="n">
        <v>8108.39</v>
      </c>
      <c r="E62" s="14" t="n">
        <v>7657.36</v>
      </c>
      <c r="F62" s="14" t="n">
        <v>7217.85</v>
      </c>
      <c r="G62" s="15">
        <f>HYPERLINK("https://www.tradingview.com/chart/?symbol=NSE:AMBER","Chart 📈")</f>
        <v/>
      </c>
    </row>
    <row r="63" ht="16" customHeight="1">
      <c r="A63" s="16" t="inlineStr">
        <is>
          <t>NIFTY CONSUMER DURABLES</t>
        </is>
      </c>
      <c r="B63" s="13" t="inlineStr">
        <is>
          <t>CERA</t>
        </is>
      </c>
      <c r="C63" s="14" t="n">
        <v>5689.5</v>
      </c>
      <c r="D63" s="14" t="n">
        <v>5490.7</v>
      </c>
      <c r="E63" s="14" t="n">
        <v>5258.68</v>
      </c>
      <c r="F63" s="14" t="n">
        <v>5511.1</v>
      </c>
      <c r="G63" s="15">
        <f>HYPERLINK("https://www.tradingview.com/chart/?symbol=NSE:CERA","Chart 📈")</f>
        <v/>
      </c>
    </row>
    <row r="64" ht="16" customHeight="1">
      <c r="A64" s="16" t="inlineStr">
        <is>
          <t>NIFTY CONSUMER DURABLES</t>
        </is>
      </c>
      <c r="B64" s="13" t="inlineStr">
        <is>
          <t>CROMPTON</t>
        </is>
      </c>
      <c r="C64" s="14" t="n">
        <v>288.95</v>
      </c>
      <c r="D64" s="14" t="n">
        <v>274.42</v>
      </c>
      <c r="E64" s="14" t="n">
        <v>262.65</v>
      </c>
      <c r="F64" s="14" t="n">
        <v>274.02</v>
      </c>
      <c r="G64" s="15">
        <f>HYPERLINK("https://www.tradingview.com/chart/?symbol=NSE:CROMPTON","Chart 📈")</f>
        <v/>
      </c>
    </row>
    <row r="65" ht="16" customHeight="1">
      <c r="A65" s="8" t="inlineStr">
        <is>
          <t>NIFTY MEDIA</t>
        </is>
      </c>
      <c r="B65" s="17" t="inlineStr">
        <is>
          <t>TIPSMUSIC</t>
        </is>
      </c>
      <c r="C65" s="18" t="n">
        <v>635.15</v>
      </c>
      <c r="D65" s="18" t="n">
        <v>628.1799999999999</v>
      </c>
      <c r="E65" s="18" t="n">
        <v>591.53</v>
      </c>
      <c r="F65" s="18" t="n">
        <v>568.46</v>
      </c>
      <c r="G65" s="19">
        <f>HYPERLINK("https://www.tradingview.com/chart/?symbol=NSE:TIPSMUSIC","Chart 📈")</f>
        <v/>
      </c>
    </row>
    <row r="66" ht="16" customHeight="1">
      <c r="A66" s="12" t="inlineStr">
        <is>
          <t>NIFTY AUTO</t>
        </is>
      </c>
      <c r="B66" s="13" t="inlineStr">
        <is>
          <t>BAJAJ-AUTO</t>
        </is>
      </c>
      <c r="C66" s="14" t="n">
        <v>10451</v>
      </c>
      <c r="D66" s="14" t="n">
        <v>10084.4</v>
      </c>
      <c r="E66" s="14" t="n">
        <v>9769.950000000001</v>
      </c>
      <c r="F66" s="14" t="n">
        <v>9231.01</v>
      </c>
      <c r="G66" s="15">
        <f>HYPERLINK("https://www.tradingview.com/chart/?symbol=NSE:BAJAJ-AUTO","Chart 📈")</f>
        <v/>
      </c>
    </row>
    <row r="67" ht="16" customHeight="1">
      <c r="A67" s="16" t="inlineStr">
        <is>
          <t>NIFTY AUTO</t>
        </is>
      </c>
      <c r="B67" s="13" t="inlineStr">
        <is>
          <t>BHARATFORG</t>
        </is>
      </c>
      <c r="C67" s="14" t="n">
        <v>1948.9</v>
      </c>
      <c r="D67" s="14" t="n">
        <v>1898.22</v>
      </c>
      <c r="E67" s="14" t="n">
        <v>1818.48</v>
      </c>
      <c r="F67" s="14" t="n">
        <v>1560.32</v>
      </c>
      <c r="G67" s="15">
        <f>HYPERLINK("https://www.tradingview.com/chart/?symbol=NSE:BHARATFORG","Chart 📈")</f>
        <v/>
      </c>
    </row>
    <row r="68" ht="16" customHeight="1">
      <c r="A68" s="16" t="inlineStr">
        <is>
          <t>NIFTY AUTO</t>
        </is>
      </c>
      <c r="B68" s="13" t="inlineStr">
        <is>
          <t>BOSCHLTD</t>
        </is>
      </c>
      <c r="C68" s="14" t="n">
        <v>36945</v>
      </c>
      <c r="D68" s="14" t="n">
        <v>36502.67</v>
      </c>
      <c r="E68" s="14" t="n">
        <v>35620.65</v>
      </c>
      <c r="F68" s="14" t="n">
        <v>35504.84</v>
      </c>
      <c r="G68" s="15">
        <f>HYPERLINK("https://www.tradingview.com/chart/?symbol=NSE:BOSCHLTD","Chart 📈")</f>
        <v/>
      </c>
    </row>
    <row r="69" ht="16" customHeight="1">
      <c r="A69" s="16" t="inlineStr">
        <is>
          <t>NIFTY AUTO</t>
        </is>
      </c>
      <c r="B69" s="13" t="inlineStr">
        <is>
          <t>MOTHERSON</t>
        </is>
      </c>
      <c r="C69" s="14" t="n">
        <v>126.11</v>
      </c>
      <c r="D69" s="14" t="n">
        <v>124.75</v>
      </c>
      <c r="E69" s="14" t="n">
        <v>122.09</v>
      </c>
      <c r="F69" s="14" t="n">
        <v>114.13</v>
      </c>
      <c r="G69" s="15">
        <f>HYPERLINK("https://www.tradingview.com/chart/?symbol=NSE:MOTHERSON","Chart 📈")</f>
        <v/>
      </c>
    </row>
    <row r="70" ht="16" customHeight="1">
      <c r="A70" s="8" t="inlineStr">
        <is>
          <t>NIFTY OIL &amp; GAS</t>
        </is>
      </c>
      <c r="B70" s="17" t="inlineStr">
        <is>
          <t>OIL</t>
        </is>
      </c>
      <c r="C70" s="18" t="n">
        <v>517.55</v>
      </c>
      <c r="D70" s="18" t="n">
        <v>479.37</v>
      </c>
      <c r="E70" s="18" t="n">
        <v>473.27</v>
      </c>
      <c r="F70" s="18" t="n">
        <v>445.28</v>
      </c>
      <c r="G70" s="19">
        <f>HYPERLINK("https://www.tradingview.com/chart/?symbol=NSE:OIL","Chart 📈")</f>
        <v/>
      </c>
    </row>
    <row r="71" ht="16" customHeight="1">
      <c r="A71" s="20" t="inlineStr">
        <is>
          <t>NIFTY OIL &amp; GAS</t>
        </is>
      </c>
      <c r="B71" s="17" t="inlineStr">
        <is>
          <t>ONGC</t>
        </is>
      </c>
      <c r="C71" s="18" t="n">
        <v>300.9</v>
      </c>
      <c r="D71" s="18" t="n">
        <v>289.35</v>
      </c>
      <c r="E71" s="18" t="n">
        <v>281.63</v>
      </c>
      <c r="F71" s="18" t="n">
        <v>256.83</v>
      </c>
      <c r="G71" s="19">
        <f>HYPERLINK("https://www.tradingview.com/chart/?symbol=NSE:ONGC","Chart 📈")</f>
        <v/>
      </c>
    </row>
    <row r="72" ht="16" customHeight="1">
      <c r="A72" s="12" t="inlineStr">
        <is>
          <t>NIFTY BANK</t>
        </is>
      </c>
      <c r="B72" s="13" t="inlineStr">
        <is>
          <t>INDUSINDBK</t>
        </is>
      </c>
      <c r="C72" s="14" t="n">
        <v>907.9</v>
      </c>
      <c r="D72" s="14" t="n">
        <v>896.97</v>
      </c>
      <c r="E72" s="14" t="n">
        <v>879.4400000000001</v>
      </c>
      <c r="F72" s="14" t="n">
        <v>850.52</v>
      </c>
      <c r="G72" s="15">
        <f>HYPERLINK("https://www.tradingview.com/chart/?symbol=NSE:INDUSINDBK","Chart 📈")</f>
        <v/>
      </c>
    </row>
    <row r="73" ht="16" customHeight="1">
      <c r="A73" s="8" t="inlineStr">
        <is>
          <t>NIFTY PSU BANK</t>
        </is>
      </c>
      <c r="B73" s="17" t="inlineStr">
        <is>
          <t>MAHABANK</t>
        </is>
      </c>
      <c r="C73" s="18" t="n">
        <v>78.5</v>
      </c>
      <c r="D73" s="18" t="n">
        <v>78.45999999999999</v>
      </c>
      <c r="E73" s="18" t="n">
        <v>73.78</v>
      </c>
      <c r="F73" s="18" t="n">
        <v>64.05</v>
      </c>
      <c r="G73" s="19">
        <f>HYPERLINK("https://www.tradingview.com/chart/?symbol=NSE:MAHABANK","Chart 📈")</f>
        <v/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2026-05-14T17:39:48Z</dcterms:created>
  <dcterms:modified xsi:type="dcterms:W3CDTF">2026-05-14T17:39:49Z</dcterms:modified>
</cp:coreProperties>
</file>