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29-May-2026  14:08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9</v>
      </c>
      <c r="D4" s="5" t="n">
        <v>16</v>
      </c>
      <c r="E4" s="5" t="n">
        <v>19</v>
      </c>
      <c r="F4" s="6" t="n">
        <v>0.45</v>
      </c>
      <c r="G4" s="6" t="n">
        <v>0.8</v>
      </c>
      <c r="H4" s="6" t="n">
        <v>0.95</v>
      </c>
      <c r="I4" s="7" t="n">
        <v>0.7333</v>
      </c>
    </row>
    <row r="5" ht="17" customHeight="1">
      <c r="A5" s="8" t="inlineStr">
        <is>
          <t>NIFTY METAL</t>
        </is>
      </c>
      <c r="B5" s="9" t="n">
        <v>15</v>
      </c>
      <c r="C5" s="9" t="n">
        <v>7</v>
      </c>
      <c r="D5" s="9" t="n">
        <v>10</v>
      </c>
      <c r="E5" s="9" t="n">
        <v>12</v>
      </c>
      <c r="F5" s="10" t="n">
        <v>0.467</v>
      </c>
      <c r="G5" s="10" t="n">
        <v>0.667</v>
      </c>
      <c r="H5" s="10" t="n">
        <v>0.8</v>
      </c>
      <c r="I5" s="11" t="n">
        <v>0.6446999999999999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15</v>
      </c>
      <c r="D6" s="5" t="n">
        <v>13</v>
      </c>
      <c r="E6" s="5" t="n">
        <v>7</v>
      </c>
      <c r="F6" s="6" t="n">
        <v>0.75</v>
      </c>
      <c r="G6" s="6" t="n">
        <v>0.65</v>
      </c>
      <c r="H6" s="6" t="n">
        <v>0.35</v>
      </c>
      <c r="I6" s="7" t="n">
        <v>0.5832999999999999</v>
      </c>
    </row>
    <row r="7" ht="17" customHeight="1">
      <c r="A7" s="8" t="inlineStr">
        <is>
          <t>NIFTY REALTY</t>
        </is>
      </c>
      <c r="B7" s="9" t="n">
        <v>10</v>
      </c>
      <c r="C7" s="9" t="n">
        <v>7</v>
      </c>
      <c r="D7" s="9" t="n">
        <v>7</v>
      </c>
      <c r="E7" s="9" t="n">
        <v>3</v>
      </c>
      <c r="F7" s="10" t="n">
        <v>0.7</v>
      </c>
      <c r="G7" s="10" t="n">
        <v>0.7</v>
      </c>
      <c r="H7" s="10" t="n">
        <v>0.3</v>
      </c>
      <c r="I7" s="11" t="n">
        <v>0.5667</v>
      </c>
    </row>
    <row r="8" ht="17" customHeight="1">
      <c r="A8" s="4" t="inlineStr">
        <is>
          <t>NIFTY ENERGY</t>
        </is>
      </c>
      <c r="B8" s="5" t="n">
        <v>40</v>
      </c>
      <c r="C8" s="5" t="n">
        <v>18</v>
      </c>
      <c r="D8" s="5" t="n">
        <v>20</v>
      </c>
      <c r="E8" s="5" t="n">
        <v>21</v>
      </c>
      <c r="F8" s="6" t="n">
        <v>0.45</v>
      </c>
      <c r="G8" s="6" t="n">
        <v>0.5</v>
      </c>
      <c r="H8" s="6" t="n">
        <v>0.525</v>
      </c>
      <c r="I8" s="7" t="n">
        <v>0.4917</v>
      </c>
    </row>
    <row r="9" ht="17" customHeight="1">
      <c r="A9" s="8" t="inlineStr">
        <is>
          <t>NIFTY AUTO</t>
        </is>
      </c>
      <c r="B9" s="9" t="n">
        <v>15</v>
      </c>
      <c r="C9" s="9" t="n">
        <v>8</v>
      </c>
      <c r="D9" s="9" t="n">
        <v>7</v>
      </c>
      <c r="E9" s="9" t="n">
        <v>6</v>
      </c>
      <c r="F9" s="10" t="n">
        <v>0.5329999999999999</v>
      </c>
      <c r="G9" s="10" t="n">
        <v>0.467</v>
      </c>
      <c r="H9" s="10" t="n">
        <v>0.4</v>
      </c>
      <c r="I9" s="11" t="n">
        <v>0.4667</v>
      </c>
    </row>
    <row r="10" ht="17" customHeight="1">
      <c r="A10" s="4" t="inlineStr">
        <is>
          <t>NIFTY MEDIA</t>
        </is>
      </c>
      <c r="B10" s="5" t="n">
        <v>10</v>
      </c>
      <c r="C10" s="5" t="n">
        <v>5</v>
      </c>
      <c r="D10" s="5" t="n">
        <v>6</v>
      </c>
      <c r="E10" s="5" t="n">
        <v>3</v>
      </c>
      <c r="F10" s="6" t="n">
        <v>0.5</v>
      </c>
      <c r="G10" s="6" t="n">
        <v>0.6</v>
      </c>
      <c r="H10" s="6" t="n">
        <v>0.3</v>
      </c>
      <c r="I10" s="7" t="n">
        <v>0.4667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8</v>
      </c>
      <c r="D11" s="9" t="n">
        <v>7</v>
      </c>
      <c r="E11" s="9" t="n">
        <v>5</v>
      </c>
      <c r="F11" s="10" t="n">
        <v>0.5329999999999999</v>
      </c>
      <c r="G11" s="10" t="n">
        <v>0.467</v>
      </c>
      <c r="H11" s="10" t="n">
        <v>0.333</v>
      </c>
      <c r="I11" s="11" t="n">
        <v>0.4443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3</v>
      </c>
      <c r="D12" s="5" t="n">
        <v>6</v>
      </c>
      <c r="E12" s="5" t="n">
        <v>6</v>
      </c>
      <c r="F12" s="6" t="n">
        <v>0.2</v>
      </c>
      <c r="G12" s="6" t="n">
        <v>0.4</v>
      </c>
      <c r="H12" s="6" t="n">
        <v>0.4</v>
      </c>
      <c r="I12" s="7" t="n">
        <v>0.3333</v>
      </c>
    </row>
    <row r="13" ht="17" customHeight="1">
      <c r="A13" s="8" t="inlineStr">
        <is>
          <t>NIFTY FMCG</t>
        </is>
      </c>
      <c r="B13" s="9" t="n">
        <v>15</v>
      </c>
      <c r="C13" s="9" t="n">
        <v>3</v>
      </c>
      <c r="D13" s="9" t="n">
        <v>6</v>
      </c>
      <c r="E13" s="9" t="n">
        <v>6</v>
      </c>
      <c r="F13" s="10" t="n">
        <v>0.2</v>
      </c>
      <c r="G13" s="10" t="n">
        <v>0.4</v>
      </c>
      <c r="H13" s="10" t="n">
        <v>0.4</v>
      </c>
      <c r="I13" s="11" t="n">
        <v>0.3333</v>
      </c>
    </row>
    <row r="14" ht="17" customHeight="1">
      <c r="A14" s="4" t="inlineStr">
        <is>
          <t>NIFTY BANK</t>
        </is>
      </c>
      <c r="B14" s="5" t="n">
        <v>12</v>
      </c>
      <c r="C14" s="5" t="n">
        <v>3</v>
      </c>
      <c r="D14" s="5" t="n">
        <v>3</v>
      </c>
      <c r="E14" s="5" t="n">
        <v>3</v>
      </c>
      <c r="F14" s="6" t="n">
        <v>0.25</v>
      </c>
      <c r="G14" s="6" t="n">
        <v>0.25</v>
      </c>
      <c r="H14" s="6" t="n">
        <v>0.25</v>
      </c>
      <c r="I14" s="7" t="n">
        <v>0.25</v>
      </c>
    </row>
    <row r="15" ht="17" customHeight="1">
      <c r="A15" s="8" t="inlineStr">
        <is>
          <t>NIFTY PSU BANK</t>
        </is>
      </c>
      <c r="B15" s="9" t="n">
        <v>12</v>
      </c>
      <c r="C15" s="9" t="n">
        <v>4</v>
      </c>
      <c r="D15" s="9" t="n">
        <v>1</v>
      </c>
      <c r="E15" s="9" t="n">
        <v>3</v>
      </c>
      <c r="F15" s="10" t="n">
        <v>0.333</v>
      </c>
      <c r="G15" s="10" t="n">
        <v>0.083</v>
      </c>
      <c r="H15" s="10" t="n">
        <v>0.25</v>
      </c>
      <c r="I15" s="11" t="n">
        <v>0.222</v>
      </c>
    </row>
    <row r="16" ht="17" customHeight="1">
      <c r="A16" s="4" t="inlineStr">
        <is>
          <t>NIFTY FINANCIAL SERVICES</t>
        </is>
      </c>
      <c r="B16" s="5" t="n">
        <v>20</v>
      </c>
      <c r="C16" s="5" t="n">
        <v>3</v>
      </c>
      <c r="D16" s="5" t="n">
        <v>4</v>
      </c>
      <c r="E16" s="5" t="n">
        <v>6</v>
      </c>
      <c r="F16" s="6" t="n">
        <v>0.15</v>
      </c>
      <c r="G16" s="6" t="n">
        <v>0.2</v>
      </c>
      <c r="H16" s="6" t="n">
        <v>0.3</v>
      </c>
      <c r="I16" s="7" t="n">
        <v>0.2167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2</v>
      </c>
      <c r="E17" s="9" t="n">
        <v>0</v>
      </c>
      <c r="F17" s="10" t="n">
        <v>0.2</v>
      </c>
      <c r="G17" s="10" t="n">
        <v>0.2</v>
      </c>
      <c r="H17" s="10" t="n">
        <v>0</v>
      </c>
      <c r="I17" s="11" t="n">
        <v>0.1333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ALKEM</t>
        </is>
      </c>
      <c r="C3" s="14" t="n">
        <v>5498</v>
      </c>
      <c r="D3" s="14" t="n">
        <v>5460.37</v>
      </c>
      <c r="E3" s="14" t="n">
        <v>5461.99</v>
      </c>
      <c r="F3" s="14" t="n">
        <v>5436.34</v>
      </c>
      <c r="G3" s="15">
        <f>HYPERLINK("https://www.tradingview.com/chart/?symbol=NSE:ALKEM","Chart 📈")</f>
        <v/>
      </c>
    </row>
    <row r="4" ht="16" customHeight="1">
      <c r="A4" s="16" t="inlineStr">
        <is>
          <t>NIFTY PHARMA</t>
        </is>
      </c>
      <c r="B4" s="13" t="inlineStr">
        <is>
          <t>BIOCON</t>
        </is>
      </c>
      <c r="C4" s="14" t="n">
        <v>428.65</v>
      </c>
      <c r="D4" s="14" t="n">
        <v>412.1</v>
      </c>
      <c r="E4" s="14" t="n">
        <v>392.45</v>
      </c>
      <c r="F4" s="14" t="n">
        <v>376.37</v>
      </c>
      <c r="G4" s="15">
        <f>HYPERLINK("https://www.tradingview.com/chart/?symbol=NSE:BIOCON","Chart 📈")</f>
        <v/>
      </c>
    </row>
    <row r="5" ht="16" customHeight="1">
      <c r="A5" s="16" t="inlineStr">
        <is>
          <t>NIFTY PHARMA</t>
        </is>
      </c>
      <c r="B5" s="13" t="inlineStr">
        <is>
          <t>CIPLA</t>
        </is>
      </c>
      <c r="C5" s="14" t="n">
        <v>1401</v>
      </c>
      <c r="D5" s="14" t="n">
        <v>1376.54</v>
      </c>
      <c r="E5" s="14" t="n">
        <v>1341.12</v>
      </c>
      <c r="F5" s="14" t="n">
        <v>1395.6</v>
      </c>
      <c r="G5" s="15">
        <f>HYPERLINK("https://www.tradingview.com/chart/?symbol=NSE:CIPLA","Chart 📈")</f>
        <v/>
      </c>
    </row>
    <row r="6" ht="16" customHeight="1">
      <c r="A6" s="16" t="inlineStr">
        <is>
          <t>NIFTY PHARMA</t>
        </is>
      </c>
      <c r="B6" s="13" t="inlineStr">
        <is>
          <t>GLAND</t>
        </is>
      </c>
      <c r="C6" s="14" t="n">
        <v>2250</v>
      </c>
      <c r="D6" s="14" t="n">
        <v>2096.37</v>
      </c>
      <c r="E6" s="14" t="n">
        <v>1931.79</v>
      </c>
      <c r="F6" s="14" t="n">
        <v>1811.85</v>
      </c>
      <c r="G6" s="15">
        <f>HYPERLINK("https://www.tradingview.com/chart/?symbol=NSE:GLAND","Chart 📈")</f>
        <v/>
      </c>
    </row>
    <row r="7" ht="16" customHeight="1">
      <c r="A7" s="16" t="inlineStr">
        <is>
          <t>NIFTY PHARMA</t>
        </is>
      </c>
      <c r="B7" s="13" t="inlineStr">
        <is>
          <t>GRANULES</t>
        </is>
      </c>
      <c r="C7" s="14" t="n">
        <v>773.85</v>
      </c>
      <c r="D7" s="14" t="n">
        <v>741.3200000000001</v>
      </c>
      <c r="E7" s="14" t="n">
        <v>694.71</v>
      </c>
      <c r="F7" s="14" t="n">
        <v>607.47</v>
      </c>
      <c r="G7" s="15">
        <f>HYPERLINK("https://www.tradingview.com/chart/?symbol=NSE:GRANULES","Chart 📈")</f>
        <v/>
      </c>
    </row>
    <row r="8" ht="16" customHeight="1">
      <c r="A8" s="16" t="inlineStr">
        <is>
          <t>NIFTY PHARMA</t>
        </is>
      </c>
      <c r="B8" s="13" t="inlineStr">
        <is>
          <t>JBCHEPHARM</t>
        </is>
      </c>
      <c r="C8" s="14" t="n">
        <v>2167.4</v>
      </c>
      <c r="D8" s="14" t="n">
        <v>2147.12</v>
      </c>
      <c r="E8" s="14" t="n">
        <v>2087.79</v>
      </c>
      <c r="F8" s="14" t="n">
        <v>1916.25</v>
      </c>
      <c r="G8" s="15">
        <f>HYPERLINK("https://www.tradingview.com/chart/?symbol=NSE:JBCHEPHARM","Chart 📈")</f>
        <v/>
      </c>
    </row>
    <row r="9" ht="16" customHeight="1">
      <c r="A9" s="16" t="inlineStr">
        <is>
          <t>NIFTY PHARMA</t>
        </is>
      </c>
      <c r="B9" s="13" t="inlineStr">
        <is>
          <t>LAURUSLABS</t>
        </is>
      </c>
      <c r="C9" s="14" t="n">
        <v>1362</v>
      </c>
      <c r="D9" s="14" t="n">
        <v>1292.18</v>
      </c>
      <c r="E9" s="14" t="n">
        <v>1193.19</v>
      </c>
      <c r="F9" s="14" t="n">
        <v>1018.16</v>
      </c>
      <c r="G9" s="15">
        <f>HYPERLINK("https://www.tradingview.com/chart/?symbol=NSE:LAURUSLABS","Chart 📈")</f>
        <v/>
      </c>
    </row>
    <row r="10" ht="16" customHeight="1">
      <c r="A10" s="16" t="inlineStr">
        <is>
          <t>NIFTY PHARMA</t>
        </is>
      </c>
      <c r="B10" s="13" t="inlineStr">
        <is>
          <t>TORNTPHARM</t>
        </is>
      </c>
      <c r="C10" s="14" t="n">
        <v>4410.8</v>
      </c>
      <c r="D10" s="14" t="n">
        <v>4401.87</v>
      </c>
      <c r="E10" s="14" t="n">
        <v>4300.96</v>
      </c>
      <c r="F10" s="14" t="n">
        <v>3955.56</v>
      </c>
      <c r="G10" s="15">
        <f>HYPERLINK("https://www.tradingview.com/chart/?symbol=NSE:TORNTPHARM","Chart 📈")</f>
        <v/>
      </c>
    </row>
    <row r="11" ht="16" customHeight="1">
      <c r="A11" s="16" t="inlineStr">
        <is>
          <t>NIFTY PHARMA</t>
        </is>
      </c>
      <c r="B11" s="13" t="inlineStr">
        <is>
          <t>ZYDUSLIFE</t>
        </is>
      </c>
      <c r="C11" s="14" t="n">
        <v>1077.7</v>
      </c>
      <c r="D11" s="14" t="n">
        <v>1008.55</v>
      </c>
      <c r="E11" s="14" t="n">
        <v>961.54</v>
      </c>
      <c r="F11" s="14" t="n">
        <v>937.8</v>
      </c>
      <c r="G11" s="15">
        <f>HYPERLINK("https://www.tradingview.com/chart/?symbol=NSE:ZYDUSLIFE","Chart 📈")</f>
        <v/>
      </c>
    </row>
    <row r="12" ht="16" customHeight="1">
      <c r="A12" s="8" t="inlineStr">
        <is>
          <t>NIFTY METAL</t>
        </is>
      </c>
      <c r="B12" s="17" t="inlineStr">
        <is>
          <t>ADANIENT</t>
        </is>
      </c>
      <c r="C12" s="18" t="n">
        <v>2937.4</v>
      </c>
      <c r="D12" s="18" t="n">
        <v>2671.65</v>
      </c>
      <c r="E12" s="18" t="n">
        <v>2440.59</v>
      </c>
      <c r="F12" s="18" t="n">
        <v>2327.89</v>
      </c>
      <c r="G12" s="19">
        <f>HYPERLINK("https://www.tradingview.com/chart/?symbol=NSE:ADANIENT","Chart 📈")</f>
        <v/>
      </c>
    </row>
    <row r="13" ht="16" customHeight="1">
      <c r="A13" s="20" t="inlineStr">
        <is>
          <t>NIFTY METAL</t>
        </is>
      </c>
      <c r="B13" s="17" t="inlineStr">
        <is>
          <t>HINDALCO</t>
        </is>
      </c>
      <c r="C13" s="18" t="n">
        <v>1126.7</v>
      </c>
      <c r="D13" s="18" t="n">
        <v>1079.03</v>
      </c>
      <c r="E13" s="18" t="n">
        <v>1029.96</v>
      </c>
      <c r="F13" s="18" t="n">
        <v>898.36</v>
      </c>
      <c r="G13" s="19">
        <f>HYPERLINK("https://www.tradingview.com/chart/?symbol=NSE:HINDALCO","Chart 📈")</f>
        <v/>
      </c>
    </row>
    <row r="14" ht="16" customHeight="1">
      <c r="A14" s="20" t="inlineStr">
        <is>
          <t>NIFTY METAL</t>
        </is>
      </c>
      <c r="B14" s="17" t="inlineStr">
        <is>
          <t>HINDZINC</t>
        </is>
      </c>
      <c r="C14" s="18" t="n">
        <v>632.95</v>
      </c>
      <c r="D14" s="18" t="n">
        <v>628.92</v>
      </c>
      <c r="E14" s="18" t="n">
        <v>605.21</v>
      </c>
      <c r="F14" s="18" t="n">
        <v>550.64</v>
      </c>
      <c r="G14" s="19">
        <f>HYPERLINK("https://www.tradingview.com/chart/?symbol=NSE:HINDZINC","Chart 📈")</f>
        <v/>
      </c>
    </row>
    <row r="15" ht="16" customHeight="1">
      <c r="A15" s="20" t="inlineStr">
        <is>
          <t>NIFTY METAL</t>
        </is>
      </c>
      <c r="B15" s="17" t="inlineStr">
        <is>
          <t>JSWSTEEL</t>
        </is>
      </c>
      <c r="C15" s="18" t="n">
        <v>1278</v>
      </c>
      <c r="D15" s="18" t="n">
        <v>1277.81</v>
      </c>
      <c r="E15" s="18" t="n">
        <v>1250.54</v>
      </c>
      <c r="F15" s="18" t="n">
        <v>1176.1</v>
      </c>
      <c r="G15" s="19">
        <f>HYPERLINK("https://www.tradingview.com/chart/?symbol=NSE:JSWSTEEL","Chart 📈")</f>
        <v/>
      </c>
    </row>
    <row r="16" ht="16" customHeight="1">
      <c r="A16" s="20" t="inlineStr">
        <is>
          <t>NIFTY METAL</t>
        </is>
      </c>
      <c r="B16" s="17" t="inlineStr">
        <is>
          <t>NATIONALUM</t>
        </is>
      </c>
      <c r="C16" s="18" t="n">
        <v>424.45</v>
      </c>
      <c r="D16" s="18" t="n">
        <v>411.05</v>
      </c>
      <c r="E16" s="18" t="n">
        <v>401.36</v>
      </c>
      <c r="F16" s="18" t="n">
        <v>325.39</v>
      </c>
      <c r="G16" s="19">
        <f>HYPERLINK("https://www.tradingview.com/chart/?symbol=NSE:NATIONALUM","Chart 📈")</f>
        <v/>
      </c>
    </row>
    <row r="17" ht="16" customHeight="1">
      <c r="A17" s="20" t="inlineStr">
        <is>
          <t>NIFTY METAL</t>
        </is>
      </c>
      <c r="B17" s="17" t="inlineStr">
        <is>
          <t>SAIL</t>
        </is>
      </c>
      <c r="C17" s="18" t="n">
        <v>204.37</v>
      </c>
      <c r="D17" s="18" t="n">
        <v>193.92</v>
      </c>
      <c r="E17" s="18" t="n">
        <v>180.91</v>
      </c>
      <c r="F17" s="18" t="n">
        <v>155.36</v>
      </c>
      <c r="G17" s="19">
        <f>HYPERLINK("https://www.tradingview.com/chart/?symbol=NSE:SAIL","Chart 📈")</f>
        <v/>
      </c>
    </row>
    <row r="18" ht="16" customHeight="1">
      <c r="A18" s="20" t="inlineStr">
        <is>
          <t>NIFTY METAL</t>
        </is>
      </c>
      <c r="B18" s="17" t="inlineStr">
        <is>
          <t>WELCORP</t>
        </is>
      </c>
      <c r="C18" s="18" t="n">
        <v>1376.9</v>
      </c>
      <c r="D18" s="18" t="n">
        <v>1289.68</v>
      </c>
      <c r="E18" s="18" t="n">
        <v>1156.11</v>
      </c>
      <c r="F18" s="18" t="n">
        <v>957.08</v>
      </c>
      <c r="G18" s="19">
        <f>HYPERLINK("https://www.tradingview.com/chart/?symbol=NSE:WELCORP","Chart 📈")</f>
        <v/>
      </c>
    </row>
    <row r="19" ht="16" customHeight="1">
      <c r="A19" s="12" t="inlineStr">
        <is>
          <t>NIFTY MIDSMALL IT &amp; TELECOM</t>
        </is>
      </c>
      <c r="B19" s="13" t="inlineStr">
        <is>
          <t>HFCL</t>
        </is>
      </c>
      <c r="C19" s="14" t="n">
        <v>179.94</v>
      </c>
      <c r="D19" s="14" t="n">
        <v>145.35</v>
      </c>
      <c r="E19" s="14" t="n">
        <v>119.54</v>
      </c>
      <c r="F19" s="14" t="n">
        <v>89.45999999999999</v>
      </c>
      <c r="G19" s="15">
        <f>HYPERLINK("https://www.tradingview.com/chart/?symbol=NSE:HFCL","Chart 📈")</f>
        <v/>
      </c>
    </row>
    <row r="20" ht="16" customHeight="1">
      <c r="A20" s="16" t="inlineStr">
        <is>
          <t>NIFTY MIDSMALL IT &amp; TELECOM</t>
        </is>
      </c>
      <c r="B20" s="13" t="inlineStr">
        <is>
          <t>IDEA</t>
        </is>
      </c>
      <c r="C20" s="14" t="n">
        <v>13.99</v>
      </c>
      <c r="D20" s="14" t="n">
        <v>12.74</v>
      </c>
      <c r="E20" s="14" t="n">
        <v>11.47</v>
      </c>
      <c r="F20" s="14" t="n">
        <v>10.01</v>
      </c>
      <c r="G20" s="15">
        <f>HYPERLINK("https://www.tradingview.com/chart/?symbol=NSE:IDEA","Chart 📈")</f>
        <v/>
      </c>
    </row>
    <row r="21" ht="16" customHeight="1">
      <c r="A21" s="16" t="inlineStr">
        <is>
          <t>NIFTY MIDSMALL IT &amp; TELECOM</t>
        </is>
      </c>
      <c r="B21" s="13" t="inlineStr">
        <is>
          <t>INDUSTOWER</t>
        </is>
      </c>
      <c r="C21" s="14" t="n">
        <v>442.05</v>
      </c>
      <c r="D21" s="14" t="n">
        <v>426.04</v>
      </c>
      <c r="E21" s="14" t="n">
        <v>424.55</v>
      </c>
      <c r="F21" s="14" t="n">
        <v>413.84</v>
      </c>
      <c r="G21" s="15">
        <f>HYPERLINK("https://www.tradingview.com/chart/?symbol=NSE:INDUSTOWER","Chart 📈")</f>
        <v/>
      </c>
    </row>
    <row r="22" ht="16" customHeight="1">
      <c r="A22" s="16" t="inlineStr">
        <is>
          <t>NIFTY MIDSMALL IT &amp; TELECOM</t>
        </is>
      </c>
      <c r="B22" s="13" t="inlineStr">
        <is>
          <t>OFSS</t>
        </is>
      </c>
      <c r="C22" s="14" t="n">
        <v>9964</v>
      </c>
      <c r="D22" s="14" t="n">
        <v>9406.049999999999</v>
      </c>
      <c r="E22" s="14" t="n">
        <v>8599.5</v>
      </c>
      <c r="F22" s="14" t="n">
        <v>7965.41</v>
      </c>
      <c r="G22" s="15">
        <f>HYPERLINK("https://www.tradingview.com/chart/?symbol=NSE:OFSS","Chart 📈")</f>
        <v/>
      </c>
    </row>
    <row r="23" ht="16" customHeight="1">
      <c r="A23" s="16" t="inlineStr">
        <is>
          <t>NIFTY MIDSMALL IT &amp; TELECOM</t>
        </is>
      </c>
      <c r="B23" s="13" t="inlineStr">
        <is>
          <t>TATACOMM</t>
        </is>
      </c>
      <c r="C23" s="14" t="n">
        <v>1965</v>
      </c>
      <c r="D23" s="14" t="n">
        <v>1766.4</v>
      </c>
      <c r="E23" s="14" t="n">
        <v>1654.18</v>
      </c>
      <c r="F23" s="14" t="n">
        <v>1654.87</v>
      </c>
      <c r="G23" s="15">
        <f>HYPERLINK("https://www.tradingview.com/chart/?symbol=NSE:TATACOMM","Chart 📈")</f>
        <v/>
      </c>
    </row>
    <row r="24" ht="16" customHeight="1">
      <c r="A24" s="16" t="inlineStr">
        <is>
          <t>NIFTY MIDSMALL IT &amp; TELECOM</t>
        </is>
      </c>
      <c r="B24" s="13" t="inlineStr">
        <is>
          <t>TATATECH</t>
        </is>
      </c>
      <c r="C24" s="14" t="n">
        <v>705.3</v>
      </c>
      <c r="D24" s="14" t="n">
        <v>652.1799999999999</v>
      </c>
      <c r="E24" s="14" t="n">
        <v>618.9299999999999</v>
      </c>
      <c r="F24" s="14" t="n">
        <v>640.84</v>
      </c>
      <c r="G24" s="15">
        <f>HYPERLINK("https://www.tradingview.com/chart/?symbol=NSE:TATATECH","Chart 📈")</f>
        <v/>
      </c>
    </row>
    <row r="25" ht="16" customHeight="1">
      <c r="A25" s="16" t="inlineStr">
        <is>
          <t>NIFTY MIDSMALL IT &amp; TELECOM</t>
        </is>
      </c>
      <c r="B25" s="13" t="inlineStr">
        <is>
          <t>TEJASNET</t>
        </is>
      </c>
      <c r="C25" s="14" t="n">
        <v>520.4</v>
      </c>
      <c r="D25" s="14" t="n">
        <v>468.61</v>
      </c>
      <c r="E25" s="14" t="n">
        <v>446.65</v>
      </c>
      <c r="F25" s="14" t="n">
        <v>483.89</v>
      </c>
      <c r="G25" s="15">
        <f>HYPERLINK("https://www.tradingview.com/chart/?symbol=NSE:TEJASNET","Chart 📈")</f>
        <v/>
      </c>
    </row>
    <row r="26" ht="16" customHeight="1">
      <c r="A26" s="8" t="inlineStr">
        <is>
          <t>NIFTY REALTY</t>
        </is>
      </c>
      <c r="B26" s="17" t="inlineStr">
        <is>
          <t>OBEROIRLTY</t>
        </is>
      </c>
      <c r="C26" s="18" t="n">
        <v>1707.1</v>
      </c>
      <c r="D26" s="18" t="n">
        <v>1662.73</v>
      </c>
      <c r="E26" s="18" t="n">
        <v>1630.91</v>
      </c>
      <c r="F26" s="18" t="n">
        <v>1631.53</v>
      </c>
      <c r="G26" s="19">
        <f>HYPERLINK("https://www.tradingview.com/chart/?symbol=NSE:OBEROIRLTY","Chart 📈")</f>
        <v/>
      </c>
    </row>
    <row r="27" ht="16" customHeight="1">
      <c r="A27" s="20" t="inlineStr">
        <is>
          <t>NIFTY REALTY</t>
        </is>
      </c>
      <c r="B27" s="17" t="inlineStr">
        <is>
          <t>PHOENIXLTD</t>
        </is>
      </c>
      <c r="C27" s="18" t="n">
        <v>1771.2</v>
      </c>
      <c r="D27" s="18" t="n">
        <v>1768.45</v>
      </c>
      <c r="E27" s="18" t="n">
        <v>1741.01</v>
      </c>
      <c r="F27" s="18" t="n">
        <v>1692.46</v>
      </c>
      <c r="G27" s="19">
        <f>HYPERLINK("https://www.tradingview.com/chart/?symbol=NSE:PHOENIXLTD","Chart 📈")</f>
        <v/>
      </c>
    </row>
    <row r="28" ht="16" customHeight="1">
      <c r="A28" s="20" t="inlineStr">
        <is>
          <t>NIFTY REALTY</t>
        </is>
      </c>
      <c r="B28" s="17" t="inlineStr">
        <is>
          <t>RAYMOND</t>
        </is>
      </c>
      <c r="C28" s="18" t="n">
        <v>540.4</v>
      </c>
      <c r="D28" s="18" t="n">
        <v>507.64</v>
      </c>
      <c r="E28" s="18" t="n">
        <v>464.66</v>
      </c>
      <c r="F28" s="18" t="n">
        <v>480.47</v>
      </c>
      <c r="G28" s="19">
        <f>HYPERLINK("https://www.tradingview.com/chart/?symbol=NSE:RAYMOND","Chart 📈")</f>
        <v/>
      </c>
    </row>
    <row r="29" ht="16" customHeight="1">
      <c r="A29" s="12" t="inlineStr">
        <is>
          <t>NIFTY ENERGY</t>
        </is>
      </c>
      <c r="B29" s="13" t="inlineStr">
        <is>
          <t>ABB</t>
        </is>
      </c>
      <c r="C29" s="14" t="n">
        <v>7253</v>
      </c>
      <c r="D29" s="14" t="n">
        <v>6804.82</v>
      </c>
      <c r="E29" s="14" t="n">
        <v>6637.19</v>
      </c>
      <c r="F29" s="14" t="n">
        <v>5979.95</v>
      </c>
      <c r="G29" s="15">
        <f>HYPERLINK("https://www.tradingview.com/chart/?symbol=NSE:ABB","Chart 📈")</f>
        <v/>
      </c>
    </row>
    <row r="30" ht="16" customHeight="1">
      <c r="A30" s="16" t="inlineStr">
        <is>
          <t>NIFTY ENERGY</t>
        </is>
      </c>
      <c r="B30" s="13" t="inlineStr">
        <is>
          <t>ADANIENSOL</t>
        </is>
      </c>
      <c r="C30" s="14" t="n">
        <v>1513.3</v>
      </c>
      <c r="D30" s="14" t="n">
        <v>1378</v>
      </c>
      <c r="E30" s="14" t="n">
        <v>1269.46</v>
      </c>
      <c r="F30" s="14" t="n">
        <v>1063.24</v>
      </c>
      <c r="G30" s="15">
        <f>HYPERLINK("https://www.tradingview.com/chart/?symbol=NSE:ADANIENSOL","Chart 📈")</f>
        <v/>
      </c>
    </row>
    <row r="31" ht="16" customHeight="1">
      <c r="A31" s="16" t="inlineStr">
        <is>
          <t>NIFTY ENERGY</t>
        </is>
      </c>
      <c r="B31" s="13" t="inlineStr">
        <is>
          <t>ADANIGREEN</t>
        </is>
      </c>
      <c r="C31" s="14" t="n">
        <v>1475.4</v>
      </c>
      <c r="D31" s="14" t="n">
        <v>1361.3</v>
      </c>
      <c r="E31" s="14" t="n">
        <v>1223.96</v>
      </c>
      <c r="F31" s="14" t="n">
        <v>1064.91</v>
      </c>
      <c r="G31" s="15">
        <f>HYPERLINK("https://www.tradingview.com/chart/?symbol=NSE:ADANIGREEN","Chart 📈")</f>
        <v/>
      </c>
    </row>
    <row r="32" ht="16" customHeight="1">
      <c r="A32" s="16" t="inlineStr">
        <is>
          <t>NIFTY ENERGY</t>
        </is>
      </c>
      <c r="B32" s="13" t="inlineStr">
        <is>
          <t>ADANIPOWER</t>
        </is>
      </c>
      <c r="C32" s="14" t="n">
        <v>243.37</v>
      </c>
      <c r="D32" s="14" t="n">
        <v>224.87</v>
      </c>
      <c r="E32" s="14" t="n">
        <v>203.42</v>
      </c>
      <c r="F32" s="14" t="n">
        <v>162.25</v>
      </c>
      <c r="G32" s="15">
        <f>HYPERLINK("https://www.tradingview.com/chart/?symbol=NSE:ADANIPOWER","Chart 📈")</f>
        <v/>
      </c>
    </row>
    <row r="33" ht="16" customHeight="1">
      <c r="A33" s="16" t="inlineStr">
        <is>
          <t>NIFTY ENERGY</t>
        </is>
      </c>
      <c r="B33" s="13" t="inlineStr">
        <is>
          <t>BHEL</t>
        </is>
      </c>
      <c r="C33" s="14" t="n">
        <v>416.75</v>
      </c>
      <c r="D33" s="14" t="n">
        <v>394.92</v>
      </c>
      <c r="E33" s="14" t="n">
        <v>352.33</v>
      </c>
      <c r="F33" s="14" t="n">
        <v>292.8</v>
      </c>
      <c r="G33" s="15">
        <f>HYPERLINK("https://www.tradingview.com/chart/?symbol=NSE:BHEL","Chart 📈")</f>
        <v/>
      </c>
    </row>
    <row r="34" ht="16" customHeight="1">
      <c r="A34" s="16" t="inlineStr">
        <is>
          <t>NIFTY ENERGY</t>
        </is>
      </c>
      <c r="B34" s="13" t="inlineStr">
        <is>
          <t>CESC</t>
        </is>
      </c>
      <c r="C34" s="14" t="n">
        <v>182.09</v>
      </c>
      <c r="D34" s="14" t="n">
        <v>181.33</v>
      </c>
      <c r="E34" s="14" t="n">
        <v>174.91</v>
      </c>
      <c r="F34" s="14" t="n">
        <v>166.35</v>
      </c>
      <c r="G34" s="15">
        <f>HYPERLINK("https://www.tradingview.com/chart/?symbol=NSE:CESC","Chart 📈")</f>
        <v/>
      </c>
    </row>
    <row r="35" ht="16" customHeight="1">
      <c r="A35" s="16" t="inlineStr">
        <is>
          <t>NIFTY ENERGY</t>
        </is>
      </c>
      <c r="B35" s="13" t="inlineStr">
        <is>
          <t>CGPOWER</t>
        </is>
      </c>
      <c r="C35" s="14" t="n">
        <v>917.45</v>
      </c>
      <c r="D35" s="14" t="n">
        <v>854.14</v>
      </c>
      <c r="E35" s="14" t="n">
        <v>801.76</v>
      </c>
      <c r="F35" s="14" t="n">
        <v>727.11</v>
      </c>
      <c r="G35" s="15">
        <f>HYPERLINK("https://www.tradingview.com/chart/?symbol=NSE:CGPOWER","Chart 📈")</f>
        <v/>
      </c>
    </row>
    <row r="36" ht="16" customHeight="1">
      <c r="A36" s="16" t="inlineStr">
        <is>
          <t>NIFTY ENERGY</t>
        </is>
      </c>
      <c r="B36" s="13" t="inlineStr">
        <is>
          <t>GVT&amp;D</t>
        </is>
      </c>
      <c r="C36" s="14" t="n">
        <v>5148.6</v>
      </c>
      <c r="D36" s="14" t="n">
        <v>4647.41</v>
      </c>
      <c r="E36" s="14" t="n">
        <v>4314.8</v>
      </c>
      <c r="F36" s="14" t="n">
        <v>3501.51</v>
      </c>
      <c r="G36" s="15">
        <f>HYPERLINK("https://www.tradingview.com/chart/?symbol=NSE:GVT&amp;D","Chart 📈")</f>
        <v/>
      </c>
    </row>
    <row r="37" ht="16" customHeight="1">
      <c r="A37" s="16" t="inlineStr">
        <is>
          <t>NIFTY ENERGY</t>
        </is>
      </c>
      <c r="B37" s="13" t="inlineStr">
        <is>
          <t>JPPOWER</t>
        </is>
      </c>
      <c r="C37" s="14" t="n">
        <v>21.87</v>
      </c>
      <c r="D37" s="14" t="n">
        <v>19.35</v>
      </c>
      <c r="E37" s="14" t="n">
        <v>18.25</v>
      </c>
      <c r="F37" s="14" t="n">
        <v>17.31</v>
      </c>
      <c r="G37" s="15">
        <f>HYPERLINK("https://www.tradingview.com/chart/?symbol=NSE:JPPOWER","Chart 📈")</f>
        <v/>
      </c>
    </row>
    <row r="38" ht="16" customHeight="1">
      <c r="A38" s="16" t="inlineStr">
        <is>
          <t>NIFTY ENERGY</t>
        </is>
      </c>
      <c r="B38" s="13" t="inlineStr">
        <is>
          <t>JSWENERGY</t>
        </is>
      </c>
      <c r="C38" s="14" t="n">
        <v>595.05</v>
      </c>
      <c r="D38" s="14" t="n">
        <v>554.52</v>
      </c>
      <c r="E38" s="14" t="n">
        <v>536.12</v>
      </c>
      <c r="F38" s="14" t="n">
        <v>512.88</v>
      </c>
      <c r="G38" s="15">
        <f>HYPERLINK("https://www.tradingview.com/chart/?symbol=NSE:JSWENERGY","Chart 📈")</f>
        <v/>
      </c>
    </row>
    <row r="39" ht="16" customHeight="1">
      <c r="A39" s="16" t="inlineStr">
        <is>
          <t>NIFTY ENERGY</t>
        </is>
      </c>
      <c r="B39" s="13" t="inlineStr">
        <is>
          <t>NLCINDIA</t>
        </is>
      </c>
      <c r="C39" s="14" t="n">
        <v>347.55</v>
      </c>
      <c r="D39" s="14" t="n">
        <v>336.78</v>
      </c>
      <c r="E39" s="14" t="n">
        <v>312.45</v>
      </c>
      <c r="F39" s="14" t="n">
        <v>272.11</v>
      </c>
      <c r="G39" s="15">
        <f>HYPERLINK("https://www.tradingview.com/chart/?symbol=NSE:NLCINDIA","Chart 📈")</f>
        <v/>
      </c>
    </row>
    <row r="40" ht="16" customHeight="1">
      <c r="A40" s="16" t="inlineStr">
        <is>
          <t>NIFTY ENERGY</t>
        </is>
      </c>
      <c r="B40" s="13" t="inlineStr">
        <is>
          <t>POWERINDIA</t>
        </is>
      </c>
      <c r="C40" s="14" t="n">
        <v>38445</v>
      </c>
      <c r="D40" s="14" t="n">
        <v>34399.56</v>
      </c>
      <c r="E40" s="14" t="n">
        <v>31071.47</v>
      </c>
      <c r="F40" s="14" t="n">
        <v>24373.35</v>
      </c>
      <c r="G40" s="15">
        <f>HYPERLINK("https://www.tradingview.com/chart/?symbol=NSE:POWERINDIA","Chart 📈")</f>
        <v/>
      </c>
    </row>
    <row r="41" ht="16" customHeight="1">
      <c r="A41" s="16" t="inlineStr">
        <is>
          <t>NIFTY ENERGY</t>
        </is>
      </c>
      <c r="B41" s="13" t="inlineStr">
        <is>
          <t>SCHNEIDER</t>
        </is>
      </c>
      <c r="C41" s="14" t="n">
        <v>1308.8</v>
      </c>
      <c r="D41" s="14" t="n">
        <v>1282.29</v>
      </c>
      <c r="E41" s="14" t="n">
        <v>1154.58</v>
      </c>
      <c r="F41" s="14" t="n">
        <v>928.74</v>
      </c>
      <c r="G41" s="15">
        <f>HYPERLINK("https://www.tradingview.com/chart/?symbol=NSE:SCHNEIDER","Chart 📈")</f>
        <v/>
      </c>
    </row>
    <row r="42" ht="16" customHeight="1">
      <c r="A42" s="16" t="inlineStr">
        <is>
          <t>NIFTY ENERGY</t>
        </is>
      </c>
      <c r="B42" s="13" t="inlineStr">
        <is>
          <t>SIEMENS</t>
        </is>
      </c>
      <c r="C42" s="14" t="n">
        <v>3844</v>
      </c>
      <c r="D42" s="14" t="n">
        <v>3704.35</v>
      </c>
      <c r="E42" s="14" t="n">
        <v>3570.43</v>
      </c>
      <c r="F42" s="14" t="n">
        <v>3328.2</v>
      </c>
      <c r="G42" s="15">
        <f>HYPERLINK("https://www.tradingview.com/chart/?symbol=NSE:SIEMENS","Chart 📈")</f>
        <v/>
      </c>
    </row>
    <row r="43" ht="16" customHeight="1">
      <c r="A43" s="16" t="inlineStr">
        <is>
          <t>NIFTY ENERGY</t>
        </is>
      </c>
      <c r="B43" s="13" t="inlineStr">
        <is>
          <t>SUZLON</t>
        </is>
      </c>
      <c r="C43" s="14" t="n">
        <v>56.99</v>
      </c>
      <c r="D43" s="14" t="n">
        <v>53.97</v>
      </c>
      <c r="E43" s="14" t="n">
        <v>51.4</v>
      </c>
      <c r="F43" s="14" t="n">
        <v>52.6</v>
      </c>
      <c r="G43" s="15">
        <f>HYPERLINK("https://www.tradingview.com/chart/?symbol=NSE:SUZLON","Chart 📈")</f>
        <v/>
      </c>
    </row>
    <row r="44" ht="16" customHeight="1">
      <c r="A44" s="16" t="inlineStr">
        <is>
          <t>NIFTY ENERGY</t>
        </is>
      </c>
      <c r="B44" s="13" t="inlineStr">
        <is>
          <t>TATAPOWER</t>
        </is>
      </c>
      <c r="C44" s="14" t="n">
        <v>420.75</v>
      </c>
      <c r="D44" s="14" t="n">
        <v>419.7</v>
      </c>
      <c r="E44" s="14" t="n">
        <v>413.82</v>
      </c>
      <c r="F44" s="14" t="n">
        <v>396.8</v>
      </c>
      <c r="G44" s="15">
        <f>HYPERLINK("https://www.tradingview.com/chart/?symbol=NSE:TATAPOWER","Chart 📈")</f>
        <v/>
      </c>
    </row>
    <row r="45" ht="16" customHeight="1">
      <c r="A45" s="16" t="inlineStr">
        <is>
          <t>NIFTY ENERGY</t>
        </is>
      </c>
      <c r="B45" s="13" t="inlineStr">
        <is>
          <t>THERMAX</t>
        </is>
      </c>
      <c r="C45" s="14" t="n">
        <v>4982.7</v>
      </c>
      <c r="D45" s="14" t="n">
        <v>4422.54</v>
      </c>
      <c r="E45" s="14" t="n">
        <v>4047.58</v>
      </c>
      <c r="F45" s="14" t="n">
        <v>3490.28</v>
      </c>
      <c r="G45" s="15">
        <f>HYPERLINK("https://www.tradingview.com/chart/?symbol=NSE:THERMAX","Chart 📈")</f>
        <v/>
      </c>
    </row>
    <row r="46" ht="16" customHeight="1">
      <c r="A46" s="16" t="inlineStr">
        <is>
          <t>NIFTY ENERGY</t>
        </is>
      </c>
      <c r="B46" s="13" t="inlineStr">
        <is>
          <t>TRITURBINE</t>
        </is>
      </c>
      <c r="C46" s="14" t="n">
        <v>741.5</v>
      </c>
      <c r="D46" s="14" t="n">
        <v>639.4400000000001</v>
      </c>
      <c r="E46" s="14" t="n">
        <v>577.85</v>
      </c>
      <c r="F46" s="14" t="n">
        <v>540.6900000000001</v>
      </c>
      <c r="G46" s="15">
        <f>HYPERLINK("https://www.tradingview.com/chart/?symbol=NSE:TRITURBINE","Chart 📈")</f>
        <v/>
      </c>
    </row>
    <row r="47" ht="16" customHeight="1">
      <c r="A47" s="8" t="inlineStr">
        <is>
          <t>NIFTY AUTO</t>
        </is>
      </c>
      <c r="B47" s="17" t="inlineStr">
        <is>
          <t>BAJAJ-AUTO</t>
        </is>
      </c>
      <c r="C47" s="18" t="n">
        <v>10460</v>
      </c>
      <c r="D47" s="18" t="n">
        <v>10355.89</v>
      </c>
      <c r="E47" s="18" t="n">
        <v>10008.97</v>
      </c>
      <c r="F47" s="18" t="n">
        <v>9407.99</v>
      </c>
      <c r="G47" s="19">
        <f>HYPERLINK("https://www.tradingview.com/chart/?symbol=NSE:BAJAJ-AUTO","Chart 📈")</f>
        <v/>
      </c>
    </row>
    <row r="48" ht="16" customHeight="1">
      <c r="A48" s="20" t="inlineStr">
        <is>
          <t>NIFTY AUTO</t>
        </is>
      </c>
      <c r="B48" s="17" t="inlineStr">
        <is>
          <t>BHARATFORG</t>
        </is>
      </c>
      <c r="C48" s="18" t="n">
        <v>1957.2</v>
      </c>
      <c r="D48" s="18" t="n">
        <v>1909.05</v>
      </c>
      <c r="E48" s="18" t="n">
        <v>1849.15</v>
      </c>
      <c r="F48" s="18" t="n">
        <v>1594.37</v>
      </c>
      <c r="G48" s="19">
        <f>HYPERLINK("https://www.tradingview.com/chart/?symbol=NSE:BHARATFORG","Chart 📈")</f>
        <v/>
      </c>
    </row>
    <row r="49" ht="16" customHeight="1">
      <c r="A49" s="20" t="inlineStr">
        <is>
          <t>NIFTY AUTO</t>
        </is>
      </c>
      <c r="B49" s="17" t="inlineStr">
        <is>
          <t>BOSCHLTD</t>
        </is>
      </c>
      <c r="C49" s="18" t="n">
        <v>36625</v>
      </c>
      <c r="D49" s="18" t="n">
        <v>36428.33</v>
      </c>
      <c r="E49" s="18" t="n">
        <v>35892.74</v>
      </c>
      <c r="F49" s="18" t="n">
        <v>35580.63</v>
      </c>
      <c r="G49" s="19">
        <f>HYPERLINK("https://www.tradingview.com/chart/?symbol=NSE:BOSCHLTD","Chart 📈")</f>
        <v/>
      </c>
    </row>
    <row r="50" ht="16" customHeight="1">
      <c r="A50" s="20" t="inlineStr">
        <is>
          <t>NIFTY AUTO</t>
        </is>
      </c>
      <c r="B50" s="17" t="inlineStr">
        <is>
          <t>EICHERMOT</t>
        </is>
      </c>
      <c r="C50" s="18" t="n">
        <v>7177</v>
      </c>
      <c r="D50" s="18" t="n">
        <v>7143.88</v>
      </c>
      <c r="E50" s="18" t="n">
        <v>7153.94</v>
      </c>
      <c r="F50" s="18" t="n">
        <v>6901.11</v>
      </c>
      <c r="G50" s="19">
        <f>HYPERLINK("https://www.tradingview.com/chart/?symbol=NSE:EICHERMOT","Chart 📈")</f>
        <v/>
      </c>
    </row>
    <row r="51" ht="16" customHeight="1">
      <c r="A51" s="20" t="inlineStr">
        <is>
          <t>NIFTY AUTO</t>
        </is>
      </c>
      <c r="B51" s="17" t="inlineStr">
        <is>
          <t>EXIDEIND</t>
        </is>
      </c>
      <c r="C51" s="18" t="n">
        <v>386.5</v>
      </c>
      <c r="D51" s="18" t="n">
        <v>355.17</v>
      </c>
      <c r="E51" s="18" t="n">
        <v>344.18</v>
      </c>
      <c r="F51" s="18" t="n">
        <v>353.9</v>
      </c>
      <c r="G51" s="19">
        <f>HYPERLINK("https://www.tradingview.com/chart/?symbol=NSE:EXIDEIND","Chart 📈")</f>
        <v/>
      </c>
    </row>
    <row r="52" ht="16" customHeight="1">
      <c r="A52" s="20" t="inlineStr">
        <is>
          <t>NIFTY AUTO</t>
        </is>
      </c>
      <c r="B52" s="17" t="inlineStr">
        <is>
          <t>MOTHERSON</t>
        </is>
      </c>
      <c r="C52" s="18" t="n">
        <v>145.74</v>
      </c>
      <c r="D52" s="18" t="n">
        <v>132.43</v>
      </c>
      <c r="E52" s="18" t="n">
        <v>126.71</v>
      </c>
      <c r="F52" s="18" t="n">
        <v>116.75</v>
      </c>
      <c r="G52" s="19">
        <f>HYPERLINK("https://www.tradingview.com/chart/?symbol=NSE:MOTHERSON","Chart 📈")</f>
        <v/>
      </c>
    </row>
    <row r="53" ht="16" customHeight="1">
      <c r="A53" s="12" t="inlineStr">
        <is>
          <t>NIFTY MEDIA</t>
        </is>
      </c>
      <c r="B53" s="13" t="inlineStr">
        <is>
          <t>SAREGAMA</t>
        </is>
      </c>
      <c r="C53" s="14" t="n">
        <v>424.15</v>
      </c>
      <c r="D53" s="14" t="n">
        <v>384.96</v>
      </c>
      <c r="E53" s="14" t="n">
        <v>364.29</v>
      </c>
      <c r="F53" s="14" t="n">
        <v>390.92</v>
      </c>
      <c r="G53" s="15">
        <f>HYPERLINK("https://www.tradingview.com/chart/?symbol=NSE:SAREGAMA","Chart 📈")</f>
        <v/>
      </c>
    </row>
    <row r="54" ht="16" customHeight="1">
      <c r="A54" s="16" t="inlineStr">
        <is>
          <t>NIFTY MEDIA</t>
        </is>
      </c>
      <c r="B54" s="13" t="inlineStr">
        <is>
          <t>TIPSMUSIC</t>
        </is>
      </c>
      <c r="C54" s="14" t="n">
        <v>662.45</v>
      </c>
      <c r="D54" s="14" t="n">
        <v>647.37</v>
      </c>
      <c r="E54" s="14" t="n">
        <v>613.3200000000001</v>
      </c>
      <c r="F54" s="14" t="n">
        <v>576.76</v>
      </c>
      <c r="G54" s="15">
        <f>HYPERLINK("https://www.tradingview.com/chart/?symbol=NSE:TIPSMUSIC","Chart 📈")</f>
        <v/>
      </c>
    </row>
    <row r="55" ht="16" customHeight="1">
      <c r="A55" s="8" t="inlineStr">
        <is>
          <t>NIFTY OIL &amp; GAS</t>
        </is>
      </c>
      <c r="B55" s="17" t="inlineStr">
        <is>
          <t>AEGISLOG</t>
        </is>
      </c>
      <c r="C55" s="18" t="n">
        <v>748.45</v>
      </c>
      <c r="D55" s="18" t="n">
        <v>706.5</v>
      </c>
      <c r="E55" s="18" t="n">
        <v>690.53</v>
      </c>
      <c r="F55" s="18" t="n">
        <v>711.6</v>
      </c>
      <c r="G55" s="19">
        <f>HYPERLINK("https://www.tradingview.com/chart/?symbol=NSE:AEGISLOG","Chart 📈")</f>
        <v/>
      </c>
    </row>
    <row r="56" ht="16" customHeight="1">
      <c r="A56" s="20" t="inlineStr">
        <is>
          <t>NIFTY OIL &amp; GAS</t>
        </is>
      </c>
      <c r="B56" s="17" t="inlineStr">
        <is>
          <t>ATGL</t>
        </is>
      </c>
      <c r="C56" s="18" t="n">
        <v>773.3</v>
      </c>
      <c r="D56" s="18" t="n">
        <v>661.77</v>
      </c>
      <c r="E56" s="18" t="n">
        <v>618.64</v>
      </c>
      <c r="F56" s="18" t="n">
        <v>599.24</v>
      </c>
      <c r="G56" s="19">
        <f>HYPERLINK("https://www.tradingview.com/chart/?symbol=NSE:ATGL","Chart 📈")</f>
        <v/>
      </c>
    </row>
    <row r="57" ht="16" customHeight="1">
      <c r="A57" s="20" t="inlineStr">
        <is>
          <t>NIFTY OIL &amp; GAS</t>
        </is>
      </c>
      <c r="B57" s="17" t="inlineStr">
        <is>
          <t>GUJGASLTD</t>
        </is>
      </c>
      <c r="C57" s="18" t="n">
        <v>401.15</v>
      </c>
      <c r="D57" s="18" t="n">
        <v>375.92</v>
      </c>
      <c r="E57" s="18" t="n">
        <v>373.96</v>
      </c>
      <c r="F57" s="18" t="n">
        <v>398.2</v>
      </c>
      <c r="G57" s="19">
        <f>HYPERLINK("https://www.tradingview.com/chart/?symbol=NSE:GUJGASLTD","Chart 📈")</f>
        <v/>
      </c>
    </row>
    <row r="58" ht="16" customHeight="1">
      <c r="A58" s="12" t="inlineStr">
        <is>
          <t>NIFTY CONSUMER DURABLES</t>
        </is>
      </c>
      <c r="B58" s="13" t="inlineStr">
        <is>
          <t>CENTURYPLY</t>
        </is>
      </c>
      <c r="C58" s="14" t="n">
        <v>773.35</v>
      </c>
      <c r="D58" s="14" t="n">
        <v>772.1799999999999</v>
      </c>
      <c r="E58" s="14" t="n">
        <v>762.87</v>
      </c>
      <c r="F58" s="14" t="n">
        <v>765.29</v>
      </c>
      <c r="G58" s="15">
        <f>HYPERLINK("https://www.tradingview.com/chart/?symbol=NSE:CENTURYPLY","Chart 📈")</f>
        <v/>
      </c>
    </row>
    <row r="59" ht="16" customHeight="1">
      <c r="A59" s="8" t="inlineStr">
        <is>
          <t>NIFTY FMCG</t>
        </is>
      </c>
      <c r="B59" s="17" t="inlineStr">
        <is>
          <t>MARICO</t>
        </is>
      </c>
      <c r="C59" s="18" t="n">
        <v>821.7</v>
      </c>
      <c r="D59" s="18" t="n">
        <v>819.95</v>
      </c>
      <c r="E59" s="18" t="n">
        <v>797.58</v>
      </c>
      <c r="F59" s="18" t="n">
        <v>758.41</v>
      </c>
      <c r="G59" s="19">
        <f>HYPERLINK("https://www.tradingview.com/chart/?symbol=NSE:MARICO","Chart 📈")</f>
        <v/>
      </c>
    </row>
    <row r="60" ht="16" customHeight="1">
      <c r="A60" s="20" t="inlineStr">
        <is>
          <t>NIFTY FMCG</t>
        </is>
      </c>
      <c r="B60" s="17" t="inlineStr">
        <is>
          <t>RADICO</t>
        </is>
      </c>
      <c r="C60" s="18" t="n">
        <v>3518.6</v>
      </c>
      <c r="D60" s="18" t="n">
        <v>3452.29</v>
      </c>
      <c r="E60" s="18" t="n">
        <v>3250.1</v>
      </c>
      <c r="F60" s="18" t="n">
        <v>2997.68</v>
      </c>
      <c r="G60" s="19">
        <f>HYPERLINK("https://www.tradingview.com/chart/?symbol=NSE:RADICO","Chart 📈")</f>
        <v/>
      </c>
    </row>
    <row r="61" ht="16" customHeight="1">
      <c r="A61" s="20" t="inlineStr">
        <is>
          <t>NIFTY FMCG</t>
        </is>
      </c>
      <c r="B61" s="17" t="inlineStr">
        <is>
          <t>VBL</t>
        </is>
      </c>
      <c r="C61" s="18" t="n">
        <v>528</v>
      </c>
      <c r="D61" s="18" t="n">
        <v>512.83</v>
      </c>
      <c r="E61" s="18" t="n">
        <v>487.83</v>
      </c>
      <c r="F61" s="18" t="n">
        <v>471.19</v>
      </c>
      <c r="G61" s="19">
        <f>HYPERLINK("https://www.tradingview.com/chart/?symbol=NSE:VBL","Chart 📈")</f>
        <v/>
      </c>
    </row>
    <row r="62" ht="16" customHeight="1">
      <c r="A62" s="12" t="inlineStr">
        <is>
          <t>NIFTY BANK</t>
        </is>
      </c>
      <c r="B62" s="13" t="inlineStr">
        <is>
          <t>FEDERALBNK</t>
        </is>
      </c>
      <c r="C62" s="14" t="n">
        <v>288.95</v>
      </c>
      <c r="D62" s="14" t="n">
        <v>287.63</v>
      </c>
      <c r="E62" s="14" t="n">
        <v>284.92</v>
      </c>
      <c r="F62" s="14" t="n">
        <v>259.67</v>
      </c>
      <c r="G62" s="15">
        <f>HYPERLINK("https://www.tradingview.com/chart/?symbol=NSE:FEDERALBNK","Chart 📈")</f>
        <v/>
      </c>
    </row>
    <row r="63" ht="16" customHeight="1">
      <c r="A63" s="16" t="inlineStr">
        <is>
          <t>NIFTY BANK</t>
        </is>
      </c>
      <c r="B63" s="13" t="inlineStr">
        <is>
          <t>INDUSINDBK</t>
        </is>
      </c>
      <c r="C63" s="14" t="n">
        <v>914.35</v>
      </c>
      <c r="D63" s="14" t="n">
        <v>906.8</v>
      </c>
      <c r="E63" s="14" t="n">
        <v>889.59</v>
      </c>
      <c r="F63" s="14" t="n">
        <v>859.5599999999999</v>
      </c>
      <c r="G63" s="15">
        <f>HYPERLINK("https://www.tradingview.com/chart/?symbol=NSE:INDUSINDBK","Chart 📈")</f>
        <v/>
      </c>
    </row>
    <row r="64" ht="16" customHeight="1">
      <c r="A64" s="8" t="inlineStr">
        <is>
          <t>NIFTY PSU BANK</t>
        </is>
      </c>
      <c r="B64" s="17" t="inlineStr">
        <is>
          <t>MAHABANK</t>
        </is>
      </c>
      <c r="C64" s="18" t="n">
        <v>79.27</v>
      </c>
      <c r="D64" s="18" t="n">
        <v>79.14</v>
      </c>
      <c r="E64" s="18" t="n">
        <v>75.64</v>
      </c>
      <c r="F64" s="18" t="n">
        <v>65.54000000000001</v>
      </c>
      <c r="G64" s="19">
        <f>HYPERLINK("https://www.tradingview.com/chart/?symbol=NSE:MAHABANK","Chart 📈")</f>
        <v/>
      </c>
    </row>
    <row r="65" ht="16" customHeight="1">
      <c r="A65" s="12" t="inlineStr">
        <is>
          <t>NIFTY FINANCIAL SERVICES</t>
        </is>
      </c>
      <c r="B65" s="13" t="inlineStr">
        <is>
          <t>AXISBANK</t>
        </is>
      </c>
      <c r="C65" s="14" t="n">
        <v>1286.6</v>
      </c>
      <c r="D65" s="14" t="n">
        <v>1280.2</v>
      </c>
      <c r="E65" s="14" t="n">
        <v>1285.28</v>
      </c>
      <c r="F65" s="14" t="n">
        <v>1258.34</v>
      </c>
      <c r="G65" s="15">
        <f>HYPERLINK("https://www.tradingview.com/chart/?symbol=NSE:AXISBANK","Chart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2026-05-29T14:08:46Z</dcterms:created>
  <dcterms:modified xsi:type="dcterms:W3CDTF">2026-05-29T14:08:46Z</dcterms:modified>
</cp:coreProperties>
</file>