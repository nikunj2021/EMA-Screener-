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07-Oct-2026  17:51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7</v>
      </c>
      <c r="D4" s="5" t="n">
        <v>10</v>
      </c>
      <c r="E4" s="5" t="n">
        <v>11</v>
      </c>
      <c r="F4" s="6" t="n">
        <v>0.35</v>
      </c>
      <c r="G4" s="6" t="n">
        <v>0.5</v>
      </c>
      <c r="H4" s="6" t="n">
        <v>0.55</v>
      </c>
      <c r="I4" s="7" t="n">
        <v>0.4667</v>
      </c>
    </row>
    <row r="5" ht="17" customHeight="1">
      <c r="A5" s="8" t="inlineStr">
        <is>
          <t>NIFTY MEDIA</t>
        </is>
      </c>
      <c r="B5" s="9" t="n">
        <v>10</v>
      </c>
      <c r="C5" s="9" t="n">
        <v>4</v>
      </c>
      <c r="D5" s="9" t="n">
        <v>4</v>
      </c>
      <c r="E5" s="9" t="n">
        <v>5</v>
      </c>
      <c r="F5" s="10" t="n">
        <v>0.4</v>
      </c>
      <c r="G5" s="10" t="n">
        <v>0.4</v>
      </c>
      <c r="H5" s="10" t="n">
        <v>0.5</v>
      </c>
      <c r="I5" s="11" t="n">
        <v>0.4333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6</v>
      </c>
      <c r="D6" s="5" t="n">
        <v>5</v>
      </c>
      <c r="E6" s="5" t="n">
        <v>6</v>
      </c>
      <c r="F6" s="6" t="n">
        <v>0.3</v>
      </c>
      <c r="G6" s="6" t="n">
        <v>0.25</v>
      </c>
      <c r="H6" s="6" t="n">
        <v>0.3</v>
      </c>
      <c r="I6" s="7" t="n">
        <v>0.2833</v>
      </c>
    </row>
    <row r="7" ht="17" customHeight="1">
      <c r="A7" s="8" t="inlineStr">
        <is>
          <t>NIFTY PSU BANK</t>
        </is>
      </c>
      <c r="B7" s="9" t="n">
        <v>12</v>
      </c>
      <c r="C7" s="9" t="n">
        <v>4</v>
      </c>
      <c r="D7" s="9" t="n">
        <v>2</v>
      </c>
      <c r="E7" s="9" t="n">
        <v>3</v>
      </c>
      <c r="F7" s="10" t="n">
        <v>0.333</v>
      </c>
      <c r="G7" s="10" t="n">
        <v>0.167</v>
      </c>
      <c r="H7" s="10" t="n">
        <v>0.25</v>
      </c>
      <c r="I7" s="11" t="n">
        <v>0.25</v>
      </c>
    </row>
    <row r="8" ht="17" customHeight="1">
      <c r="A8" s="4" t="inlineStr">
        <is>
          <t>NIFTY OIL &amp; GAS</t>
        </is>
      </c>
      <c r="B8" s="5" t="n">
        <v>15</v>
      </c>
      <c r="C8" s="5" t="n">
        <v>4</v>
      </c>
      <c r="D8" s="5" t="n">
        <v>3</v>
      </c>
      <c r="E8" s="5" t="n">
        <v>4</v>
      </c>
      <c r="F8" s="6" t="n">
        <v>0.267</v>
      </c>
      <c r="G8" s="6" t="n">
        <v>0.2</v>
      </c>
      <c r="H8" s="6" t="n">
        <v>0.267</v>
      </c>
      <c r="I8" s="7" t="n">
        <v>0.2447</v>
      </c>
    </row>
    <row r="9" ht="17" customHeight="1">
      <c r="A9" s="8" t="inlineStr">
        <is>
          <t>NIFTY REALTY</t>
        </is>
      </c>
      <c r="B9" s="9" t="n">
        <v>10</v>
      </c>
      <c r="C9" s="9" t="n">
        <v>1</v>
      </c>
      <c r="D9" s="9" t="n">
        <v>1</v>
      </c>
      <c r="E9" s="9" t="n">
        <v>5</v>
      </c>
      <c r="F9" s="10" t="n">
        <v>0.1</v>
      </c>
      <c r="G9" s="10" t="n">
        <v>0.1</v>
      </c>
      <c r="H9" s="10" t="n">
        <v>0.5</v>
      </c>
      <c r="I9" s="11" t="n">
        <v>0.2333</v>
      </c>
    </row>
    <row r="10" ht="17" customHeight="1">
      <c r="A10" s="4" t="inlineStr">
        <is>
          <t>NIFTY FMCG</t>
        </is>
      </c>
      <c r="B10" s="5" t="n">
        <v>15</v>
      </c>
      <c r="C10" s="5" t="n">
        <v>5</v>
      </c>
      <c r="D10" s="5" t="n">
        <v>3</v>
      </c>
      <c r="E10" s="5" t="n">
        <v>2</v>
      </c>
      <c r="F10" s="6" t="n">
        <v>0.333</v>
      </c>
      <c r="G10" s="6" t="n">
        <v>0.2</v>
      </c>
      <c r="H10" s="6" t="n">
        <v>0.133</v>
      </c>
      <c r="I10" s="7" t="n">
        <v>0.222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6</v>
      </c>
      <c r="D11" s="9" t="n">
        <v>4</v>
      </c>
      <c r="E11" s="9" t="n">
        <v>3</v>
      </c>
      <c r="F11" s="10" t="n">
        <v>0.3</v>
      </c>
      <c r="G11" s="10" t="n">
        <v>0.2</v>
      </c>
      <c r="H11" s="10" t="n">
        <v>0.15</v>
      </c>
      <c r="I11" s="11" t="n">
        <v>0.2167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4</v>
      </c>
      <c r="D12" s="5" t="n">
        <v>3</v>
      </c>
      <c r="E12" s="5" t="n">
        <v>2</v>
      </c>
      <c r="F12" s="6" t="n">
        <v>0.267</v>
      </c>
      <c r="G12" s="6" t="n">
        <v>0.2</v>
      </c>
      <c r="H12" s="6" t="n">
        <v>0.133</v>
      </c>
      <c r="I12" s="7" t="n">
        <v>0.2</v>
      </c>
    </row>
    <row r="13" ht="17" customHeight="1">
      <c r="A13" s="8" t="inlineStr">
        <is>
          <t>NIFTY METAL</t>
        </is>
      </c>
      <c r="B13" s="9" t="n">
        <v>15</v>
      </c>
      <c r="C13" s="9" t="n">
        <v>1</v>
      </c>
      <c r="D13" s="9" t="n">
        <v>2</v>
      </c>
      <c r="E13" s="9" t="n">
        <v>5</v>
      </c>
      <c r="F13" s="10" t="n">
        <v>0.067</v>
      </c>
      <c r="G13" s="10" t="n">
        <v>0.133</v>
      </c>
      <c r="H13" s="10" t="n">
        <v>0.333</v>
      </c>
      <c r="I13" s="11" t="n">
        <v>0.1777</v>
      </c>
    </row>
    <row r="14" ht="17" customHeight="1">
      <c r="A14" s="4" t="inlineStr">
        <is>
          <t>NIFTY ENERGY</t>
        </is>
      </c>
      <c r="B14" s="5" t="n">
        <v>40</v>
      </c>
      <c r="C14" s="5" t="n">
        <v>6</v>
      </c>
      <c r="D14" s="5" t="n">
        <v>4</v>
      </c>
      <c r="E14" s="5" t="n">
        <v>9</v>
      </c>
      <c r="F14" s="6" t="n">
        <v>0.15</v>
      </c>
      <c r="G14" s="6" t="n">
        <v>0.1</v>
      </c>
      <c r="H14" s="6" t="n">
        <v>0.225</v>
      </c>
      <c r="I14" s="7" t="n">
        <v>0.1583</v>
      </c>
    </row>
    <row r="15" ht="17" customHeight="1">
      <c r="A15" s="8" t="inlineStr">
        <is>
          <t>NIFTY AUTO</t>
        </is>
      </c>
      <c r="B15" s="9" t="n">
        <v>15</v>
      </c>
      <c r="C15" s="9" t="n">
        <v>0</v>
      </c>
      <c r="D15" s="9" t="n">
        <v>0</v>
      </c>
      <c r="E15" s="9" t="n">
        <v>4</v>
      </c>
      <c r="F15" s="10" t="n">
        <v>0</v>
      </c>
      <c r="G15" s="10" t="n">
        <v>0</v>
      </c>
      <c r="H15" s="10" t="n">
        <v>0.267</v>
      </c>
      <c r="I15" s="11" t="n">
        <v>0.08900000000000001</v>
      </c>
    </row>
    <row r="16" ht="17" customHeight="1">
      <c r="A16" s="4" t="inlineStr">
        <is>
          <t>NIFTY BANK</t>
        </is>
      </c>
      <c r="B16" s="5" t="n">
        <v>12</v>
      </c>
      <c r="C16" s="5" t="n">
        <v>0</v>
      </c>
      <c r="D16" s="5" t="n">
        <v>0</v>
      </c>
      <c r="E16" s="5" t="n">
        <v>2</v>
      </c>
      <c r="F16" s="6" t="n">
        <v>0</v>
      </c>
      <c r="G16" s="6" t="n">
        <v>0</v>
      </c>
      <c r="H16" s="6" t="n">
        <v>0.167</v>
      </c>
      <c r="I16" s="7" t="n">
        <v>0.0557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3569.8</v>
      </c>
      <c r="D3" s="14" t="n">
        <v>3548.12</v>
      </c>
      <c r="E3" s="14" t="n">
        <v>3502.6</v>
      </c>
      <c r="F3" s="14" t="n">
        <v>3156.64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DIVISLAB</t>
        </is>
      </c>
      <c r="C4" s="14" t="n">
        <v>9588</v>
      </c>
      <c r="D4" s="14" t="n">
        <v>9349.57</v>
      </c>
      <c r="E4" s="14" t="n">
        <v>8900.07</v>
      </c>
      <c r="F4" s="14" t="n">
        <v>7513.56</v>
      </c>
      <c r="G4" s="15">
        <f>HYPERLINK("https://www.tradingview.com/chart/?symbol=NSE:DIVISLAB","Chart 📈")</f>
        <v/>
      </c>
    </row>
    <row r="5" ht="16" customHeight="1">
      <c r="A5" s="16" t="inlineStr">
        <is>
          <t>NIFTY PHARMA</t>
        </is>
      </c>
      <c r="B5" s="13" t="inlineStr">
        <is>
          <t>GLAND</t>
        </is>
      </c>
      <c r="C5" s="14" t="n">
        <v>3150.6</v>
      </c>
      <c r="D5" s="14" t="n">
        <v>2934.74</v>
      </c>
      <c r="E5" s="14" t="n">
        <v>2821.66</v>
      </c>
      <c r="F5" s="14" t="n">
        <v>2354.28</v>
      </c>
      <c r="G5" s="15">
        <f>HYPERLINK("https://www.tradingview.com/chart/?symbol=NSE:GLAND","Chart 📈")</f>
        <v/>
      </c>
    </row>
    <row r="6" ht="16" customHeight="1">
      <c r="A6" s="16" t="inlineStr">
        <is>
          <t>NIFTY PHARMA</t>
        </is>
      </c>
      <c r="B6" s="13" t="inlineStr">
        <is>
          <t>LAURUSLABS</t>
        </is>
      </c>
      <c r="C6" s="14" t="n">
        <v>2052.8</v>
      </c>
      <c r="D6" s="14" t="n">
        <v>1980.13</v>
      </c>
      <c r="E6" s="14" t="n">
        <v>1881.26</v>
      </c>
      <c r="F6" s="14" t="n">
        <v>1485.82</v>
      </c>
      <c r="G6" s="15">
        <f>HYPERLINK("https://www.tradingview.com/chart/?symbol=NSE:LAURUSLABS","Chart 📈")</f>
        <v/>
      </c>
    </row>
    <row r="7" ht="16" customHeight="1">
      <c r="A7" s="16" t="inlineStr">
        <is>
          <t>NIFTY PHARMA</t>
        </is>
      </c>
      <c r="B7" s="13" t="inlineStr">
        <is>
          <t>MANKIND</t>
        </is>
      </c>
      <c r="C7" s="14" t="n">
        <v>2500</v>
      </c>
      <c r="D7" s="14" t="n">
        <v>2450.08</v>
      </c>
      <c r="E7" s="14" t="n">
        <v>2424.59</v>
      </c>
      <c r="F7" s="14" t="n">
        <v>2372.51</v>
      </c>
      <c r="G7" s="15">
        <f>HYPERLINK("https://www.tradingview.com/chart/?symbol=NSE:MANKIND","Chart 📈")</f>
        <v/>
      </c>
    </row>
    <row r="8" ht="16" customHeight="1">
      <c r="A8" s="8" t="inlineStr">
        <is>
          <t>NIFTY MEDIA</t>
        </is>
      </c>
      <c r="B8" s="17" t="inlineStr">
        <is>
          <t>NAZARA</t>
        </is>
      </c>
      <c r="C8" s="18" t="n">
        <v>378.45</v>
      </c>
      <c r="D8" s="18" t="n">
        <v>375.21</v>
      </c>
      <c r="E8" s="18" t="n">
        <v>359.01</v>
      </c>
      <c r="F8" s="18" t="n">
        <v>310.85</v>
      </c>
      <c r="G8" s="19">
        <f>HYPERLINK("https://www.tradingview.com/chart/?symbol=NSE:NAZARA","Chart 📈")</f>
        <v/>
      </c>
    </row>
    <row r="9" ht="16" customHeight="1">
      <c r="A9" s="20" t="inlineStr">
        <is>
          <t>NIFTY MEDIA</t>
        </is>
      </c>
      <c r="B9" s="17" t="inlineStr">
        <is>
          <t>PVRINOX</t>
        </is>
      </c>
      <c r="C9" s="18" t="n">
        <v>1343.8</v>
      </c>
      <c r="D9" s="18" t="n">
        <v>1250.56</v>
      </c>
      <c r="E9" s="18" t="n">
        <v>1206.98</v>
      </c>
      <c r="F9" s="18" t="n">
        <v>1101.69</v>
      </c>
      <c r="G9" s="19">
        <f>HYPERLINK("https://www.tradingview.com/chart/?symbol=NSE:PVRINOX","Chart 📈")</f>
        <v/>
      </c>
    </row>
    <row r="10" ht="16" customHeight="1">
      <c r="A10" s="20" t="inlineStr">
        <is>
          <t>NIFTY MEDIA</t>
        </is>
      </c>
      <c r="B10" s="17" t="inlineStr">
        <is>
          <t>SAREGAMA</t>
        </is>
      </c>
      <c r="C10" s="18" t="n">
        <v>503.75</v>
      </c>
      <c r="D10" s="18" t="n">
        <v>498.54</v>
      </c>
      <c r="E10" s="18" t="n">
        <v>496.15</v>
      </c>
      <c r="F10" s="18" t="n">
        <v>451.18</v>
      </c>
      <c r="G10" s="19">
        <f>HYPERLINK("https://www.tradingview.com/chart/?symbol=NSE:SAREGAMA","Chart 📈")</f>
        <v/>
      </c>
    </row>
    <row r="11" ht="16" customHeight="1">
      <c r="A11" s="20" t="inlineStr">
        <is>
          <t>NIFTY MEDIA</t>
        </is>
      </c>
      <c r="B11" s="17" t="inlineStr">
        <is>
          <t>SUNTV</t>
        </is>
      </c>
      <c r="C11" s="18" t="n">
        <v>636.5</v>
      </c>
      <c r="D11" s="18" t="n">
        <v>540.96</v>
      </c>
      <c r="E11" s="18" t="n">
        <v>509.89</v>
      </c>
      <c r="F11" s="18" t="n">
        <v>524.76</v>
      </c>
      <c r="G11" s="19">
        <f>HYPERLINK("https://www.tradingview.com/chart/?symbol=NSE:SUNTV","Chart 📈")</f>
        <v/>
      </c>
    </row>
    <row r="12" ht="16" customHeight="1">
      <c r="A12" s="12" t="inlineStr">
        <is>
          <t>NIFTY MIDSMALL IT &amp; TELECOM</t>
        </is>
      </c>
      <c r="B12" s="13" t="inlineStr">
        <is>
          <t>COFORGE</t>
        </is>
      </c>
      <c r="C12" s="14" t="n">
        <v>1822.2</v>
      </c>
      <c r="D12" s="14" t="n">
        <v>1818.11</v>
      </c>
      <c r="E12" s="14" t="n">
        <v>1782.7</v>
      </c>
      <c r="F12" s="14" t="n">
        <v>1618.36</v>
      </c>
      <c r="G12" s="15">
        <f>HYPERLINK("https://www.tradingview.com/chart/?symbol=NSE:COFORGE","Chart 📈")</f>
        <v/>
      </c>
    </row>
    <row r="13" ht="16" customHeight="1">
      <c r="A13" s="16" t="inlineStr">
        <is>
          <t>NIFTY MIDSMALL IT &amp; TELECOM</t>
        </is>
      </c>
      <c r="B13" s="13" t="inlineStr">
        <is>
          <t>CYIENT</t>
        </is>
      </c>
      <c r="C13" s="14" t="n">
        <v>1115</v>
      </c>
      <c r="D13" s="14" t="n">
        <v>1082.48</v>
      </c>
      <c r="E13" s="14" t="n">
        <v>1024.87</v>
      </c>
      <c r="F13" s="14" t="n">
        <v>985.95</v>
      </c>
      <c r="G13" s="15">
        <f>HYPERLINK("https://www.tradingview.com/chart/?symbol=NSE:CYIENT","Chart 📈")</f>
        <v/>
      </c>
    </row>
    <row r="14" ht="16" customHeight="1">
      <c r="A14" s="16" t="inlineStr">
        <is>
          <t>NIFTY MIDSMALL IT &amp; TELECOM</t>
        </is>
      </c>
      <c r="B14" s="13" t="inlineStr">
        <is>
          <t>HFCL</t>
        </is>
      </c>
      <c r="C14" s="14" t="n">
        <v>271.9</v>
      </c>
      <c r="D14" s="14" t="n">
        <v>233.95</v>
      </c>
      <c r="E14" s="14" t="n">
        <v>224.25</v>
      </c>
      <c r="F14" s="14" t="n">
        <v>167.3</v>
      </c>
      <c r="G14" s="15">
        <f>HYPERLINK("https://www.tradingview.com/chart/?symbol=NSE:HFCL","Chart 📈")</f>
        <v/>
      </c>
    </row>
    <row r="15" ht="16" customHeight="1">
      <c r="A15" s="16" t="inlineStr">
        <is>
          <t>NIFTY MIDSMALL IT &amp; TELECOM</t>
        </is>
      </c>
      <c r="B15" s="13" t="inlineStr">
        <is>
          <t>PERSISTENT</t>
        </is>
      </c>
      <c r="C15" s="14" t="n">
        <v>5507</v>
      </c>
      <c r="D15" s="14" t="n">
        <v>5426.2</v>
      </c>
      <c r="E15" s="14" t="n">
        <v>5408.91</v>
      </c>
      <c r="F15" s="14" t="n">
        <v>5329.39</v>
      </c>
      <c r="G15" s="15">
        <f>HYPERLINK("https://www.tradingview.com/chart/?symbol=NSE:PERSISTENT","Chart 📈")</f>
        <v/>
      </c>
    </row>
    <row r="16" ht="16" customHeight="1">
      <c r="A16" s="8" t="inlineStr">
        <is>
          <t>NIFTY PSU BANK</t>
        </is>
      </c>
      <c r="B16" s="17" t="inlineStr">
        <is>
          <t>MAHABANK</t>
        </is>
      </c>
      <c r="C16" s="18" t="n">
        <v>84.15000000000001</v>
      </c>
      <c r="D16" s="18" t="n">
        <v>81.88</v>
      </c>
      <c r="E16" s="18" t="n">
        <v>81.95999999999999</v>
      </c>
      <c r="F16" s="18" t="n">
        <v>75.8</v>
      </c>
      <c r="G16" s="19">
        <f>HYPERLINK("https://www.tradingview.com/chart/?symbol=NSE:MAHABANK","Chart 📈")</f>
        <v/>
      </c>
    </row>
    <row r="17" ht="16" customHeight="1">
      <c r="A17" s="20" t="inlineStr">
        <is>
          <t>NIFTY PSU BANK</t>
        </is>
      </c>
      <c r="B17" s="17" t="inlineStr">
        <is>
          <t>PNB</t>
        </is>
      </c>
      <c r="C17" s="18" t="n">
        <v>114.59</v>
      </c>
      <c r="D17" s="18" t="n">
        <v>114.07</v>
      </c>
      <c r="E17" s="18" t="n">
        <v>113.91</v>
      </c>
      <c r="F17" s="18" t="n">
        <v>112.07</v>
      </c>
      <c r="G17" s="19">
        <f>HYPERLINK("https://www.tradingview.com/chart/?symbol=NSE:PNB","Chart 📈")</f>
        <v/>
      </c>
    </row>
    <row r="18" ht="16" customHeight="1">
      <c r="A18" s="12" t="inlineStr">
        <is>
          <t>NIFTY OIL &amp; GAS</t>
        </is>
      </c>
      <c r="B18" s="13" t="inlineStr">
        <is>
          <t>AEGISLOG</t>
        </is>
      </c>
      <c r="C18" s="14" t="n">
        <v>1460.2</v>
      </c>
      <c r="D18" s="14" t="n">
        <v>1372.73</v>
      </c>
      <c r="E18" s="14" t="n">
        <v>1320.81</v>
      </c>
      <c r="F18" s="14" t="n">
        <v>1054.7</v>
      </c>
      <c r="G18" s="15">
        <f>HYPERLINK("https://www.tradingview.com/chart/?symbol=NSE:AEGISLOG","Chart 📈")</f>
        <v/>
      </c>
    </row>
    <row r="19" ht="16" customHeight="1">
      <c r="A19" s="16" t="inlineStr">
        <is>
          <t>NIFTY OIL &amp; GAS</t>
        </is>
      </c>
      <c r="B19" s="13" t="inlineStr">
        <is>
          <t>CASTROLIND</t>
        </is>
      </c>
      <c r="C19" s="14" t="n">
        <v>197.15</v>
      </c>
      <c r="D19" s="14" t="n">
        <v>195.88</v>
      </c>
      <c r="E19" s="14" t="n">
        <v>190.77</v>
      </c>
      <c r="F19" s="14" t="n">
        <v>183.62</v>
      </c>
      <c r="G19" s="15">
        <f>HYPERLINK("https://www.tradingview.com/chart/?symbol=NSE:CASTROLIND","Chart 📈")</f>
        <v/>
      </c>
    </row>
    <row r="20" ht="16" customHeight="1">
      <c r="A20" s="16" t="inlineStr">
        <is>
          <t>NIFTY OIL &amp; GAS</t>
        </is>
      </c>
      <c r="B20" s="13" t="inlineStr">
        <is>
          <t>PETRONET</t>
        </is>
      </c>
      <c r="C20" s="14" t="n">
        <v>297</v>
      </c>
      <c r="D20" s="14" t="n">
        <v>288.58</v>
      </c>
      <c r="E20" s="14" t="n">
        <v>286.1</v>
      </c>
      <c r="F20" s="14" t="n">
        <v>280.25</v>
      </c>
      <c r="G20" s="15">
        <f>HYPERLINK("https://www.tradingview.com/chart/?symbol=NSE:PETRONET","Chart 📈")</f>
        <v/>
      </c>
    </row>
    <row r="21" ht="16" customHeight="1">
      <c r="A21" s="8" t="inlineStr">
        <is>
          <t>NIFTY REALTY</t>
        </is>
      </c>
      <c r="B21" s="17" t="inlineStr">
        <is>
          <t>RAYMOND</t>
        </is>
      </c>
      <c r="C21" s="18" t="n">
        <v>1206.7</v>
      </c>
      <c r="D21" s="18" t="n">
        <v>1107.28</v>
      </c>
      <c r="E21" s="18" t="n">
        <v>915.5</v>
      </c>
      <c r="F21" s="18" t="n">
        <v>653.64</v>
      </c>
      <c r="G21" s="19">
        <f>HYPERLINK("https://www.tradingview.com/chart/?symbol=NSE:RAYMOND","Chart 📈")</f>
        <v/>
      </c>
    </row>
    <row r="22" ht="16" customHeight="1">
      <c r="A22" s="12" t="inlineStr">
        <is>
          <t>NIFTY FMCG</t>
        </is>
      </c>
      <c r="B22" s="13" t="inlineStr">
        <is>
          <t>BALRAMCHIN</t>
        </is>
      </c>
      <c r="C22" s="14" t="n">
        <v>706.6</v>
      </c>
      <c r="D22" s="14" t="n">
        <v>675.75</v>
      </c>
      <c r="E22" s="14" t="n">
        <v>659.41</v>
      </c>
      <c r="F22" s="14" t="n">
        <v>573.78</v>
      </c>
      <c r="G22" s="15">
        <f>HYPERLINK("https://www.tradingview.com/chart/?symbol=NSE:BALRAMCHIN","Chart 📈")</f>
        <v/>
      </c>
    </row>
    <row r="23" ht="16" customHeight="1">
      <c r="A23" s="16" t="inlineStr">
        <is>
          <t>NIFTY FMCG</t>
        </is>
      </c>
      <c r="B23" s="13" t="inlineStr">
        <is>
          <t>RADICO</t>
        </is>
      </c>
      <c r="C23" s="14" t="n">
        <v>4495</v>
      </c>
      <c r="D23" s="14" t="n">
        <v>4422.53</v>
      </c>
      <c r="E23" s="14" t="n">
        <v>4379.54</v>
      </c>
      <c r="F23" s="14" t="n">
        <v>3796.81</v>
      </c>
      <c r="G23" s="15">
        <f>HYPERLINK("https://www.tradingview.com/chart/?symbol=NSE:RADICO","Chart 📈")</f>
        <v/>
      </c>
    </row>
    <row r="24" ht="16" customHeight="1">
      <c r="A24" s="8" t="inlineStr">
        <is>
          <t>NIFTY FINANCIAL SERVICES</t>
        </is>
      </c>
      <c r="B24" s="17" t="inlineStr">
        <is>
          <t>KOTAKBANK</t>
        </is>
      </c>
      <c r="C24" s="18" t="n">
        <v>440</v>
      </c>
      <c r="D24" s="18" t="n">
        <v>416.98</v>
      </c>
      <c r="E24" s="18" t="n">
        <v>409.67</v>
      </c>
      <c r="F24" s="18" t="n">
        <v>402.94</v>
      </c>
      <c r="G24" s="19">
        <f>HYPERLINK("https://www.tradingview.com/chart/?symbol=NSE:KOTAKBANK","Chart 📈")</f>
        <v/>
      </c>
    </row>
    <row r="25" ht="16" customHeight="1">
      <c r="A25" s="20" t="inlineStr">
        <is>
          <t>NIFTY FINANCIAL SERVICES</t>
        </is>
      </c>
      <c r="B25" s="17" t="inlineStr">
        <is>
          <t>MCX</t>
        </is>
      </c>
      <c r="C25" s="18" t="n">
        <v>3362.6</v>
      </c>
      <c r="D25" s="18" t="n">
        <v>3262.85</v>
      </c>
      <c r="E25" s="18" t="n">
        <v>3163.61</v>
      </c>
      <c r="F25" s="18" t="n">
        <v>2776.67</v>
      </c>
      <c r="G25" s="19">
        <f>HYPERLINK("https://www.tradingview.com/chart/?symbol=NSE:MCX","Chart 📈")</f>
        <v/>
      </c>
    </row>
    <row r="26" ht="16" customHeight="1">
      <c r="A26" s="12" t="inlineStr">
        <is>
          <t>NIFTY CONSUMER DURABLES</t>
        </is>
      </c>
      <c r="B26" s="13" t="inlineStr">
        <is>
          <t>KAJARIACER</t>
        </is>
      </c>
      <c r="C26" s="14" t="n">
        <v>1226.2</v>
      </c>
      <c r="D26" s="14" t="n">
        <v>1215.92</v>
      </c>
      <c r="E26" s="14" t="n">
        <v>1209.03</v>
      </c>
      <c r="F26" s="14" t="n">
        <v>1149.32</v>
      </c>
      <c r="G26" s="15">
        <f>HYPERLINK("https://www.tradingview.com/chart/?symbol=NSE:KAJARIACER","Chart 📈")</f>
        <v/>
      </c>
    </row>
    <row r="27" ht="16" customHeight="1">
      <c r="A27" s="16" t="inlineStr">
        <is>
          <t>NIFTY CONSUMER DURABLES</t>
        </is>
      </c>
      <c r="B27" s="13" t="inlineStr">
        <is>
          <t>KALYANKJIL</t>
        </is>
      </c>
      <c r="C27" s="14" t="n">
        <v>569</v>
      </c>
      <c r="D27" s="14" t="n">
        <v>568.15</v>
      </c>
      <c r="E27" s="14" t="n">
        <v>564.02</v>
      </c>
      <c r="F27" s="14" t="n">
        <v>495.26</v>
      </c>
      <c r="G27" s="15">
        <f>HYPERLINK("https://www.tradingview.com/chart/?symbol=NSE:KALYANKJIL","Chart 📈")</f>
        <v/>
      </c>
    </row>
    <row r="28" ht="16" customHeight="1">
      <c r="A28" s="8" t="inlineStr">
        <is>
          <t>NIFTY METAL</t>
        </is>
      </c>
      <c r="B28" s="17" t="inlineStr">
        <is>
          <t>WELCORP</t>
        </is>
      </c>
      <c r="C28" s="18" t="n">
        <v>2704.6</v>
      </c>
      <c r="D28" s="18" t="n">
        <v>2624.69</v>
      </c>
      <c r="E28" s="18" t="n">
        <v>2373.15</v>
      </c>
      <c r="F28" s="18" t="n">
        <v>1638.18</v>
      </c>
      <c r="G28" s="19">
        <f>HYPERLINK("https://www.tradingview.com/chart/?symbol=NSE:WELCORP","Chart 📈")</f>
        <v/>
      </c>
    </row>
    <row r="29" ht="16" customHeight="1">
      <c r="A29" s="12" t="inlineStr">
        <is>
          <t>NIFTY ENERGY</t>
        </is>
      </c>
      <c r="B29" s="13" t="inlineStr">
        <is>
          <t>ADANIGREEN</t>
        </is>
      </c>
      <c r="C29" s="14" t="n">
        <v>1341.4</v>
      </c>
      <c r="D29" s="14" t="n">
        <v>1293.28</v>
      </c>
      <c r="E29" s="14" t="n">
        <v>1317.61</v>
      </c>
      <c r="F29" s="14" t="n">
        <v>1257.06</v>
      </c>
      <c r="G29" s="15">
        <f>HYPERLINK("https://www.tradingview.com/chart/?symbol=NSE:ADANIGREEN","Chart 📈")</f>
        <v/>
      </c>
    </row>
    <row r="30" ht="16" customHeight="1">
      <c r="A30" s="16" t="inlineStr">
        <is>
          <t>NIFTY ENERGY</t>
        </is>
      </c>
      <c r="B30" s="13" t="inlineStr">
        <is>
          <t>BHEL</t>
        </is>
      </c>
      <c r="C30" s="14" t="n">
        <v>448.5</v>
      </c>
      <c r="D30" s="14" t="n">
        <v>427.21</v>
      </c>
      <c r="E30" s="14" t="n">
        <v>420.65</v>
      </c>
      <c r="F30" s="14" t="n">
        <v>366.63</v>
      </c>
      <c r="G30" s="15">
        <f>HYPERLINK("https://www.tradingview.com/chart/?symbol=NSE:BHEL","Chart 📈")</f>
        <v/>
      </c>
    </row>
    <row r="31" ht="16" customHeight="1">
      <c r="A31" s="16" t="inlineStr">
        <is>
          <t>NIFTY ENERGY</t>
        </is>
      </c>
      <c r="B31" s="13" t="inlineStr">
        <is>
          <t>CGPOWER</t>
        </is>
      </c>
      <c r="C31" s="14" t="n">
        <v>894.5</v>
      </c>
      <c r="D31" s="14" t="n">
        <v>885.6900000000001</v>
      </c>
      <c r="E31" s="14" t="n">
        <v>886.48</v>
      </c>
      <c r="F31" s="14" t="n">
        <v>833.76</v>
      </c>
      <c r="G31" s="15">
        <f>HYPERLINK("https://www.tradingview.com/chart/?symbol=NSE:CGPOWER","Chart 📈")</f>
        <v/>
      </c>
    </row>
    <row r="32" ht="16" customHeight="1">
      <c r="A32" s="16" t="inlineStr">
        <is>
          <t>NIFTY ENERGY</t>
        </is>
      </c>
      <c r="B32" s="13" t="inlineStr">
        <is>
          <t>SCHNEIDER</t>
        </is>
      </c>
      <c r="C32" s="14" t="n">
        <v>1256.2</v>
      </c>
      <c r="D32" s="14" t="n">
        <v>1235.64</v>
      </c>
      <c r="E32" s="14" t="n">
        <v>1246.18</v>
      </c>
      <c r="F32" s="14" t="n">
        <v>1140.87</v>
      </c>
      <c r="G32" s="15">
        <f>HYPERLINK("https://www.tradingview.com/chart/?symbol=NSE:SCHNEIDER","Chart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2026-10-07T17:51:26Z</dcterms:created>
  <dcterms:modified xmlns:dcterms="http://purl.org/dc/terms/" xmlns:xsi="http://www.w3.org/2001/XMLSchema-instance" xsi:type="dcterms:W3CDTF">2026-10-07T17:51:27Z</dcterms:modified>
</cp:coreProperties>
</file>