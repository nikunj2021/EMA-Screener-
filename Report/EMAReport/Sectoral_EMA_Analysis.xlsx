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01-Jun-2026  16:47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7</v>
      </c>
      <c r="D4" s="5" t="n">
        <v>9</v>
      </c>
      <c r="E4" s="5" t="n">
        <v>12</v>
      </c>
      <c r="F4" s="6" t="n">
        <v>0.467</v>
      </c>
      <c r="G4" s="6" t="n">
        <v>0.6</v>
      </c>
      <c r="H4" s="6" t="n">
        <v>0.8</v>
      </c>
      <c r="I4" s="7" t="n">
        <v>0.6223</v>
      </c>
    </row>
    <row r="5" ht="17" customHeight="1">
      <c r="A5" s="8" t="inlineStr">
        <is>
          <t>NIFTY PHARMA</t>
        </is>
      </c>
      <c r="B5" s="9" t="n">
        <v>20</v>
      </c>
      <c r="C5" s="9" t="n">
        <v>6</v>
      </c>
      <c r="D5" s="9" t="n">
        <v>13</v>
      </c>
      <c r="E5" s="9" t="n">
        <v>16</v>
      </c>
      <c r="F5" s="10" t="n">
        <v>0.3</v>
      </c>
      <c r="G5" s="10" t="n">
        <v>0.65</v>
      </c>
      <c r="H5" s="10" t="n">
        <v>0.8</v>
      </c>
      <c r="I5" s="11" t="n">
        <v>0.5832999999999999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14</v>
      </c>
      <c r="D6" s="5" t="n">
        <v>13</v>
      </c>
      <c r="E6" s="5" t="n">
        <v>7</v>
      </c>
      <c r="F6" s="6" t="n">
        <v>0.7</v>
      </c>
      <c r="G6" s="6" t="n">
        <v>0.65</v>
      </c>
      <c r="H6" s="6" t="n">
        <v>0.35</v>
      </c>
      <c r="I6" s="7" t="n">
        <v>0.5667</v>
      </c>
    </row>
    <row r="7" ht="17" customHeight="1">
      <c r="A7" s="8" t="inlineStr">
        <is>
          <t>NIFTY ENERGY</t>
        </is>
      </c>
      <c r="B7" s="9" t="n">
        <v>40</v>
      </c>
      <c r="C7" s="9" t="n">
        <v>13</v>
      </c>
      <c r="D7" s="9" t="n">
        <v>19</v>
      </c>
      <c r="E7" s="9" t="n">
        <v>20</v>
      </c>
      <c r="F7" s="10" t="n">
        <v>0.325</v>
      </c>
      <c r="G7" s="10" t="n">
        <v>0.475</v>
      </c>
      <c r="H7" s="10" t="n">
        <v>0.5</v>
      </c>
      <c r="I7" s="11" t="n">
        <v>0.4333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7</v>
      </c>
      <c r="D8" s="5" t="n">
        <v>8</v>
      </c>
      <c r="E8" s="5" t="n">
        <v>4</v>
      </c>
      <c r="F8" s="6" t="n">
        <v>0.467</v>
      </c>
      <c r="G8" s="6" t="n">
        <v>0.5329999999999999</v>
      </c>
      <c r="H8" s="6" t="n">
        <v>0.267</v>
      </c>
      <c r="I8" s="7" t="n">
        <v>0.4223</v>
      </c>
    </row>
    <row r="9" ht="17" customHeight="1">
      <c r="A9" s="8" t="inlineStr">
        <is>
          <t>NIFTY AUTO</t>
        </is>
      </c>
      <c r="B9" s="9" t="n">
        <v>15</v>
      </c>
      <c r="C9" s="9" t="n">
        <v>6</v>
      </c>
      <c r="D9" s="9" t="n">
        <v>6</v>
      </c>
      <c r="E9" s="9" t="n">
        <v>6</v>
      </c>
      <c r="F9" s="10" t="n">
        <v>0.4</v>
      </c>
      <c r="G9" s="10" t="n">
        <v>0.4</v>
      </c>
      <c r="H9" s="10" t="n">
        <v>0.4</v>
      </c>
      <c r="I9" s="11" t="n">
        <v>0.4</v>
      </c>
    </row>
    <row r="10" ht="17" customHeight="1">
      <c r="A10" s="4" t="inlineStr">
        <is>
          <t>NIFTY REALTY</t>
        </is>
      </c>
      <c r="B10" s="5" t="n">
        <v>10</v>
      </c>
      <c r="C10" s="5" t="n">
        <v>2</v>
      </c>
      <c r="D10" s="5" t="n">
        <v>5</v>
      </c>
      <c r="E10" s="5" t="n">
        <v>3</v>
      </c>
      <c r="F10" s="6" t="n">
        <v>0.2</v>
      </c>
      <c r="G10" s="6" t="n">
        <v>0.5</v>
      </c>
      <c r="H10" s="6" t="n">
        <v>0.3</v>
      </c>
      <c r="I10" s="7" t="n">
        <v>0.3333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4</v>
      </c>
      <c r="E11" s="9" t="n">
        <v>3</v>
      </c>
      <c r="F11" s="10" t="n">
        <v>0.3</v>
      </c>
      <c r="G11" s="10" t="n">
        <v>0.4</v>
      </c>
      <c r="H11" s="10" t="n">
        <v>0.3</v>
      </c>
      <c r="I11" s="11" t="n">
        <v>0.3333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6</v>
      </c>
      <c r="F12" s="6" t="n">
        <v>0.2</v>
      </c>
      <c r="G12" s="6" t="n">
        <v>0.333</v>
      </c>
      <c r="H12" s="6" t="n">
        <v>0.4</v>
      </c>
      <c r="I12" s="7" t="n">
        <v>0.311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2</v>
      </c>
      <c r="D13" s="9" t="n">
        <v>5</v>
      </c>
      <c r="E13" s="9" t="n">
        <v>4</v>
      </c>
      <c r="F13" s="10" t="n">
        <v>0.133</v>
      </c>
      <c r="G13" s="10" t="n">
        <v>0.333</v>
      </c>
      <c r="H13" s="10" t="n">
        <v>0.267</v>
      </c>
      <c r="I13" s="11" t="n">
        <v>0.2443</v>
      </c>
    </row>
    <row r="14" ht="17" customHeight="1">
      <c r="A14" s="4" t="inlineStr">
        <is>
          <t>NIFTY IT</t>
        </is>
      </c>
      <c r="B14" s="5" t="n">
        <v>10</v>
      </c>
      <c r="C14" s="5" t="n">
        <v>4</v>
      </c>
      <c r="D14" s="5" t="n">
        <v>2</v>
      </c>
      <c r="E14" s="5" t="n">
        <v>1</v>
      </c>
      <c r="F14" s="6" t="n">
        <v>0.4</v>
      </c>
      <c r="G14" s="6" t="n">
        <v>0.2</v>
      </c>
      <c r="H14" s="6" t="n">
        <v>0.1</v>
      </c>
      <c r="I14" s="7" t="n">
        <v>0.2333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3</v>
      </c>
      <c r="E15" s="9" t="n">
        <v>3</v>
      </c>
      <c r="F15" s="10" t="n">
        <v>0.167</v>
      </c>
      <c r="G15" s="10" t="n">
        <v>0.25</v>
      </c>
      <c r="H15" s="10" t="n">
        <v>0.25</v>
      </c>
      <c r="I15" s="11" t="n">
        <v>0.2223</v>
      </c>
    </row>
    <row r="16" ht="17" customHeight="1">
      <c r="A16" s="4" t="inlineStr">
        <is>
          <t>NIFTY FINANCIAL SERVICES</t>
        </is>
      </c>
      <c r="B16" s="5" t="n">
        <v>20</v>
      </c>
      <c r="C16" s="5" t="n">
        <v>0</v>
      </c>
      <c r="D16" s="5" t="n">
        <v>0</v>
      </c>
      <c r="E16" s="5" t="n">
        <v>4</v>
      </c>
      <c r="F16" s="6" t="n">
        <v>0</v>
      </c>
      <c r="G16" s="6" t="n">
        <v>0</v>
      </c>
      <c r="H16" s="6" t="n">
        <v>0.2</v>
      </c>
      <c r="I16" s="7" t="n">
        <v>0.0667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1</v>
      </c>
      <c r="E17" s="9" t="n">
        <v>1</v>
      </c>
      <c r="F17" s="10" t="n">
        <v>0</v>
      </c>
      <c r="G17" s="10" t="n">
        <v>0.083</v>
      </c>
      <c r="H17" s="10" t="n">
        <v>0.083</v>
      </c>
      <c r="I17" s="11" t="n">
        <v>0.0553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2909.4</v>
      </c>
      <c r="D3" s="14" t="n">
        <v>2719.98</v>
      </c>
      <c r="E3" s="14" t="n">
        <v>2478.99</v>
      </c>
      <c r="F3" s="14" t="n">
        <v>2338.22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1141.3</v>
      </c>
      <c r="D4" s="14" t="n">
        <v>1090.86</v>
      </c>
      <c r="E4" s="14" t="n">
        <v>1038.8</v>
      </c>
      <c r="F4" s="14" t="n">
        <v>901.71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JSWSTEEL</t>
        </is>
      </c>
      <c r="C5" s="14" t="n">
        <v>1299.4</v>
      </c>
      <c r="D5" s="14" t="n">
        <v>1282.32</v>
      </c>
      <c r="E5" s="14" t="n">
        <v>1254.62</v>
      </c>
      <c r="F5" s="14" t="n">
        <v>1176.38</v>
      </c>
      <c r="G5" s="15">
        <f>HYPERLINK("https://www.tradingview.com/chart/?symbol=NSE:JSWSTEEL","Chart 📈")</f>
        <v/>
      </c>
    </row>
    <row r="6" ht="16" customHeight="1">
      <c r="A6" s="16" t="inlineStr">
        <is>
          <t>NIFTY METAL</t>
        </is>
      </c>
      <c r="B6" s="13" t="inlineStr">
        <is>
          <t>NATIONALUM</t>
        </is>
      </c>
      <c r="C6" s="14" t="n">
        <v>434.2</v>
      </c>
      <c r="D6" s="14" t="n">
        <v>415.08</v>
      </c>
      <c r="E6" s="14" t="n">
        <v>403.82</v>
      </c>
      <c r="F6" s="14" t="n">
        <v>327.31</v>
      </c>
      <c r="G6" s="15">
        <f>HYPERLINK("https://www.tradingview.com/chart/?symbol=NSE:NATIONALUM","Chart 📈")</f>
        <v/>
      </c>
    </row>
    <row r="7" ht="16" customHeight="1">
      <c r="A7" s="16" t="inlineStr">
        <is>
          <t>NIFTY METAL</t>
        </is>
      </c>
      <c r="B7" s="13" t="inlineStr">
        <is>
          <t>NMDC</t>
        </is>
      </c>
      <c r="C7" s="14" t="n">
        <v>92.37</v>
      </c>
      <c r="D7" s="14" t="n">
        <v>89.77</v>
      </c>
      <c r="E7" s="14" t="n">
        <v>87.20999999999999</v>
      </c>
      <c r="F7" s="14" t="n">
        <v>79.62</v>
      </c>
      <c r="G7" s="15">
        <f>HYPERLINK("https://www.tradingview.com/chart/?symbol=NSE:NMDC","Chart 📈")</f>
        <v/>
      </c>
    </row>
    <row r="8" ht="16" customHeight="1">
      <c r="A8" s="16" t="inlineStr">
        <is>
          <t>NIFTY METAL</t>
        </is>
      </c>
      <c r="B8" s="13" t="inlineStr">
        <is>
          <t>SAIL</t>
        </is>
      </c>
      <c r="C8" s="14" t="n">
        <v>203.69</v>
      </c>
      <c r="D8" s="14" t="n">
        <v>195.89</v>
      </c>
      <c r="E8" s="14" t="n">
        <v>182.74</v>
      </c>
      <c r="F8" s="14" t="n">
        <v>156.4</v>
      </c>
      <c r="G8" s="15">
        <f>HYPERLINK("https://www.tradingview.com/chart/?symbol=NSE:SAIL","Chart 📈")</f>
        <v/>
      </c>
    </row>
    <row r="9" ht="16" customHeight="1">
      <c r="A9" s="16" t="inlineStr">
        <is>
          <t>NIFTY METAL</t>
        </is>
      </c>
      <c r="B9" s="13" t="inlineStr">
        <is>
          <t>WELCORP</t>
        </is>
      </c>
      <c r="C9" s="14" t="n">
        <v>1377.6</v>
      </c>
      <c r="D9" s="14" t="n">
        <v>1298.05</v>
      </c>
      <c r="E9" s="14" t="n">
        <v>1164.8</v>
      </c>
      <c r="F9" s="14" t="n">
        <v>964.47</v>
      </c>
      <c r="G9" s="15">
        <f>HYPERLINK("https://www.tradingview.com/chart/?symbol=NSE:WELCORP","Chart 📈")</f>
        <v/>
      </c>
    </row>
    <row r="10" ht="16" customHeight="1">
      <c r="A10" s="8" t="inlineStr">
        <is>
          <t>NIFTY PHARMA</t>
        </is>
      </c>
      <c r="B10" s="17" t="inlineStr">
        <is>
          <t>BIOCON</t>
        </is>
      </c>
      <c r="C10" s="18" t="n">
        <v>425.65</v>
      </c>
      <c r="D10" s="18" t="n">
        <v>413.39</v>
      </c>
      <c r="E10" s="18" t="n">
        <v>393.75</v>
      </c>
      <c r="F10" s="18" t="n">
        <v>376.72</v>
      </c>
      <c r="G10" s="19">
        <f>HYPERLINK("https://www.tradingview.com/chart/?symbol=NSE:BIOCON","Chart 📈")</f>
        <v/>
      </c>
    </row>
    <row r="11" ht="16" customHeight="1">
      <c r="A11" s="20" t="inlineStr">
        <is>
          <t>NIFTY PHARMA</t>
        </is>
      </c>
      <c r="B11" s="17" t="inlineStr">
        <is>
          <t>GLAND</t>
        </is>
      </c>
      <c r="C11" s="18" t="n">
        <v>2292.4</v>
      </c>
      <c r="D11" s="18" t="n">
        <v>2133.19</v>
      </c>
      <c r="E11" s="18" t="n">
        <v>1960.21</v>
      </c>
      <c r="F11" s="18" t="n">
        <v>1824.34</v>
      </c>
      <c r="G11" s="19">
        <f>HYPERLINK("https://www.tradingview.com/chart/?symbol=NSE:GLAND","Chart 📈")</f>
        <v/>
      </c>
    </row>
    <row r="12" ht="16" customHeight="1">
      <c r="A12" s="20" t="inlineStr">
        <is>
          <t>NIFTY PHARMA</t>
        </is>
      </c>
      <c r="B12" s="17" t="inlineStr">
        <is>
          <t>GRANULES</t>
        </is>
      </c>
      <c r="C12" s="18" t="n">
        <v>779</v>
      </c>
      <c r="D12" s="18" t="n">
        <v>748.4</v>
      </c>
      <c r="E12" s="18" t="n">
        <v>701.3099999999999</v>
      </c>
      <c r="F12" s="18" t="n">
        <v>610.39</v>
      </c>
      <c r="G12" s="19">
        <f>HYPERLINK("https://www.tradingview.com/chart/?symbol=NSE:GRANULES","Chart 📈")</f>
        <v/>
      </c>
    </row>
    <row r="13" ht="16" customHeight="1">
      <c r="A13" s="20" t="inlineStr">
        <is>
          <t>NIFTY PHARMA</t>
        </is>
      </c>
      <c r="B13" s="17" t="inlineStr">
        <is>
          <t>LAURUSLABS</t>
        </is>
      </c>
      <c r="C13" s="18" t="n">
        <v>1388.4</v>
      </c>
      <c r="D13" s="18" t="n">
        <v>1301.34</v>
      </c>
      <c r="E13" s="18" t="n">
        <v>1200.85</v>
      </c>
      <c r="F13" s="18" t="n">
        <v>1021.56</v>
      </c>
      <c r="G13" s="19">
        <f>HYPERLINK("https://www.tradingview.com/chart/?symbol=NSE:LAURUSLABS","Chart 📈")</f>
        <v/>
      </c>
    </row>
    <row r="14" ht="16" customHeight="1">
      <c r="A14" s="20" t="inlineStr">
        <is>
          <t>NIFTY PHARMA</t>
        </is>
      </c>
      <c r="B14" s="17" t="inlineStr">
        <is>
          <t>ZYDUSLIFE</t>
        </is>
      </c>
      <c r="C14" s="18" t="n">
        <v>1091.2</v>
      </c>
      <c r="D14" s="18" t="n">
        <v>1016.42</v>
      </c>
      <c r="E14" s="18" t="n">
        <v>966.63</v>
      </c>
      <c r="F14" s="18" t="n">
        <v>939.59</v>
      </c>
      <c r="G14" s="19">
        <f>HYPERLINK("https://www.tradingview.com/chart/?symbol=NSE:ZYDUSLIFE","Chart 📈")</f>
        <v/>
      </c>
    </row>
    <row r="15" ht="16" customHeight="1">
      <c r="A15" s="12" t="inlineStr">
        <is>
          <t>NIFTY MIDSMALL IT &amp; TELECOM</t>
        </is>
      </c>
      <c r="B15" s="13" t="inlineStr">
        <is>
          <t>HFCL</t>
        </is>
      </c>
      <c r="C15" s="14" t="n">
        <v>182.28</v>
      </c>
      <c r="D15" s="14" t="n">
        <v>151.37</v>
      </c>
      <c r="E15" s="14" t="n">
        <v>124.06</v>
      </c>
      <c r="F15" s="14" t="n">
        <v>91.27</v>
      </c>
      <c r="G15" s="15">
        <f>HYPERLINK("https://www.tradingview.com/chart/?symbol=NSE:HFCL","Chart 📈")</f>
        <v/>
      </c>
    </row>
    <row r="16" ht="16" customHeight="1">
      <c r="A16" s="16" t="inlineStr">
        <is>
          <t>NIFTY MIDSMALL IT &amp; TELECOM</t>
        </is>
      </c>
      <c r="B16" s="13" t="inlineStr">
        <is>
          <t>IDEA</t>
        </is>
      </c>
      <c r="C16" s="14" t="n">
        <v>13.95</v>
      </c>
      <c r="D16" s="14" t="n">
        <v>12.98</v>
      </c>
      <c r="E16" s="14" t="n">
        <v>11.67</v>
      </c>
      <c r="F16" s="14" t="n">
        <v>10.09</v>
      </c>
      <c r="G16" s="15">
        <f>HYPERLINK("https://www.tradingview.com/chart/?symbol=NSE:IDEA","Chart 📈")</f>
        <v/>
      </c>
    </row>
    <row r="17" ht="16" customHeight="1">
      <c r="A17" s="16" t="inlineStr">
        <is>
          <t>NIFTY MIDSMALL IT &amp; TELECOM</t>
        </is>
      </c>
      <c r="B17" s="13" t="inlineStr">
        <is>
          <t>INDUSTOWER</t>
        </is>
      </c>
      <c r="C17" s="14" t="n">
        <v>431.45</v>
      </c>
      <c r="D17" s="14" t="n">
        <v>426.55</v>
      </c>
      <c r="E17" s="14" t="n">
        <v>424.82</v>
      </c>
      <c r="F17" s="14" t="n">
        <v>413.29</v>
      </c>
      <c r="G17" s="15">
        <f>HYPERLINK("https://www.tradingview.com/chart/?symbol=NSE:INDUSTOWER","Chart 📈")</f>
        <v/>
      </c>
    </row>
    <row r="18" ht="16" customHeight="1">
      <c r="A18" s="16" t="inlineStr">
        <is>
          <t>NIFTY MIDSMALL IT &amp; TELECOM</t>
        </is>
      </c>
      <c r="B18" s="13" t="inlineStr">
        <is>
          <t>OFSS</t>
        </is>
      </c>
      <c r="C18" s="14" t="n">
        <v>10191</v>
      </c>
      <c r="D18" s="14" t="n">
        <v>9555.040000000001</v>
      </c>
      <c r="E18" s="14" t="n">
        <v>8725.459999999999</v>
      </c>
      <c r="F18" s="14" t="n">
        <v>8002.37</v>
      </c>
      <c r="G18" s="15">
        <f>HYPERLINK("https://www.tradingview.com/chart/?symbol=NSE:OFSS","Chart 📈")</f>
        <v/>
      </c>
    </row>
    <row r="19" ht="16" customHeight="1">
      <c r="A19" s="16" t="inlineStr">
        <is>
          <t>NIFTY MIDSMALL IT &amp; TELECOM</t>
        </is>
      </c>
      <c r="B19" s="13" t="inlineStr">
        <is>
          <t>TATACOMM</t>
        </is>
      </c>
      <c r="C19" s="14" t="n">
        <v>1942.6</v>
      </c>
      <c r="D19" s="14" t="n">
        <v>1783.18</v>
      </c>
      <c r="E19" s="14" t="n">
        <v>1665.49</v>
      </c>
      <c r="F19" s="14" t="n">
        <v>1656.74</v>
      </c>
      <c r="G19" s="15">
        <f>HYPERLINK("https://www.tradingview.com/chart/?symbol=NSE:TATACOMM","Chart 📈")</f>
        <v/>
      </c>
    </row>
    <row r="20" ht="16" customHeight="1">
      <c r="A20" s="16" t="inlineStr">
        <is>
          <t>NIFTY MIDSMALL IT &amp; TELECOM</t>
        </is>
      </c>
      <c r="B20" s="13" t="inlineStr">
        <is>
          <t>TATATECH</t>
        </is>
      </c>
      <c r="C20" s="14" t="n">
        <v>714.8</v>
      </c>
      <c r="D20" s="14" t="n">
        <v>663.85</v>
      </c>
      <c r="E20" s="14" t="n">
        <v>626.46</v>
      </c>
      <c r="F20" s="14" t="n">
        <v>642.6</v>
      </c>
      <c r="G20" s="15">
        <f>HYPERLINK("https://www.tradingview.com/chart/?symbol=NSE:TATATECH","Chart 📈")</f>
        <v/>
      </c>
    </row>
    <row r="21" ht="16" customHeight="1">
      <c r="A21" s="16" t="inlineStr">
        <is>
          <t>NIFTY MIDSMALL IT &amp; TELECOM</t>
        </is>
      </c>
      <c r="B21" s="13" t="inlineStr">
        <is>
          <t>TEJASNET</t>
        </is>
      </c>
      <c r="C21" s="14" t="n">
        <v>526.1</v>
      </c>
      <c r="D21" s="14" t="n">
        <v>476.51</v>
      </c>
      <c r="E21" s="14" t="n">
        <v>451.59</v>
      </c>
      <c r="F21" s="14" t="n">
        <v>483.13</v>
      </c>
      <c r="G21" s="15">
        <f>HYPERLINK("https://www.tradingview.com/chart/?symbol=NSE:TEJASNET","Chart 📈")</f>
        <v/>
      </c>
    </row>
    <row r="22" ht="16" customHeight="1">
      <c r="A22" s="8" t="inlineStr">
        <is>
          <t>NIFTY ENERGY</t>
        </is>
      </c>
      <c r="B22" s="17" t="inlineStr">
        <is>
          <t>ABB</t>
        </is>
      </c>
      <c r="C22" s="18" t="n">
        <v>7027.5</v>
      </c>
      <c r="D22" s="18" t="n">
        <v>6862</v>
      </c>
      <c r="E22" s="18" t="n">
        <v>6674.46</v>
      </c>
      <c r="F22" s="18" t="n">
        <v>5996.96</v>
      </c>
      <c r="G22" s="19">
        <f>HYPERLINK("https://www.tradingview.com/chart/?symbol=NSE:ABB","Chart 📈")</f>
        <v/>
      </c>
    </row>
    <row r="23" ht="16" customHeight="1">
      <c r="A23" s="20" t="inlineStr">
        <is>
          <t>NIFTY ENERGY</t>
        </is>
      </c>
      <c r="B23" s="17" t="inlineStr">
        <is>
          <t>ADANIENSOL</t>
        </is>
      </c>
      <c r="C23" s="18" t="n">
        <v>1496.5</v>
      </c>
      <c r="D23" s="18" t="n">
        <v>1403.03</v>
      </c>
      <c r="E23" s="18" t="n">
        <v>1288.52</v>
      </c>
      <c r="F23" s="18" t="n">
        <v>1071.76</v>
      </c>
      <c r="G23" s="19">
        <f>HYPERLINK("https://www.tradingview.com/chart/?symbol=NSE:ADANIENSOL","Chart 📈")</f>
        <v/>
      </c>
    </row>
    <row r="24" ht="16" customHeight="1">
      <c r="A24" s="20" t="inlineStr">
        <is>
          <t>NIFTY ENERGY</t>
        </is>
      </c>
      <c r="B24" s="17" t="inlineStr">
        <is>
          <t>ADANIGREEN</t>
        </is>
      </c>
      <c r="C24" s="18" t="n">
        <v>1446.9</v>
      </c>
      <c r="D24" s="18" t="n">
        <v>1380.41</v>
      </c>
      <c r="E24" s="18" t="n">
        <v>1242.7</v>
      </c>
      <c r="F24" s="18" t="n">
        <v>1072.08</v>
      </c>
      <c r="G24" s="19">
        <f>HYPERLINK("https://www.tradingview.com/chart/?symbol=NSE:ADANIGREEN","Chart 📈")</f>
        <v/>
      </c>
    </row>
    <row r="25" ht="16" customHeight="1">
      <c r="A25" s="20" t="inlineStr">
        <is>
          <t>NIFTY ENERGY</t>
        </is>
      </c>
      <c r="B25" s="17" t="inlineStr">
        <is>
          <t>ADANIPOWER</t>
        </is>
      </c>
      <c r="C25" s="18" t="n">
        <v>232.3</v>
      </c>
      <c r="D25" s="18" t="n">
        <v>227.61</v>
      </c>
      <c r="E25" s="18" t="n">
        <v>206.26</v>
      </c>
      <c r="F25" s="18" t="n">
        <v>163.85</v>
      </c>
      <c r="G25" s="19">
        <f>HYPERLINK("https://www.tradingview.com/chart/?symbol=NSE:ADANIPOWER","Chart 📈")</f>
        <v/>
      </c>
    </row>
    <row r="26" ht="16" customHeight="1">
      <c r="A26" s="20" t="inlineStr">
        <is>
          <t>NIFTY ENERGY</t>
        </is>
      </c>
      <c r="B26" s="17" t="inlineStr">
        <is>
          <t>BHEL</t>
        </is>
      </c>
      <c r="C26" s="18" t="n">
        <v>404.8</v>
      </c>
      <c r="D26" s="18" t="n">
        <v>398.18</v>
      </c>
      <c r="E26" s="18" t="n">
        <v>357.02</v>
      </c>
      <c r="F26" s="18" t="n">
        <v>294.78</v>
      </c>
      <c r="G26" s="19">
        <f>HYPERLINK("https://www.tradingview.com/chart/?symbol=NSE:BHEL","Chart 📈")</f>
        <v/>
      </c>
    </row>
    <row r="27" ht="16" customHeight="1">
      <c r="A27" s="20" t="inlineStr">
        <is>
          <t>NIFTY ENERGY</t>
        </is>
      </c>
      <c r="B27" s="17" t="inlineStr">
        <is>
          <t>CGPOWER</t>
        </is>
      </c>
      <c r="C27" s="18" t="n">
        <v>894.35</v>
      </c>
      <c r="D27" s="18" t="n">
        <v>864.78</v>
      </c>
      <c r="E27" s="18" t="n">
        <v>810.37</v>
      </c>
      <c r="F27" s="18" t="n">
        <v>729.34</v>
      </c>
      <c r="G27" s="19">
        <f>HYPERLINK("https://www.tradingview.com/chart/?symbol=NSE:CGPOWER","Chart 📈")</f>
        <v/>
      </c>
    </row>
    <row r="28" ht="16" customHeight="1">
      <c r="A28" s="20" t="inlineStr">
        <is>
          <t>NIFTY ENERGY</t>
        </is>
      </c>
      <c r="B28" s="17" t="inlineStr">
        <is>
          <t>COALINDIA</t>
        </is>
      </c>
      <c r="C28" s="18" t="n">
        <v>472.6</v>
      </c>
      <c r="D28" s="18" t="n">
        <v>461.35</v>
      </c>
      <c r="E28" s="18" t="n">
        <v>455.1</v>
      </c>
      <c r="F28" s="18" t="n">
        <v>420.18</v>
      </c>
      <c r="G28" s="19">
        <f>HYPERLINK("https://www.tradingview.com/chart/?symbol=NSE:COALINDIA","Chart 📈")</f>
        <v/>
      </c>
    </row>
    <row r="29" ht="16" customHeight="1">
      <c r="A29" s="20" t="inlineStr">
        <is>
          <t>NIFTY ENERGY</t>
        </is>
      </c>
      <c r="B29" s="17" t="inlineStr">
        <is>
          <t>GVT&amp;D</t>
        </is>
      </c>
      <c r="C29" s="18" t="n">
        <v>4755</v>
      </c>
      <c r="D29" s="18" t="n">
        <v>4696.87</v>
      </c>
      <c r="E29" s="18" t="n">
        <v>4361.64</v>
      </c>
      <c r="F29" s="18" t="n">
        <v>3530.65</v>
      </c>
      <c r="G29" s="19">
        <f>HYPERLINK("https://www.tradingview.com/chart/?symbol=NSE:GVT&amp;D","Chart 📈")</f>
        <v/>
      </c>
    </row>
    <row r="30" ht="16" customHeight="1">
      <c r="A30" s="20" t="inlineStr">
        <is>
          <t>NIFTY ENERGY</t>
        </is>
      </c>
      <c r="B30" s="17" t="inlineStr">
        <is>
          <t>JSWENERGY</t>
        </is>
      </c>
      <c r="C30" s="18" t="n">
        <v>583.45</v>
      </c>
      <c r="D30" s="18" t="n">
        <v>561.3099999999999</v>
      </c>
      <c r="E30" s="18" t="n">
        <v>540.45</v>
      </c>
      <c r="F30" s="18" t="n">
        <v>514.1900000000001</v>
      </c>
      <c r="G30" s="19">
        <f>HYPERLINK("https://www.tradingview.com/chart/?symbol=NSE:JSWENERGY","Chart 📈")</f>
        <v/>
      </c>
    </row>
    <row r="31" ht="16" customHeight="1">
      <c r="A31" s="20" t="inlineStr">
        <is>
          <t>NIFTY ENERGY</t>
        </is>
      </c>
      <c r="B31" s="17" t="inlineStr">
        <is>
          <t>POWERINDIA</t>
        </is>
      </c>
      <c r="C31" s="18" t="n">
        <v>36380</v>
      </c>
      <c r="D31" s="18" t="n">
        <v>34588.18</v>
      </c>
      <c r="E31" s="18" t="n">
        <v>31279.66</v>
      </c>
      <c r="F31" s="18" t="n">
        <v>24514.47</v>
      </c>
      <c r="G31" s="19">
        <f>HYPERLINK("https://www.tradingview.com/chart/?symbol=NSE:POWERINDIA","Chart 📈")</f>
        <v/>
      </c>
    </row>
    <row r="32" ht="16" customHeight="1">
      <c r="A32" s="20" t="inlineStr">
        <is>
          <t>NIFTY ENERGY</t>
        </is>
      </c>
      <c r="B32" s="17" t="inlineStr">
        <is>
          <t>SIEMENS</t>
        </is>
      </c>
      <c r="C32" s="18" t="n">
        <v>3711.3</v>
      </c>
      <c r="D32" s="18" t="n">
        <v>3705.01</v>
      </c>
      <c r="E32" s="18" t="n">
        <v>3575.96</v>
      </c>
      <c r="F32" s="18" t="n">
        <v>3327.24</v>
      </c>
      <c r="G32" s="19">
        <f>HYPERLINK("https://www.tradingview.com/chart/?symbol=NSE:SIEMENS","Chart 📈")</f>
        <v/>
      </c>
    </row>
    <row r="33" ht="16" customHeight="1">
      <c r="A33" s="20" t="inlineStr">
        <is>
          <t>NIFTY ENERGY</t>
        </is>
      </c>
      <c r="B33" s="17" t="inlineStr">
        <is>
          <t>THERMAX</t>
        </is>
      </c>
      <c r="C33" s="18" t="n">
        <v>4992.8</v>
      </c>
      <c r="D33" s="18" t="n">
        <v>4476.85</v>
      </c>
      <c r="E33" s="18" t="n">
        <v>4084.65</v>
      </c>
      <c r="F33" s="18" t="n">
        <v>3507.81</v>
      </c>
      <c r="G33" s="19">
        <f>HYPERLINK("https://www.tradingview.com/chart/?symbol=NSE:THERMAX","Chart 📈")</f>
        <v/>
      </c>
    </row>
    <row r="34" ht="16" customHeight="1">
      <c r="A34" s="20" t="inlineStr">
        <is>
          <t>NIFTY ENERGY</t>
        </is>
      </c>
      <c r="B34" s="17" t="inlineStr">
        <is>
          <t>TRITURBINE</t>
        </is>
      </c>
      <c r="C34" s="18" t="n">
        <v>694.5</v>
      </c>
      <c r="D34" s="18" t="n">
        <v>651.73</v>
      </c>
      <c r="E34" s="18" t="n">
        <v>587.78</v>
      </c>
      <c r="F34" s="18" t="n">
        <v>542.36</v>
      </c>
      <c r="G34" s="19">
        <f>HYPERLINK("https://www.tradingview.com/chart/?symbol=NSE:TRITURBINE","Chart 📈")</f>
        <v/>
      </c>
    </row>
    <row r="35" ht="16" customHeight="1">
      <c r="A35" s="12" t="inlineStr">
        <is>
          <t>NIFTY OIL &amp; GAS</t>
        </is>
      </c>
      <c r="B35" s="13" t="inlineStr">
        <is>
          <t>AEGISLOG</t>
        </is>
      </c>
      <c r="C35" s="14" t="n">
        <v>774.25</v>
      </c>
      <c r="D35" s="14" t="n">
        <v>712.96</v>
      </c>
      <c r="E35" s="14" t="n">
        <v>693.8200000000001</v>
      </c>
      <c r="F35" s="14" t="n">
        <v>712.28</v>
      </c>
      <c r="G35" s="15">
        <f>HYPERLINK("https://www.tradingview.com/chart/?symbol=NSE:AEGISLOG","Chart 📈")</f>
        <v/>
      </c>
    </row>
    <row r="36" ht="16" customHeight="1">
      <c r="A36" s="16" t="inlineStr">
        <is>
          <t>NIFTY OIL &amp; GAS</t>
        </is>
      </c>
      <c r="B36" s="13" t="inlineStr">
        <is>
          <t>ATGL</t>
        </is>
      </c>
      <c r="C36" s="14" t="n">
        <v>733.8</v>
      </c>
      <c r="D36" s="14" t="n">
        <v>680.99</v>
      </c>
      <c r="E36" s="14" t="n">
        <v>630.26</v>
      </c>
      <c r="F36" s="14" t="n">
        <v>603.4299999999999</v>
      </c>
      <c r="G36" s="15">
        <f>HYPERLINK("https://www.tradingview.com/chart/?symbol=NSE:ATGL","Chart 📈")</f>
        <v/>
      </c>
    </row>
    <row r="37" ht="16" customHeight="1">
      <c r="A37" s="8" t="inlineStr">
        <is>
          <t>NIFTY AUTO</t>
        </is>
      </c>
      <c r="B37" s="17" t="inlineStr">
        <is>
          <t>BAJAJ-AUTO</t>
        </is>
      </c>
      <c r="C37" s="18" t="n">
        <v>10376</v>
      </c>
      <c r="D37" s="18" t="n">
        <v>10275.92</v>
      </c>
      <c r="E37" s="18" t="n">
        <v>9924.559999999999</v>
      </c>
      <c r="F37" s="18" t="n">
        <v>9274.780000000001</v>
      </c>
      <c r="G37" s="19">
        <f>HYPERLINK("https://www.tradingview.com/chart/?symbol=NSE:BAJAJ-AUTO","Chart 📈")</f>
        <v/>
      </c>
    </row>
    <row r="38" ht="16" customHeight="1">
      <c r="A38" s="20" t="inlineStr">
        <is>
          <t>NIFTY AUTO</t>
        </is>
      </c>
      <c r="B38" s="17" t="inlineStr">
        <is>
          <t>BHARATFORG</t>
        </is>
      </c>
      <c r="C38" s="18" t="n">
        <v>1922.7</v>
      </c>
      <c r="D38" s="18" t="n">
        <v>1913.05</v>
      </c>
      <c r="E38" s="18" t="n">
        <v>1855.43</v>
      </c>
      <c r="F38" s="18" t="n">
        <v>1601.13</v>
      </c>
      <c r="G38" s="19">
        <f>HYPERLINK("https://www.tradingview.com/chart/?symbol=NSE:BHARATFORG","Chart 📈")</f>
        <v/>
      </c>
    </row>
    <row r="39" ht="16" customHeight="1">
      <c r="A39" s="20" t="inlineStr">
        <is>
          <t>NIFTY AUTO</t>
        </is>
      </c>
      <c r="B39" s="17" t="inlineStr">
        <is>
          <t>BOSCHLTD</t>
        </is>
      </c>
      <c r="C39" s="18" t="n">
        <v>36705</v>
      </c>
      <c r="D39" s="18" t="n">
        <v>36454.68</v>
      </c>
      <c r="E39" s="18" t="n">
        <v>35924.6</v>
      </c>
      <c r="F39" s="18" t="n">
        <v>35589.59</v>
      </c>
      <c r="G39" s="19">
        <f>HYPERLINK("https://www.tradingview.com/chart/?symbol=NSE:BOSCHLTD","Chart 📈")</f>
        <v/>
      </c>
    </row>
    <row r="40" ht="16" customHeight="1">
      <c r="A40" s="20" t="inlineStr">
        <is>
          <t>NIFTY AUTO</t>
        </is>
      </c>
      <c r="B40" s="17" t="inlineStr">
        <is>
          <t>EXIDEIND</t>
        </is>
      </c>
      <c r="C40" s="18" t="n">
        <v>392.25</v>
      </c>
      <c r="D40" s="18" t="n">
        <v>362</v>
      </c>
      <c r="E40" s="18" t="n">
        <v>347.94</v>
      </c>
      <c r="F40" s="18" t="n">
        <v>354.56</v>
      </c>
      <c r="G40" s="19">
        <f>HYPERLINK("https://www.tradingview.com/chart/?symbol=NSE:EXIDEIND","Chart 📈")</f>
        <v/>
      </c>
    </row>
    <row r="41" ht="16" customHeight="1">
      <c r="A41" s="20" t="inlineStr">
        <is>
          <t>NIFTY AUTO</t>
        </is>
      </c>
      <c r="B41" s="17" t="inlineStr">
        <is>
          <t>MOTHERSON</t>
        </is>
      </c>
      <c r="C41" s="18" t="n">
        <v>141.77</v>
      </c>
      <c r="D41" s="18" t="n">
        <v>134.21</v>
      </c>
      <c r="E41" s="18" t="n">
        <v>127.89</v>
      </c>
      <c r="F41" s="18" t="n">
        <v>117.19</v>
      </c>
      <c r="G41" s="19">
        <f>HYPERLINK("https://www.tradingview.com/chart/?symbol=NSE:MOTHERSON","Chart 📈")</f>
        <v/>
      </c>
    </row>
    <row r="42" ht="16" customHeight="1">
      <c r="A42" s="12" t="inlineStr">
        <is>
          <t>NIFTY REALTY</t>
        </is>
      </c>
      <c r="B42" s="13" t="inlineStr">
        <is>
          <t>RAYMOND</t>
        </is>
      </c>
      <c r="C42" s="14" t="n">
        <v>530</v>
      </c>
      <c r="D42" s="14" t="n">
        <v>511.93</v>
      </c>
      <c r="E42" s="14" t="n">
        <v>469.78</v>
      </c>
      <c r="F42" s="14" t="n">
        <v>482</v>
      </c>
      <c r="G42" s="15">
        <f>HYPERLINK("https://www.tradingview.com/chart/?symbol=NSE:RAYMOND","Chart 📈")</f>
        <v/>
      </c>
    </row>
    <row r="43" ht="16" customHeight="1">
      <c r="A43" s="8" t="inlineStr">
        <is>
          <t>NIFTY MEDIA</t>
        </is>
      </c>
      <c r="B43" s="17" t="inlineStr">
        <is>
          <t>SAREGAMA</t>
        </is>
      </c>
      <c r="C43" s="18" t="n">
        <v>459.75</v>
      </c>
      <c r="D43" s="18" t="n">
        <v>394.92</v>
      </c>
      <c r="E43" s="18" t="n">
        <v>370.04</v>
      </c>
      <c r="F43" s="18" t="n">
        <v>391.75</v>
      </c>
      <c r="G43" s="19">
        <f>HYPERLINK("https://www.tradingview.com/chart/?symbol=NSE:SAREGAMA","Chart 📈")</f>
        <v/>
      </c>
    </row>
    <row r="44" ht="16" customHeight="1">
      <c r="A44" s="20" t="inlineStr">
        <is>
          <t>NIFTY MEDIA</t>
        </is>
      </c>
      <c r="B44" s="17" t="inlineStr">
        <is>
          <t>TIPSMUSIC</t>
        </is>
      </c>
      <c r="C44" s="18" t="n">
        <v>655.2</v>
      </c>
      <c r="D44" s="18" t="n">
        <v>650.05</v>
      </c>
      <c r="E44" s="18" t="n">
        <v>617.11</v>
      </c>
      <c r="F44" s="18" t="n">
        <v>578.26</v>
      </c>
      <c r="G44" s="19">
        <f>HYPERLINK("https://www.tradingview.com/chart/?symbol=NSE:TIPSMUSIC","Chart 📈")</f>
        <v/>
      </c>
    </row>
    <row r="45" ht="16" customHeight="1">
      <c r="A45" s="20" t="inlineStr">
        <is>
          <t>NIFTY MEDIA</t>
        </is>
      </c>
      <c r="B45" s="17" t="inlineStr">
        <is>
          <t>ZEEL</t>
        </is>
      </c>
      <c r="C45" s="18" t="n">
        <v>95.79000000000001</v>
      </c>
      <c r="D45" s="18" t="n">
        <v>88.43000000000001</v>
      </c>
      <c r="E45" s="18" t="n">
        <v>86.8</v>
      </c>
      <c r="F45" s="18" t="n">
        <v>95.20999999999999</v>
      </c>
      <c r="G45" s="19">
        <f>HYPERLINK("https://www.tradingview.com/chart/?symbol=NSE:ZEEL","Chart 📈")</f>
        <v/>
      </c>
    </row>
    <row r="46" ht="16" customHeight="1">
      <c r="A46" s="12" t="inlineStr">
        <is>
          <t>NIFTY FMCG</t>
        </is>
      </c>
      <c r="B46" s="13" t="inlineStr">
        <is>
          <t>BALRAMCHIN</t>
        </is>
      </c>
      <c r="C46" s="14" t="n">
        <v>532.9</v>
      </c>
      <c r="D46" s="14" t="n">
        <v>528.83</v>
      </c>
      <c r="E46" s="14" t="n">
        <v>513.9</v>
      </c>
      <c r="F46" s="14" t="n">
        <v>499.66</v>
      </c>
      <c r="G46" s="15">
        <f>HYPERLINK("https://www.tradingview.com/chart/?symbol=NSE:BALRAMCHIN","Chart 📈")</f>
        <v/>
      </c>
    </row>
    <row r="47" ht="16" customHeight="1">
      <c r="A47" s="16" t="inlineStr">
        <is>
          <t>NIFTY FMCG</t>
        </is>
      </c>
      <c r="B47" s="13" t="inlineStr">
        <is>
          <t>RADICO</t>
        </is>
      </c>
      <c r="C47" s="14" t="n">
        <v>3506.1</v>
      </c>
      <c r="D47" s="14" t="n">
        <v>3457.42</v>
      </c>
      <c r="E47" s="14" t="n">
        <v>3260.14</v>
      </c>
      <c r="F47" s="14" t="n">
        <v>3007.12</v>
      </c>
      <c r="G47" s="15">
        <f>HYPERLINK("https://www.tradingview.com/chart/?symbol=NSE:RADICO","Chart 📈")</f>
        <v/>
      </c>
    </row>
    <row r="48" ht="16" customHeight="1">
      <c r="A48" s="16" t="inlineStr">
        <is>
          <t>NIFTY FMCG</t>
        </is>
      </c>
      <c r="B48" s="13" t="inlineStr">
        <is>
          <t>VBL</t>
        </is>
      </c>
      <c r="C48" s="14" t="n">
        <v>525.5</v>
      </c>
      <c r="D48" s="14" t="n">
        <v>515.85</v>
      </c>
      <c r="E48" s="14" t="n">
        <v>491.05</v>
      </c>
      <c r="F48" s="14" t="n">
        <v>472.24</v>
      </c>
      <c r="G48" s="15">
        <f>HYPERLINK("https://www.tradingview.com/chart/?symbol=NSE:VBL","Chart 📈")</f>
        <v/>
      </c>
    </row>
    <row r="49" ht="16" customHeight="1">
      <c r="A49" s="8" t="inlineStr">
        <is>
          <t>NIFTY CONSUMER DURABLES</t>
        </is>
      </c>
      <c r="B49" s="17" t="inlineStr">
        <is>
          <t>KAJARIACER</t>
        </is>
      </c>
      <c r="C49" s="18" t="n">
        <v>1101.7</v>
      </c>
      <c r="D49" s="18" t="n">
        <v>1083.44</v>
      </c>
      <c r="E49" s="18" t="n">
        <v>1071.81</v>
      </c>
      <c r="F49" s="18" t="n">
        <v>1062.03</v>
      </c>
      <c r="G49" s="19">
        <f>HYPERLINK("https://www.tradingview.com/chart/?symbol=NSE:KAJARIACER","Chart 📈")</f>
        <v/>
      </c>
    </row>
    <row r="50" ht="16" customHeight="1">
      <c r="A50" s="12" t="inlineStr">
        <is>
          <t>NIFTY IT</t>
        </is>
      </c>
      <c r="B50" s="13" t="inlineStr">
        <is>
          <t>TECHM</t>
        </is>
      </c>
      <c r="C50" s="14" t="n">
        <v>1543.2</v>
      </c>
      <c r="D50" s="14" t="n">
        <v>1448.55</v>
      </c>
      <c r="E50" s="14" t="n">
        <v>1447.16</v>
      </c>
      <c r="F50" s="14" t="n">
        <v>1485.04</v>
      </c>
      <c r="G50" s="15">
        <f>HYPERLINK("https://www.tradingview.com/chart/?symbol=NSE:TECHM","Chart 📈")</f>
        <v/>
      </c>
    </row>
    <row r="51" ht="16" customHeight="1">
      <c r="A51" s="8" t="inlineStr">
        <is>
          <t>NIFTY BANK</t>
        </is>
      </c>
      <c r="B51" s="17" t="inlineStr">
        <is>
          <t>FEDERALBNK</t>
        </is>
      </c>
      <c r="C51" s="18" t="n">
        <v>288.2</v>
      </c>
      <c r="D51" s="18" t="n">
        <v>287.79</v>
      </c>
      <c r="E51" s="18" t="n">
        <v>285.2</v>
      </c>
      <c r="F51" s="18" t="n">
        <v>260.66</v>
      </c>
      <c r="G51" s="19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2026-06-01T16:47:56Z</dcterms:created>
  <dcterms:modified xsi:type="dcterms:W3CDTF">2026-06-01T16:47:56Z</dcterms:modified>
</cp:coreProperties>
</file>