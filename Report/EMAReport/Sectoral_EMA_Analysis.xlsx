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14-Sep-2026  16:58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5</v>
      </c>
      <c r="D4" s="5" t="n">
        <v>5</v>
      </c>
      <c r="E4" s="5" t="n">
        <v>12</v>
      </c>
      <c r="F4" s="6" t="n">
        <v>0.333</v>
      </c>
      <c r="G4" s="6" t="n">
        <v>0.333</v>
      </c>
      <c r="H4" s="6" t="n">
        <v>0.8</v>
      </c>
      <c r="I4" s="7" t="n">
        <v>0.4887</v>
      </c>
    </row>
    <row r="5" ht="17" customHeight="1">
      <c r="A5" s="8" t="inlineStr">
        <is>
          <t>NIFTY PHARMA</t>
        </is>
      </c>
      <c r="B5" s="9" t="n">
        <v>20</v>
      </c>
      <c r="C5" s="9" t="n">
        <v>9</v>
      </c>
      <c r="D5" s="9" t="n">
        <v>9</v>
      </c>
      <c r="E5" s="9" t="n">
        <v>11</v>
      </c>
      <c r="F5" s="10" t="n">
        <v>0.45</v>
      </c>
      <c r="G5" s="10" t="n">
        <v>0.45</v>
      </c>
      <c r="H5" s="10" t="n">
        <v>0.55</v>
      </c>
      <c r="I5" s="11" t="n">
        <v>0.4833</v>
      </c>
    </row>
    <row r="6" ht="17" customHeight="1">
      <c r="A6" s="4" t="inlineStr">
        <is>
          <t>NIFTY MEDIA</t>
        </is>
      </c>
      <c r="B6" s="5" t="n">
        <v>10</v>
      </c>
      <c r="C6" s="5" t="n">
        <v>5</v>
      </c>
      <c r="D6" s="5" t="n">
        <v>4</v>
      </c>
      <c r="E6" s="5" t="n">
        <v>4</v>
      </c>
      <c r="F6" s="6" t="n">
        <v>0.5</v>
      </c>
      <c r="G6" s="6" t="n">
        <v>0.4</v>
      </c>
      <c r="H6" s="6" t="n">
        <v>0.4</v>
      </c>
      <c r="I6" s="7" t="n">
        <v>0.4333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6</v>
      </c>
      <c r="D7" s="9" t="n">
        <v>9</v>
      </c>
      <c r="E7" s="9" t="n">
        <v>9</v>
      </c>
      <c r="F7" s="10" t="n">
        <v>0.3</v>
      </c>
      <c r="G7" s="10" t="n">
        <v>0.45</v>
      </c>
      <c r="H7" s="10" t="n">
        <v>0.45</v>
      </c>
      <c r="I7" s="11" t="n">
        <v>0.4</v>
      </c>
    </row>
    <row r="8" ht="17" customHeight="1">
      <c r="A8" s="4" t="inlineStr">
        <is>
          <t>NIFTY AUTO</t>
        </is>
      </c>
      <c r="B8" s="5" t="n">
        <v>15</v>
      </c>
      <c r="C8" s="5" t="n">
        <v>2</v>
      </c>
      <c r="D8" s="5" t="n">
        <v>4</v>
      </c>
      <c r="E8" s="5" t="n">
        <v>8</v>
      </c>
      <c r="F8" s="6" t="n">
        <v>0.133</v>
      </c>
      <c r="G8" s="6" t="n">
        <v>0.267</v>
      </c>
      <c r="H8" s="6" t="n">
        <v>0.5329999999999999</v>
      </c>
      <c r="I8" s="7" t="n">
        <v>0.311</v>
      </c>
    </row>
    <row r="9" ht="17" customHeight="1">
      <c r="A9" s="8" t="inlineStr">
        <is>
          <t>NIFTY OIL &amp; GAS</t>
        </is>
      </c>
      <c r="B9" s="9" t="n">
        <v>15</v>
      </c>
      <c r="C9" s="9" t="n">
        <v>4</v>
      </c>
      <c r="D9" s="9" t="n">
        <v>5</v>
      </c>
      <c r="E9" s="9" t="n">
        <v>5</v>
      </c>
      <c r="F9" s="10" t="n">
        <v>0.267</v>
      </c>
      <c r="G9" s="10" t="n">
        <v>0.333</v>
      </c>
      <c r="H9" s="10" t="n">
        <v>0.333</v>
      </c>
      <c r="I9" s="11" t="n">
        <v>0.311</v>
      </c>
    </row>
    <row r="10" ht="17" customHeight="1">
      <c r="A10" s="4" t="inlineStr">
        <is>
          <t>NIFTY FINANCIAL SERVICES</t>
        </is>
      </c>
      <c r="B10" s="5" t="n">
        <v>20</v>
      </c>
      <c r="C10" s="5" t="n">
        <v>4</v>
      </c>
      <c r="D10" s="5" t="n">
        <v>5</v>
      </c>
      <c r="E10" s="5" t="n">
        <v>7</v>
      </c>
      <c r="F10" s="6" t="n">
        <v>0.2</v>
      </c>
      <c r="G10" s="6" t="n">
        <v>0.25</v>
      </c>
      <c r="H10" s="6" t="n">
        <v>0.35</v>
      </c>
      <c r="I10" s="7" t="n">
        <v>0.2667</v>
      </c>
    </row>
    <row r="11" ht="17" customHeight="1">
      <c r="A11" s="8" t="inlineStr">
        <is>
          <t>NIFTY REALTY</t>
        </is>
      </c>
      <c r="B11" s="9" t="n">
        <v>10</v>
      </c>
      <c r="C11" s="9" t="n">
        <v>1</v>
      </c>
      <c r="D11" s="9" t="n">
        <v>2</v>
      </c>
      <c r="E11" s="9" t="n">
        <v>5</v>
      </c>
      <c r="F11" s="10" t="n">
        <v>0.1</v>
      </c>
      <c r="G11" s="10" t="n">
        <v>0.2</v>
      </c>
      <c r="H11" s="10" t="n">
        <v>0.5</v>
      </c>
      <c r="I11" s="11" t="n">
        <v>0.2667</v>
      </c>
    </row>
    <row r="12" ht="17" customHeight="1">
      <c r="A12" s="4" t="inlineStr">
        <is>
          <t>NIFTY CONSUMER DURABLES</t>
        </is>
      </c>
      <c r="B12" s="5" t="n">
        <v>15</v>
      </c>
      <c r="C12" s="5" t="n">
        <v>2</v>
      </c>
      <c r="D12" s="5" t="n">
        <v>5</v>
      </c>
      <c r="E12" s="5" t="n">
        <v>4</v>
      </c>
      <c r="F12" s="6" t="n">
        <v>0.133</v>
      </c>
      <c r="G12" s="6" t="n">
        <v>0.333</v>
      </c>
      <c r="H12" s="6" t="n">
        <v>0.267</v>
      </c>
      <c r="I12" s="7" t="n">
        <v>0.2443</v>
      </c>
    </row>
    <row r="13" ht="17" customHeight="1">
      <c r="A13" s="8" t="inlineStr">
        <is>
          <t>NIFTY PSU BANK</t>
        </is>
      </c>
      <c r="B13" s="9" t="n">
        <v>12</v>
      </c>
      <c r="C13" s="9" t="n">
        <v>2</v>
      </c>
      <c r="D13" s="9" t="n">
        <v>2</v>
      </c>
      <c r="E13" s="9" t="n">
        <v>4</v>
      </c>
      <c r="F13" s="10" t="n">
        <v>0.167</v>
      </c>
      <c r="G13" s="10" t="n">
        <v>0.167</v>
      </c>
      <c r="H13" s="10" t="n">
        <v>0.333</v>
      </c>
      <c r="I13" s="11" t="n">
        <v>0.2223</v>
      </c>
    </row>
    <row r="14" ht="17" customHeight="1">
      <c r="A14" s="4" t="inlineStr">
        <is>
          <t>NIFTY ENERGY</t>
        </is>
      </c>
      <c r="B14" s="5" t="n">
        <v>40</v>
      </c>
      <c r="C14" s="5" t="n">
        <v>10</v>
      </c>
      <c r="D14" s="5" t="n">
        <v>5</v>
      </c>
      <c r="E14" s="5" t="n">
        <v>11</v>
      </c>
      <c r="F14" s="6" t="n">
        <v>0.25</v>
      </c>
      <c r="G14" s="6" t="n">
        <v>0.125</v>
      </c>
      <c r="H14" s="6" t="n">
        <v>0.275</v>
      </c>
      <c r="I14" s="7" t="n">
        <v>0.2167</v>
      </c>
    </row>
    <row r="15" ht="17" customHeight="1">
      <c r="A15" s="8" t="inlineStr">
        <is>
          <t>NIFTY BANK</t>
        </is>
      </c>
      <c r="B15" s="9" t="n">
        <v>12</v>
      </c>
      <c r="C15" s="9" t="n">
        <v>1</v>
      </c>
      <c r="D15" s="9" t="n">
        <v>2</v>
      </c>
      <c r="E15" s="9" t="n">
        <v>4</v>
      </c>
      <c r="F15" s="10" t="n">
        <v>0.083</v>
      </c>
      <c r="G15" s="10" t="n">
        <v>0.167</v>
      </c>
      <c r="H15" s="10" t="n">
        <v>0.333</v>
      </c>
      <c r="I15" s="11" t="n">
        <v>0.1943</v>
      </c>
    </row>
    <row r="16" ht="17" customHeight="1">
      <c r="A16" s="4" t="inlineStr">
        <is>
          <t>NIFTY FMCG</t>
        </is>
      </c>
      <c r="B16" s="5" t="n">
        <v>15</v>
      </c>
      <c r="C16" s="5" t="n">
        <v>1</v>
      </c>
      <c r="D16" s="5" t="n">
        <v>2</v>
      </c>
      <c r="E16" s="5" t="n">
        <v>5</v>
      </c>
      <c r="F16" s="6" t="n">
        <v>0.067</v>
      </c>
      <c r="G16" s="6" t="n">
        <v>0.133</v>
      </c>
      <c r="H16" s="6" t="n">
        <v>0.333</v>
      </c>
      <c r="I16" s="7" t="n">
        <v>0.1777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1</v>
      </c>
      <c r="F17" s="10" t="n">
        <v>0</v>
      </c>
      <c r="G17" s="10" t="n">
        <v>0</v>
      </c>
      <c r="H17" s="10" t="n">
        <v>0.1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ADANIENT</t>
        </is>
      </c>
      <c r="C3" s="14" t="n">
        <v>3060</v>
      </c>
      <c r="D3" s="14" t="n">
        <v>3010.72</v>
      </c>
      <c r="E3" s="14" t="n">
        <v>2996.94</v>
      </c>
      <c r="F3" s="14" t="n">
        <v>2694.41</v>
      </c>
      <c r="G3" s="15">
        <f>HYPERLINK("https://www.tradingview.com/chart/?symbol=NSE:ADANIENT","Chart 📈")</f>
        <v/>
      </c>
    </row>
    <row r="4" ht="16" customHeight="1">
      <c r="A4" s="16" t="inlineStr">
        <is>
          <t>NIFTY METAL</t>
        </is>
      </c>
      <c r="B4" s="13" t="inlineStr">
        <is>
          <t>APLAPOLLO</t>
        </is>
      </c>
      <c r="C4" s="14" t="n">
        <v>2153.5</v>
      </c>
      <c r="D4" s="14" t="n">
        <v>2146.61</v>
      </c>
      <c r="E4" s="14" t="n">
        <v>2044.21</v>
      </c>
      <c r="F4" s="14" t="n">
        <v>1929.12</v>
      </c>
      <c r="G4" s="15">
        <f>HYPERLINK("https://www.tradingview.com/chart/?symbol=NSE:APLAPOLLO","Chart 📈")</f>
        <v/>
      </c>
    </row>
    <row r="5" ht="16" customHeight="1">
      <c r="A5" s="16" t="inlineStr">
        <is>
          <t>NIFTY METAL</t>
        </is>
      </c>
      <c r="B5" s="13" t="inlineStr">
        <is>
          <t>JSL</t>
        </is>
      </c>
      <c r="C5" s="14" t="n">
        <v>756.1</v>
      </c>
      <c r="D5" s="14" t="n">
        <v>734.99</v>
      </c>
      <c r="E5" s="14" t="n">
        <v>726.46</v>
      </c>
      <c r="F5" s="14" t="n">
        <v>735.77</v>
      </c>
      <c r="G5" s="15">
        <f>HYPERLINK("https://www.tradingview.com/chart/?symbol=NSE:JSL","Chart 📈")</f>
        <v/>
      </c>
    </row>
    <row r="6" ht="16" customHeight="1">
      <c r="A6" s="16" t="inlineStr">
        <is>
          <t>NIFTY METAL</t>
        </is>
      </c>
      <c r="B6" s="13" t="inlineStr">
        <is>
          <t>RATNAMANI</t>
        </is>
      </c>
      <c r="C6" s="14" t="n">
        <v>2811.4</v>
      </c>
      <c r="D6" s="14" t="n">
        <v>2638.31</v>
      </c>
      <c r="E6" s="14" t="n">
        <v>2551.92</v>
      </c>
      <c r="F6" s="14" t="n">
        <v>2468.64</v>
      </c>
      <c r="G6" s="15">
        <f>HYPERLINK("https://www.tradingview.com/chart/?symbol=NSE:RATNAMANI","Chart 📈")</f>
        <v/>
      </c>
    </row>
    <row r="7" ht="16" customHeight="1">
      <c r="A7" s="16" t="inlineStr">
        <is>
          <t>NIFTY METAL</t>
        </is>
      </c>
      <c r="B7" s="13" t="inlineStr">
        <is>
          <t>WELCORP</t>
        </is>
      </c>
      <c r="C7" s="14" t="n">
        <v>2676.6</v>
      </c>
      <c r="D7" s="14" t="n">
        <v>2413.21</v>
      </c>
      <c r="E7" s="14" t="n">
        <v>2067.78</v>
      </c>
      <c r="F7" s="14" t="n">
        <v>1441.28</v>
      </c>
      <c r="G7" s="15">
        <f>HYPERLINK("https://www.tradingview.com/chart/?symbol=NSE:WELCORP","Chart 📈")</f>
        <v/>
      </c>
    </row>
    <row r="8" ht="16" customHeight="1">
      <c r="A8" s="8" t="inlineStr">
        <is>
          <t>NIFTY PHARMA</t>
        </is>
      </c>
      <c r="B8" s="17" t="inlineStr">
        <is>
          <t>AUROPHARMA</t>
        </is>
      </c>
      <c r="C8" s="18" t="n">
        <v>1679.8</v>
      </c>
      <c r="D8" s="18" t="n">
        <v>1652.16</v>
      </c>
      <c r="E8" s="18" t="n">
        <v>1607.4</v>
      </c>
      <c r="F8" s="18" t="n">
        <v>1427.32</v>
      </c>
      <c r="G8" s="19">
        <f>HYPERLINK("https://www.tradingview.com/chart/?symbol=NSE:AUROPHARMA","Chart 📈")</f>
        <v/>
      </c>
    </row>
    <row r="9" ht="16" customHeight="1">
      <c r="A9" s="20" t="inlineStr">
        <is>
          <t>NIFTY PHARMA</t>
        </is>
      </c>
      <c r="B9" s="17" t="inlineStr">
        <is>
          <t>DIVISLAB</t>
        </is>
      </c>
      <c r="C9" s="18" t="n">
        <v>9322</v>
      </c>
      <c r="D9" s="18" t="n">
        <v>9045.48</v>
      </c>
      <c r="E9" s="18" t="n">
        <v>8371.34</v>
      </c>
      <c r="F9" s="18" t="n">
        <v>7136.07</v>
      </c>
      <c r="G9" s="19">
        <f>HYPERLINK("https://www.tradingview.com/chart/?symbol=NSE:DIVISLAB","Chart 📈")</f>
        <v/>
      </c>
    </row>
    <row r="10" ht="16" customHeight="1">
      <c r="A10" s="20" t="inlineStr">
        <is>
          <t>NIFTY PHARMA</t>
        </is>
      </c>
      <c r="B10" s="17" t="inlineStr">
        <is>
          <t>GLAND</t>
        </is>
      </c>
      <c r="C10" s="18" t="n">
        <v>2922.3</v>
      </c>
      <c r="D10" s="18" t="n">
        <v>2879.45</v>
      </c>
      <c r="E10" s="18" t="n">
        <v>2702.89</v>
      </c>
      <c r="F10" s="18" t="n">
        <v>2247.88</v>
      </c>
      <c r="G10" s="19">
        <f>HYPERLINK("https://www.tradingview.com/chart/?symbol=NSE:GLAND","Chart 📈")</f>
        <v/>
      </c>
    </row>
    <row r="11" ht="16" customHeight="1">
      <c r="A11" s="20" t="inlineStr">
        <is>
          <t>NIFTY PHARMA</t>
        </is>
      </c>
      <c r="B11" s="17" t="inlineStr">
        <is>
          <t>GLENMARK</t>
        </is>
      </c>
      <c r="C11" s="18" t="n">
        <v>2419.2</v>
      </c>
      <c r="D11" s="18" t="n">
        <v>2407.4</v>
      </c>
      <c r="E11" s="18" t="n">
        <v>2339.77</v>
      </c>
      <c r="F11" s="18" t="n">
        <v>2210.61</v>
      </c>
      <c r="G11" s="19">
        <f>HYPERLINK("https://www.tradingview.com/chart/?symbol=NSE:GLENMARK","Chart 📈")</f>
        <v/>
      </c>
    </row>
    <row r="12" ht="16" customHeight="1">
      <c r="A12" s="20" t="inlineStr">
        <is>
          <t>NIFTY PHARMA</t>
        </is>
      </c>
      <c r="B12" s="17" t="inlineStr">
        <is>
          <t>GRANULES</t>
        </is>
      </c>
      <c r="C12" s="18" t="n">
        <v>909.3</v>
      </c>
      <c r="D12" s="18" t="n">
        <v>863.3099999999999</v>
      </c>
      <c r="E12" s="18" t="n">
        <v>843.62</v>
      </c>
      <c r="F12" s="18" t="n">
        <v>731.16</v>
      </c>
      <c r="G12" s="19">
        <f>HYPERLINK("https://www.tradingview.com/chart/?symbol=NSE:GRANULES","Chart 📈")</f>
        <v/>
      </c>
    </row>
    <row r="13" ht="16" customHeight="1">
      <c r="A13" s="20" t="inlineStr">
        <is>
          <t>NIFTY PHARMA</t>
        </is>
      </c>
      <c r="B13" s="17" t="inlineStr">
        <is>
          <t>IPCALAB</t>
        </is>
      </c>
      <c r="C13" s="18" t="n">
        <v>1968.5</v>
      </c>
      <c r="D13" s="18" t="n">
        <v>1928.01</v>
      </c>
      <c r="E13" s="18" t="n">
        <v>1843.18</v>
      </c>
      <c r="F13" s="18" t="n">
        <v>1630.48</v>
      </c>
      <c r="G13" s="19">
        <f>HYPERLINK("https://www.tradingview.com/chart/?symbol=NSE:IPCALAB","Chart 📈")</f>
        <v/>
      </c>
    </row>
    <row r="14" ht="16" customHeight="1">
      <c r="A14" s="20" t="inlineStr">
        <is>
          <t>NIFTY PHARMA</t>
        </is>
      </c>
      <c r="B14" s="17" t="inlineStr">
        <is>
          <t>LAURUSLABS</t>
        </is>
      </c>
      <c r="C14" s="18" t="n">
        <v>1969</v>
      </c>
      <c r="D14" s="18" t="n">
        <v>1876.92</v>
      </c>
      <c r="E14" s="18" t="n">
        <v>1757.39</v>
      </c>
      <c r="F14" s="18" t="n">
        <v>1384.23</v>
      </c>
      <c r="G14" s="19">
        <f>HYPERLINK("https://www.tradingview.com/chart/?symbol=NSE:LAURUSLABS","Chart 📈")</f>
        <v/>
      </c>
    </row>
    <row r="15" ht="16" customHeight="1">
      <c r="A15" s="20" t="inlineStr">
        <is>
          <t>NIFTY PHARMA</t>
        </is>
      </c>
      <c r="B15" s="17" t="inlineStr">
        <is>
          <t>TORNTPHARM</t>
        </is>
      </c>
      <c r="C15" s="18" t="n">
        <v>4965.5</v>
      </c>
      <c r="D15" s="18" t="n">
        <v>4944.7</v>
      </c>
      <c r="E15" s="18" t="n">
        <v>4880.38</v>
      </c>
      <c r="F15" s="18" t="n">
        <v>4435.5</v>
      </c>
      <c r="G15" s="19">
        <f>HYPERLINK("https://www.tradingview.com/chart/?symbol=NSE:TORNTPHARM","Chart 📈")</f>
        <v/>
      </c>
    </row>
    <row r="16" ht="16" customHeight="1">
      <c r="A16" s="12" t="inlineStr">
        <is>
          <t>NIFTY MEDIA</t>
        </is>
      </c>
      <c r="B16" s="13" t="inlineStr">
        <is>
          <t>NAZARA</t>
        </is>
      </c>
      <c r="C16" s="14" t="n">
        <v>370.3</v>
      </c>
      <c r="D16" s="14" t="n">
        <v>361.88</v>
      </c>
      <c r="E16" s="14" t="n">
        <v>341.46</v>
      </c>
      <c r="F16" s="14" t="n">
        <v>298.46</v>
      </c>
      <c r="G16" s="15">
        <f>HYPERLINK("https://www.tradingview.com/chart/?symbol=NSE:NAZARA","Chart 📈")</f>
        <v/>
      </c>
    </row>
    <row r="17" ht="16" customHeight="1">
      <c r="A17" s="16" t="inlineStr">
        <is>
          <t>NIFTY MEDIA</t>
        </is>
      </c>
      <c r="B17" s="13" t="inlineStr">
        <is>
          <t>PVRINOX</t>
        </is>
      </c>
      <c r="C17" s="14" t="n">
        <v>1237.1</v>
      </c>
      <c r="D17" s="14" t="n">
        <v>1203.84</v>
      </c>
      <c r="E17" s="14" t="n">
        <v>1149.44</v>
      </c>
      <c r="F17" s="14" t="n">
        <v>1071.87</v>
      </c>
      <c r="G17" s="15">
        <f>HYPERLINK("https://www.tradingview.com/chart/?symbol=NSE:PVRINOX","Chart 📈")</f>
        <v/>
      </c>
    </row>
    <row r="18" ht="16" customHeight="1">
      <c r="A18" s="16" t="inlineStr">
        <is>
          <t>NIFTY MEDIA</t>
        </is>
      </c>
      <c r="B18" s="13" t="inlineStr">
        <is>
          <t>SAREGAMA</t>
        </is>
      </c>
      <c r="C18" s="14" t="n">
        <v>505.5</v>
      </c>
      <c r="D18" s="14" t="n">
        <v>501.37</v>
      </c>
      <c r="E18" s="14" t="n">
        <v>494.83</v>
      </c>
      <c r="F18" s="14" t="n">
        <v>443.32</v>
      </c>
      <c r="G18" s="15">
        <f>HYPERLINK("https://www.tradingview.com/chart/?symbol=NSE:SAREGAMA","Chart 📈")</f>
        <v/>
      </c>
    </row>
    <row r="19" ht="16" customHeight="1">
      <c r="A19" s="16" t="inlineStr">
        <is>
          <t>NIFTY MEDIA</t>
        </is>
      </c>
      <c r="B19" s="13" t="inlineStr">
        <is>
          <t>TIPSMUSIC</t>
        </is>
      </c>
      <c r="C19" s="14" t="n">
        <v>661.55</v>
      </c>
      <c r="D19" s="14" t="n">
        <v>653.7</v>
      </c>
      <c r="E19" s="14" t="n">
        <v>657.24</v>
      </c>
      <c r="F19" s="14" t="n">
        <v>619.34</v>
      </c>
      <c r="G19" s="15">
        <f>HYPERLINK("https://www.tradingview.com/chart/?symbol=NSE:TIPSMUSIC","Chart 📈")</f>
        <v/>
      </c>
    </row>
    <row r="20" ht="16" customHeight="1">
      <c r="A20" s="8" t="inlineStr">
        <is>
          <t>NIFTY MIDSMALL IT &amp; TELECOM</t>
        </is>
      </c>
      <c r="B20" s="17" t="inlineStr">
        <is>
          <t>CYIENT</t>
        </is>
      </c>
      <c r="C20" s="18" t="n">
        <v>1059.4</v>
      </c>
      <c r="D20" s="18" t="n">
        <v>1036.87</v>
      </c>
      <c r="E20" s="18" t="n">
        <v>964.48</v>
      </c>
      <c r="F20" s="18" t="n">
        <v>971.47</v>
      </c>
      <c r="G20" s="19">
        <f>HYPERLINK("https://www.tradingview.com/chart/?symbol=NSE:CYIENT","Chart 📈")</f>
        <v/>
      </c>
    </row>
    <row r="21" ht="16" customHeight="1">
      <c r="A21" s="20" t="inlineStr">
        <is>
          <t>NIFTY MIDSMALL IT &amp; TELECOM</t>
        </is>
      </c>
      <c r="B21" s="17" t="inlineStr">
        <is>
          <t>HFCL</t>
        </is>
      </c>
      <c r="C21" s="18" t="n">
        <v>233.69</v>
      </c>
      <c r="D21" s="18" t="n">
        <v>233.38</v>
      </c>
      <c r="E21" s="18" t="n">
        <v>219.07</v>
      </c>
      <c r="F21" s="18" t="n">
        <v>155.58</v>
      </c>
      <c r="G21" s="19">
        <f>HYPERLINK("https://www.tradingview.com/chart/?symbol=NSE:HFCL","Chart 📈")</f>
        <v/>
      </c>
    </row>
    <row r="22" ht="16" customHeight="1">
      <c r="A22" s="20" t="inlineStr">
        <is>
          <t>NIFTY MIDSMALL IT &amp; TELECOM</t>
        </is>
      </c>
      <c r="B22" s="17" t="inlineStr">
        <is>
          <t>IDEA</t>
        </is>
      </c>
      <c r="C22" s="18" t="n">
        <v>14.97</v>
      </c>
      <c r="D22" s="18" t="n">
        <v>14.64</v>
      </c>
      <c r="E22" s="18" t="n">
        <v>14.1</v>
      </c>
      <c r="F22" s="18" t="n">
        <v>12.28</v>
      </c>
      <c r="G22" s="19">
        <f>HYPERLINK("https://www.tradingview.com/chart/?symbol=NSE:IDEA","Chart 📈")</f>
        <v/>
      </c>
    </row>
    <row r="23" ht="16" customHeight="1">
      <c r="A23" s="20" t="inlineStr">
        <is>
          <t>NIFTY MIDSMALL IT &amp; TELECOM</t>
        </is>
      </c>
      <c r="B23" s="17" t="inlineStr">
        <is>
          <t>TATACOMM</t>
        </is>
      </c>
      <c r="C23" s="18" t="n">
        <v>1761.6</v>
      </c>
      <c r="D23" s="18" t="n">
        <v>1733.24</v>
      </c>
      <c r="E23" s="18" t="n">
        <v>1755.31</v>
      </c>
      <c r="F23" s="18" t="n">
        <v>1729.31</v>
      </c>
      <c r="G23" s="19">
        <f>HYPERLINK("https://www.tradingview.com/chart/?symbol=NSE:TATACOMM","Chart 📈")</f>
        <v/>
      </c>
    </row>
    <row r="24" ht="16" customHeight="1">
      <c r="A24" s="20" t="inlineStr">
        <is>
          <t>NIFTY MIDSMALL IT &amp; TELECOM</t>
        </is>
      </c>
      <c r="B24" s="17" t="inlineStr">
        <is>
          <t>TEJASNET</t>
        </is>
      </c>
      <c r="C24" s="18" t="n">
        <v>552.65</v>
      </c>
      <c r="D24" s="18" t="n">
        <v>551.9</v>
      </c>
      <c r="E24" s="18" t="n">
        <v>540.8200000000001</v>
      </c>
      <c r="F24" s="18" t="n">
        <v>512.29</v>
      </c>
      <c r="G24" s="19">
        <f>HYPERLINK("https://www.tradingview.com/chart/?symbol=NSE:TEJASNET","Chart 📈")</f>
        <v/>
      </c>
    </row>
    <row r="25" ht="16" customHeight="1">
      <c r="A25" s="12" t="inlineStr">
        <is>
          <t>NIFTY AUTO</t>
        </is>
      </c>
      <c r="B25" s="13" t="inlineStr">
        <is>
          <t>BOSCHLTD</t>
        </is>
      </c>
      <c r="C25" s="14" t="n">
        <v>48385</v>
      </c>
      <c r="D25" s="14" t="n">
        <v>47657.68</v>
      </c>
      <c r="E25" s="14" t="n">
        <v>45131.15</v>
      </c>
      <c r="F25" s="14" t="n">
        <v>40090.01</v>
      </c>
      <c r="G25" s="15">
        <f>HYPERLINK("https://www.tradingview.com/chart/?symbol=NSE:BOSCHLTD","Chart 📈")</f>
        <v/>
      </c>
    </row>
    <row r="26" ht="16" customHeight="1">
      <c r="A26" s="16" t="inlineStr">
        <is>
          <t>NIFTY AUTO</t>
        </is>
      </c>
      <c r="B26" s="13" t="inlineStr">
        <is>
          <t>MOTHERSON</t>
        </is>
      </c>
      <c r="C26" s="14" t="n">
        <v>164.45</v>
      </c>
      <c r="D26" s="14" t="n">
        <v>163.75</v>
      </c>
      <c r="E26" s="14" t="n">
        <v>158.16</v>
      </c>
      <c r="F26" s="14" t="n">
        <v>137.51</v>
      </c>
      <c r="G26" s="15">
        <f>HYPERLINK("https://www.tradingview.com/chart/?symbol=NSE:MOTHERSON","Chart 📈")</f>
        <v/>
      </c>
    </row>
    <row r="27" ht="16" customHeight="1">
      <c r="A27" s="8" t="inlineStr">
        <is>
          <t>NIFTY OIL &amp; GAS</t>
        </is>
      </c>
      <c r="B27" s="17" t="inlineStr">
        <is>
          <t>AEGISLOG</t>
        </is>
      </c>
      <c r="C27" s="18" t="n">
        <v>1353.6</v>
      </c>
      <c r="D27" s="18" t="n">
        <v>1301.24</v>
      </c>
      <c r="E27" s="18" t="n">
        <v>1254.17</v>
      </c>
      <c r="F27" s="18" t="n">
        <v>984.46</v>
      </c>
      <c r="G27" s="19">
        <f>HYPERLINK("https://www.tradingview.com/chart/?symbol=NSE:AEGISLOG","Chart 📈")</f>
        <v/>
      </c>
    </row>
    <row r="28" ht="16" customHeight="1">
      <c r="A28" s="20" t="inlineStr">
        <is>
          <t>NIFTY OIL &amp; GAS</t>
        </is>
      </c>
      <c r="B28" s="17" t="inlineStr">
        <is>
          <t>CASTROLIND</t>
        </is>
      </c>
      <c r="C28" s="18" t="n">
        <v>188.03</v>
      </c>
      <c r="D28" s="18" t="n">
        <v>187.11</v>
      </c>
      <c r="E28" s="18" t="n">
        <v>184.46</v>
      </c>
      <c r="F28" s="18" t="n">
        <v>180.91</v>
      </c>
      <c r="G28" s="19">
        <f>HYPERLINK("https://www.tradingview.com/chart/?symbol=NSE:CASTROLIND","Chart 📈")</f>
        <v/>
      </c>
    </row>
    <row r="29" ht="16" customHeight="1">
      <c r="A29" s="20" t="inlineStr">
        <is>
          <t>NIFTY OIL &amp; GAS</t>
        </is>
      </c>
      <c r="B29" s="17" t="inlineStr">
        <is>
          <t>OIL</t>
        </is>
      </c>
      <c r="C29" s="18" t="n">
        <v>489.8</v>
      </c>
      <c r="D29" s="18" t="n">
        <v>482.93</v>
      </c>
      <c r="E29" s="18" t="n">
        <v>468.75</v>
      </c>
      <c r="F29" s="18" t="n">
        <v>450.82</v>
      </c>
      <c r="G29" s="19">
        <f>HYPERLINK("https://www.tradingview.com/chart/?symbol=NSE:OIL","Chart 📈")</f>
        <v/>
      </c>
    </row>
    <row r="30" ht="16" customHeight="1">
      <c r="A30" s="12" t="inlineStr">
        <is>
          <t>NIFTY FINANCIAL SERVICES</t>
        </is>
      </c>
      <c r="B30" s="13" t="inlineStr">
        <is>
          <t>KOTAKBANK</t>
        </is>
      </c>
      <c r="C30" s="14" t="n">
        <v>419</v>
      </c>
      <c r="D30" s="14" t="n">
        <v>412.99</v>
      </c>
      <c r="E30" s="14" t="n">
        <v>402.98</v>
      </c>
      <c r="F30" s="14" t="n">
        <v>397.7</v>
      </c>
      <c r="G30" s="15">
        <f>HYPERLINK("https://www.tradingview.com/chart/?symbol=NSE:KOTAKBANK","Chart 📈")</f>
        <v/>
      </c>
    </row>
    <row r="31" ht="16" customHeight="1">
      <c r="A31" s="16" t="inlineStr">
        <is>
          <t>NIFTY FINANCIAL SERVICES</t>
        </is>
      </c>
      <c r="B31" s="13" t="inlineStr">
        <is>
          <t>LICHSGFIN</t>
        </is>
      </c>
      <c r="C31" s="14" t="n">
        <v>562.9</v>
      </c>
      <c r="D31" s="14" t="n">
        <v>535.73</v>
      </c>
      <c r="E31" s="14" t="n">
        <v>527.77</v>
      </c>
      <c r="F31" s="14" t="n">
        <v>530.34</v>
      </c>
      <c r="G31" s="15">
        <f>HYPERLINK("https://www.tradingview.com/chart/?symbol=NSE:LICHSGFIN","Chart 📈")</f>
        <v/>
      </c>
    </row>
    <row r="32" ht="16" customHeight="1">
      <c r="A32" s="16" t="inlineStr">
        <is>
          <t>NIFTY FINANCIAL SERVICES</t>
        </is>
      </c>
      <c r="B32" s="13" t="inlineStr">
        <is>
          <t>MCX</t>
        </is>
      </c>
      <c r="C32" s="14" t="n">
        <v>3276</v>
      </c>
      <c r="D32" s="14" t="n">
        <v>3210.21</v>
      </c>
      <c r="E32" s="14" t="n">
        <v>3050.34</v>
      </c>
      <c r="F32" s="14" t="n">
        <v>2671.39</v>
      </c>
      <c r="G32" s="15">
        <f>HYPERLINK("https://www.tradingview.com/chart/?symbol=NSE:MCX","Chart 📈")</f>
        <v/>
      </c>
    </row>
    <row r="33" ht="16" customHeight="1">
      <c r="A33" s="8" t="inlineStr">
        <is>
          <t>NIFTY REALTY</t>
        </is>
      </c>
      <c r="B33" s="17" t="inlineStr">
        <is>
          <t>RAYMOND</t>
        </is>
      </c>
      <c r="C33" s="18" t="n">
        <v>1002.8</v>
      </c>
      <c r="D33" s="18" t="n">
        <v>729.22</v>
      </c>
      <c r="E33" s="18" t="n">
        <v>657.97</v>
      </c>
      <c r="F33" s="18" t="n">
        <v>558.96</v>
      </c>
      <c r="G33" s="19">
        <f>HYPERLINK("https://www.tradingview.com/chart/?symbol=NSE:RAYMOND","Chart 📈")</f>
        <v/>
      </c>
    </row>
    <row r="34" ht="16" customHeight="1">
      <c r="A34" s="12" t="inlineStr">
        <is>
          <t>NIFTY CONSUMER DURABLES</t>
        </is>
      </c>
      <c r="B34" s="13" t="inlineStr">
        <is>
          <t>KALYANKJIL</t>
        </is>
      </c>
      <c r="C34" s="14" t="n">
        <v>601.15</v>
      </c>
      <c r="D34" s="14" t="n">
        <v>597.73</v>
      </c>
      <c r="E34" s="14" t="n">
        <v>559.89</v>
      </c>
      <c r="F34" s="14" t="n">
        <v>480.96</v>
      </c>
      <c r="G34" s="15">
        <f>HYPERLINK("https://www.tradingview.com/chart/?symbol=NSE:KALYANKJIL","Chart 📈")</f>
        <v/>
      </c>
    </row>
    <row r="35" ht="16" customHeight="1">
      <c r="A35" s="8" t="inlineStr">
        <is>
          <t>NIFTY PSU BANK</t>
        </is>
      </c>
      <c r="B35" s="17" t="inlineStr">
        <is>
          <t>MAHABANK</t>
        </is>
      </c>
      <c r="C35" s="18" t="n">
        <v>84.2</v>
      </c>
      <c r="D35" s="18" t="n">
        <v>83.34999999999999</v>
      </c>
      <c r="E35" s="18" t="n">
        <v>82.29000000000001</v>
      </c>
      <c r="F35" s="18" t="n">
        <v>74.43000000000001</v>
      </c>
      <c r="G35" s="19">
        <f>HYPERLINK("https://www.tradingview.com/chart/?symbol=NSE:MAHABANK","Chart 📈")</f>
        <v/>
      </c>
    </row>
    <row r="36" ht="16" customHeight="1">
      <c r="A36" s="20" t="inlineStr">
        <is>
          <t>NIFTY PSU BANK</t>
        </is>
      </c>
      <c r="B36" s="17" t="inlineStr">
        <is>
          <t>PNB</t>
        </is>
      </c>
      <c r="C36" s="18" t="n">
        <v>116.75</v>
      </c>
      <c r="D36" s="18" t="n">
        <v>115.82</v>
      </c>
      <c r="E36" s="18" t="n">
        <v>113.52</v>
      </c>
      <c r="F36" s="18" t="n">
        <v>111.09</v>
      </c>
      <c r="G36" s="19">
        <f>HYPERLINK("https://www.tradingview.com/chart/?symbol=NSE:PNB","Chart 📈")</f>
        <v/>
      </c>
    </row>
    <row r="37" ht="16" customHeight="1">
      <c r="A37" s="12" t="inlineStr">
        <is>
          <t>NIFTY ENERGY</t>
        </is>
      </c>
      <c r="B37" s="13" t="inlineStr">
        <is>
          <t>BHEL</t>
        </is>
      </c>
      <c r="C37" s="14" t="n">
        <v>431</v>
      </c>
      <c r="D37" s="14" t="n">
        <v>425.18</v>
      </c>
      <c r="E37" s="14" t="n">
        <v>415.05</v>
      </c>
      <c r="F37" s="14" t="n">
        <v>353.7</v>
      </c>
      <c r="G37" s="15">
        <f>HYPERLINK("https://www.tradingview.com/chart/?symbol=NSE:BHEL","Chart 📈")</f>
        <v/>
      </c>
    </row>
    <row r="38" ht="16" customHeight="1">
      <c r="A38" s="16" t="inlineStr">
        <is>
          <t>NIFTY ENERGY</t>
        </is>
      </c>
      <c r="B38" s="13" t="inlineStr">
        <is>
          <t>CGPOWER</t>
        </is>
      </c>
      <c r="C38" s="14" t="n">
        <v>909</v>
      </c>
      <c r="D38" s="14" t="n">
        <v>896.04</v>
      </c>
      <c r="E38" s="14" t="n">
        <v>890.21</v>
      </c>
      <c r="F38" s="14" t="n">
        <v>827.87</v>
      </c>
      <c r="G38" s="15">
        <f>HYPERLINK("https://www.tradingview.com/chart/?symbol=NSE:CGPOWER","Chart 📈")</f>
        <v/>
      </c>
    </row>
    <row r="39" ht="16" customHeight="1">
      <c r="A39" s="16" t="inlineStr">
        <is>
          <t>NIFTY ENERGY</t>
        </is>
      </c>
      <c r="B39" s="13" t="inlineStr">
        <is>
          <t>COALINDIA</t>
        </is>
      </c>
      <c r="C39" s="14" t="n">
        <v>426.4</v>
      </c>
      <c r="D39" s="14" t="n">
        <v>413.29</v>
      </c>
      <c r="E39" s="14" t="n">
        <v>414.3</v>
      </c>
      <c r="F39" s="14" t="n">
        <v>414.49</v>
      </c>
      <c r="G39" s="15">
        <f>HYPERLINK("https://www.tradingview.com/chart/?symbol=NSE:COALINDIA","Chart 📈")</f>
        <v/>
      </c>
    </row>
    <row r="40" ht="16" customHeight="1">
      <c r="A40" s="16" t="inlineStr">
        <is>
          <t>NIFTY ENERGY</t>
        </is>
      </c>
      <c r="B40" s="13" t="inlineStr">
        <is>
          <t>GVT&amp;D</t>
        </is>
      </c>
      <c r="C40" s="14" t="n">
        <v>4548.1</v>
      </c>
      <c r="D40" s="14" t="n">
        <v>4412.3</v>
      </c>
      <c r="E40" s="14" t="n">
        <v>4417.02</v>
      </c>
      <c r="F40" s="14" t="n">
        <v>4075.26</v>
      </c>
      <c r="G40" s="15">
        <f>HYPERLINK("https://www.tradingview.com/chart/?symbol=NSE:GVT&amp;D","Chart 📈")</f>
        <v/>
      </c>
    </row>
    <row r="41" ht="16" customHeight="1">
      <c r="A41" s="8" t="inlineStr">
        <is>
          <t>NIFTY BANK</t>
        </is>
      </c>
      <c r="B41" s="17" t="inlineStr">
        <is>
          <t>IDFCFIRSTB</t>
        </is>
      </c>
      <c r="C41" s="18" t="n">
        <v>86.20999999999999</v>
      </c>
      <c r="D41" s="18" t="n">
        <v>85.64</v>
      </c>
      <c r="E41" s="18" t="n">
        <v>83.42</v>
      </c>
      <c r="F41" s="18" t="n">
        <v>77.69</v>
      </c>
      <c r="G41" s="19">
        <f>HYPERLINK("https://www.tradingview.com/chart/?symbol=NSE:IDFCFIRSTB","Chart 📈")</f>
        <v/>
      </c>
    </row>
    <row r="42" ht="16" customHeight="1">
      <c r="A42" s="12" t="inlineStr">
        <is>
          <t>NIFTY FMCG</t>
        </is>
      </c>
      <c r="B42" s="13" t="inlineStr">
        <is>
          <t>BALRAMCHIN</t>
        </is>
      </c>
      <c r="C42" s="14" t="n">
        <v>691.4</v>
      </c>
      <c r="D42" s="14" t="n">
        <v>681.42</v>
      </c>
      <c r="E42" s="14" t="n">
        <v>644.1</v>
      </c>
      <c r="F42" s="14" t="n">
        <v>557.17</v>
      </c>
      <c r="G42" s="15">
        <f>HYPERLINK("https://www.tradingview.com/chart/?symbol=NSE:BALRAMCHIN","Chart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2026-09-14T16:58:01Z</dcterms:created>
  <dcterms:modified xmlns:dcterms="http://purl.org/dc/terms/" xmlns:xsi="http://www.w3.org/2001/XMLSchema-instance" xsi:type="dcterms:W3CDTF">2026-09-14T16:58:01Z</dcterms:modified>
</cp:coreProperties>
</file>