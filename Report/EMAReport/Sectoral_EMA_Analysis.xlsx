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24-Jul-2026  12:30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8</v>
      </c>
      <c r="D4" s="5" t="n">
        <v>17</v>
      </c>
      <c r="E4" s="5" t="n">
        <v>18</v>
      </c>
      <c r="F4" s="6" t="n">
        <v>0.4</v>
      </c>
      <c r="G4" s="6" t="n">
        <v>0.85</v>
      </c>
      <c r="H4" s="6" t="n">
        <v>0.9</v>
      </c>
      <c r="I4" s="7" t="n">
        <v>0.7167</v>
      </c>
    </row>
    <row r="5" ht="17" customHeight="1">
      <c r="A5" s="8" t="inlineStr">
        <is>
          <t>NIFTY AUTO</t>
        </is>
      </c>
      <c r="B5" s="9" t="n">
        <v>15</v>
      </c>
      <c r="C5" s="9" t="n">
        <v>9</v>
      </c>
      <c r="D5" s="9" t="n">
        <v>10</v>
      </c>
      <c r="E5" s="9" t="n">
        <v>7</v>
      </c>
      <c r="F5" s="10" t="n">
        <v>0.6</v>
      </c>
      <c r="G5" s="10" t="n">
        <v>0.667</v>
      </c>
      <c r="H5" s="10" t="n">
        <v>0.467</v>
      </c>
      <c r="I5" s="11" t="n">
        <v>0.578</v>
      </c>
    </row>
    <row r="6" ht="17" customHeight="1">
      <c r="A6" s="4" t="inlineStr">
        <is>
          <t>NIFTY FMCG</t>
        </is>
      </c>
      <c r="B6" s="5" t="n">
        <v>15</v>
      </c>
      <c r="C6" s="5" t="n">
        <v>11</v>
      </c>
      <c r="D6" s="5" t="n">
        <v>9</v>
      </c>
      <c r="E6" s="5" t="n">
        <v>6</v>
      </c>
      <c r="F6" s="6" t="n">
        <v>0.733</v>
      </c>
      <c r="G6" s="6" t="n">
        <v>0.6</v>
      </c>
      <c r="H6" s="6" t="n">
        <v>0.4</v>
      </c>
      <c r="I6" s="7" t="n">
        <v>0.5777</v>
      </c>
    </row>
    <row r="7" ht="17" customHeight="1">
      <c r="A7" s="8" t="inlineStr">
        <is>
          <t>NIFTY REALTY</t>
        </is>
      </c>
      <c r="B7" s="9" t="n">
        <v>10</v>
      </c>
      <c r="C7" s="9" t="n">
        <v>2</v>
      </c>
      <c r="D7" s="9" t="n">
        <v>8</v>
      </c>
      <c r="E7" s="9" t="n">
        <v>7</v>
      </c>
      <c r="F7" s="10" t="n">
        <v>0.2</v>
      </c>
      <c r="G7" s="10" t="n">
        <v>0.8</v>
      </c>
      <c r="H7" s="10" t="n">
        <v>0.7</v>
      </c>
      <c r="I7" s="11" t="n">
        <v>0.5667</v>
      </c>
    </row>
    <row r="8" ht="17" customHeight="1">
      <c r="A8" s="4" t="inlineStr">
        <is>
          <t>NIFTY MEDIA</t>
        </is>
      </c>
      <c r="B8" s="5" t="n">
        <v>10</v>
      </c>
      <c r="C8" s="5" t="n">
        <v>4</v>
      </c>
      <c r="D8" s="5" t="n">
        <v>5</v>
      </c>
      <c r="E8" s="5" t="n">
        <v>5</v>
      </c>
      <c r="F8" s="6" t="n">
        <v>0.4</v>
      </c>
      <c r="G8" s="6" t="n">
        <v>0.5</v>
      </c>
      <c r="H8" s="6" t="n">
        <v>0.5</v>
      </c>
      <c r="I8" s="7" t="n">
        <v>0.4667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7</v>
      </c>
      <c r="D9" s="9" t="n">
        <v>8</v>
      </c>
      <c r="E9" s="9" t="n">
        <v>6</v>
      </c>
      <c r="F9" s="10" t="n">
        <v>0.467</v>
      </c>
      <c r="G9" s="10" t="n">
        <v>0.5329999999999999</v>
      </c>
      <c r="H9" s="10" t="n">
        <v>0.4</v>
      </c>
      <c r="I9" s="11" t="n">
        <v>0.4667</v>
      </c>
    </row>
    <row r="10" ht="17" customHeight="1">
      <c r="A10" s="4" t="inlineStr">
        <is>
          <t>NIFTY MIDSMALL IT &amp; TELECOM</t>
        </is>
      </c>
      <c r="B10" s="5" t="n">
        <v>20</v>
      </c>
      <c r="C10" s="5" t="n">
        <v>5</v>
      </c>
      <c r="D10" s="5" t="n">
        <v>10</v>
      </c>
      <c r="E10" s="5" t="n">
        <v>7</v>
      </c>
      <c r="F10" s="6" t="n">
        <v>0.25</v>
      </c>
      <c r="G10" s="6" t="n">
        <v>0.5</v>
      </c>
      <c r="H10" s="6" t="n">
        <v>0.35</v>
      </c>
      <c r="I10" s="7" t="n">
        <v>0.3667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5</v>
      </c>
      <c r="D11" s="9" t="n">
        <v>7</v>
      </c>
      <c r="E11" s="9" t="n">
        <v>7</v>
      </c>
      <c r="F11" s="10" t="n">
        <v>0.25</v>
      </c>
      <c r="G11" s="10" t="n">
        <v>0.35</v>
      </c>
      <c r="H11" s="10" t="n">
        <v>0.35</v>
      </c>
      <c r="I11" s="11" t="n">
        <v>0.3167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4</v>
      </c>
      <c r="D12" s="5" t="n">
        <v>5</v>
      </c>
      <c r="E12" s="5" t="n">
        <v>4</v>
      </c>
      <c r="F12" s="6" t="n">
        <v>0.267</v>
      </c>
      <c r="G12" s="6" t="n">
        <v>0.333</v>
      </c>
      <c r="H12" s="6" t="n">
        <v>0.267</v>
      </c>
      <c r="I12" s="7" t="n">
        <v>0.289</v>
      </c>
    </row>
    <row r="13" ht="17" customHeight="1">
      <c r="A13" s="8" t="inlineStr">
        <is>
          <t>NIFTY PSU BANK</t>
        </is>
      </c>
      <c r="B13" s="9" t="n">
        <v>12</v>
      </c>
      <c r="C13" s="9" t="n">
        <v>2</v>
      </c>
      <c r="D13" s="9" t="n">
        <v>2</v>
      </c>
      <c r="E13" s="9" t="n">
        <v>6</v>
      </c>
      <c r="F13" s="10" t="n">
        <v>0.167</v>
      </c>
      <c r="G13" s="10" t="n">
        <v>0.167</v>
      </c>
      <c r="H13" s="10" t="n">
        <v>0.5</v>
      </c>
      <c r="I13" s="11" t="n">
        <v>0.278</v>
      </c>
    </row>
    <row r="14" ht="17" customHeight="1">
      <c r="A14" s="4" t="inlineStr">
        <is>
          <t>NIFTY IT</t>
        </is>
      </c>
      <c r="B14" s="5" t="n">
        <v>10</v>
      </c>
      <c r="C14" s="5" t="n">
        <v>4</v>
      </c>
      <c r="D14" s="5" t="n">
        <v>3</v>
      </c>
      <c r="E14" s="5" t="n">
        <v>1</v>
      </c>
      <c r="F14" s="6" t="n">
        <v>0.4</v>
      </c>
      <c r="G14" s="6" t="n">
        <v>0.3</v>
      </c>
      <c r="H14" s="6" t="n">
        <v>0.1</v>
      </c>
      <c r="I14" s="7" t="n">
        <v>0.2667</v>
      </c>
    </row>
    <row r="15" ht="17" customHeight="1">
      <c r="A15" s="8" t="inlineStr">
        <is>
          <t>NIFTY BANK</t>
        </is>
      </c>
      <c r="B15" s="9" t="n">
        <v>12</v>
      </c>
      <c r="C15" s="9" t="n">
        <v>2</v>
      </c>
      <c r="D15" s="9" t="n">
        <v>3</v>
      </c>
      <c r="E15" s="9" t="n">
        <v>4</v>
      </c>
      <c r="F15" s="10" t="n">
        <v>0.167</v>
      </c>
      <c r="G15" s="10" t="n">
        <v>0.25</v>
      </c>
      <c r="H15" s="10" t="n">
        <v>0.333</v>
      </c>
      <c r="I15" s="11" t="n">
        <v>0.25</v>
      </c>
    </row>
    <row r="16" ht="17" customHeight="1">
      <c r="A16" s="4" t="inlineStr">
        <is>
          <t>NIFTY ENERGY</t>
        </is>
      </c>
      <c r="B16" s="5" t="n">
        <v>40</v>
      </c>
      <c r="C16" s="5" t="n">
        <v>7</v>
      </c>
      <c r="D16" s="5" t="n">
        <v>6</v>
      </c>
      <c r="E16" s="5" t="n">
        <v>17</v>
      </c>
      <c r="F16" s="6" t="n">
        <v>0.175</v>
      </c>
      <c r="G16" s="6" t="n">
        <v>0.15</v>
      </c>
      <c r="H16" s="6" t="n">
        <v>0.425</v>
      </c>
      <c r="I16" s="7" t="n">
        <v>0.25</v>
      </c>
    </row>
    <row r="17" ht="17" customHeight="1">
      <c r="A17" s="8" t="inlineStr">
        <is>
          <t>NIFTY METAL</t>
        </is>
      </c>
      <c r="B17" s="9" t="n">
        <v>15</v>
      </c>
      <c r="C17" s="9" t="n">
        <v>2</v>
      </c>
      <c r="D17" s="9" t="n">
        <v>2</v>
      </c>
      <c r="E17" s="9" t="n">
        <v>7</v>
      </c>
      <c r="F17" s="10" t="n">
        <v>0.133</v>
      </c>
      <c r="G17" s="10" t="n">
        <v>0.133</v>
      </c>
      <c r="H17" s="10" t="n">
        <v>0.467</v>
      </c>
      <c r="I17" s="11" t="n">
        <v>0.2443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28005</v>
      </c>
      <c r="D3" s="14" t="n">
        <v>26926.5</v>
      </c>
      <c r="E3" s="14" t="n">
        <v>26339.6</v>
      </c>
      <c r="F3" s="14" t="n">
        <v>27227.43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5633.5</v>
      </c>
      <c r="D4" s="14" t="n">
        <v>5586.32</v>
      </c>
      <c r="E4" s="14" t="n">
        <v>5516.42</v>
      </c>
      <c r="F4" s="14" t="n">
        <v>5439.72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BIOCON</t>
        </is>
      </c>
      <c r="C5" s="14" t="n">
        <v>433.65</v>
      </c>
      <c r="D5" s="14" t="n">
        <v>427.6</v>
      </c>
      <c r="E5" s="14" t="n">
        <v>417.29</v>
      </c>
      <c r="F5" s="14" t="n">
        <v>395.51</v>
      </c>
      <c r="G5" s="15">
        <f>HYPERLINK("https://www.tradingview.com/chart/?symbol=NSE:BIOCON","Chart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7248.5</v>
      </c>
      <c r="D6" s="14" t="n">
        <v>7046.3</v>
      </c>
      <c r="E6" s="14" t="n">
        <v>6824.59</v>
      </c>
      <c r="F6" s="14" t="n">
        <v>6517.26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JBCHEPHARM</t>
        </is>
      </c>
      <c r="C7" s="14" t="n">
        <v>2408.9</v>
      </c>
      <c r="D7" s="14" t="n">
        <v>2383.66</v>
      </c>
      <c r="E7" s="14" t="n">
        <v>2287.69</v>
      </c>
      <c r="F7" s="14" t="n">
        <v>2040.02</v>
      </c>
      <c r="G7" s="15">
        <f>HYPERLINK("https://www.tradingview.com/chart/?symbol=NSE:JBCHEPHARM","Chart 📈")</f>
        <v/>
      </c>
    </row>
    <row r="8" ht="16" customHeight="1">
      <c r="A8" s="16" t="inlineStr">
        <is>
          <t>NIFTY PHARMA</t>
        </is>
      </c>
      <c r="B8" s="13" t="inlineStr">
        <is>
          <t>LAURUSLABS</t>
        </is>
      </c>
      <c r="C8" s="14" t="n">
        <v>1601.2</v>
      </c>
      <c r="D8" s="14" t="n">
        <v>1533.61</v>
      </c>
      <c r="E8" s="14" t="n">
        <v>1443.03</v>
      </c>
      <c r="F8" s="14" t="n">
        <v>1188.8</v>
      </c>
      <c r="G8" s="15">
        <f>HYPERLINK("https://www.tradingview.com/chart/?symbol=NSE:LAURUSLABS","Chart 📈")</f>
        <v/>
      </c>
    </row>
    <row r="9" ht="16" customHeight="1">
      <c r="A9" s="16" t="inlineStr">
        <is>
          <t>NIFTY PHARMA</t>
        </is>
      </c>
      <c r="B9" s="13" t="inlineStr">
        <is>
          <t>SUNPHARMA</t>
        </is>
      </c>
      <c r="C9" s="14" t="n">
        <v>1941.1</v>
      </c>
      <c r="D9" s="14" t="n">
        <v>1919.74</v>
      </c>
      <c r="E9" s="14" t="n">
        <v>1871.83</v>
      </c>
      <c r="F9" s="14" t="n">
        <v>1775.8</v>
      </c>
      <c r="G9" s="15">
        <f>HYPERLINK("https://www.tradingview.com/chart/?symbol=NSE:SUNPHARMA","Chart 📈")</f>
        <v/>
      </c>
    </row>
    <row r="10" ht="16" customHeight="1">
      <c r="A10" s="16" t="inlineStr">
        <is>
          <t>NIFTY PHARMA</t>
        </is>
      </c>
      <c r="B10" s="13" t="inlineStr">
        <is>
          <t>TORNTPHARM</t>
        </is>
      </c>
      <c r="C10" s="14" t="n">
        <v>4961.5</v>
      </c>
      <c r="D10" s="14" t="n">
        <v>4872.34</v>
      </c>
      <c r="E10" s="14" t="n">
        <v>4672.36</v>
      </c>
      <c r="F10" s="14" t="n">
        <v>4222.09</v>
      </c>
      <c r="G10" s="15">
        <f>HYPERLINK("https://www.tradingview.com/chart/?symbol=NSE:TORNTPHARM","Chart 📈")</f>
        <v/>
      </c>
    </row>
    <row r="11" ht="16" customHeight="1">
      <c r="A11" s="8" t="inlineStr">
        <is>
          <t>NIFTY AUTO</t>
        </is>
      </c>
      <c r="B11" s="17" t="inlineStr">
        <is>
          <t>BAJAJ-AUTO</t>
        </is>
      </c>
      <c r="C11" s="18" t="n">
        <v>11130</v>
      </c>
      <c r="D11" s="18" t="n">
        <v>10444.36</v>
      </c>
      <c r="E11" s="18" t="n">
        <v>10200.2</v>
      </c>
      <c r="F11" s="18" t="n">
        <v>9571.870000000001</v>
      </c>
      <c r="G11" s="19">
        <f>HYPERLINK("https://www.tradingview.com/chart/?symbol=NSE:BAJAJ-AUTO","Chart 📈")</f>
        <v/>
      </c>
    </row>
    <row r="12" ht="16" customHeight="1">
      <c r="A12" s="20" t="inlineStr">
        <is>
          <t>NIFTY AUTO</t>
        </is>
      </c>
      <c r="B12" s="17" t="inlineStr">
        <is>
          <t>BHARATFORG</t>
        </is>
      </c>
      <c r="C12" s="18" t="n">
        <v>2151.6</v>
      </c>
      <c r="D12" s="18" t="n">
        <v>2136.18</v>
      </c>
      <c r="E12" s="18" t="n">
        <v>2054.37</v>
      </c>
      <c r="F12" s="18" t="n">
        <v>1750.46</v>
      </c>
      <c r="G12" s="19">
        <f>HYPERLINK("https://www.tradingview.com/chart/?symbol=NSE:BHARATFORG","Chart 📈")</f>
        <v/>
      </c>
    </row>
    <row r="13" ht="16" customHeight="1">
      <c r="A13" s="20" t="inlineStr">
        <is>
          <t>NIFTY AUTO</t>
        </is>
      </c>
      <c r="B13" s="17" t="inlineStr">
        <is>
          <t>BOSCHLTD</t>
        </is>
      </c>
      <c r="C13" s="18" t="n">
        <v>41755</v>
      </c>
      <c r="D13" s="18" t="n">
        <v>41132.71</v>
      </c>
      <c r="E13" s="18" t="n">
        <v>39708.98</v>
      </c>
      <c r="F13" s="18" t="n">
        <v>37580.02</v>
      </c>
      <c r="G13" s="19">
        <f>HYPERLINK("https://www.tradingview.com/chart/?symbol=NSE:BOSCHLTD","Chart 📈")</f>
        <v/>
      </c>
    </row>
    <row r="14" ht="16" customHeight="1">
      <c r="A14" s="20" t="inlineStr">
        <is>
          <t>NIFTY AUTO</t>
        </is>
      </c>
      <c r="B14" s="17" t="inlineStr">
        <is>
          <t>EICHERMOT</t>
        </is>
      </c>
      <c r="C14" s="18" t="n">
        <v>7628</v>
      </c>
      <c r="D14" s="18" t="n">
        <v>7494.39</v>
      </c>
      <c r="E14" s="18" t="n">
        <v>7389.05</v>
      </c>
      <c r="F14" s="18" t="n">
        <v>7076.34</v>
      </c>
      <c r="G14" s="19">
        <f>HYPERLINK("https://www.tradingview.com/chart/?symbol=NSE:EICHERMOT","Chart 📈")</f>
        <v/>
      </c>
    </row>
    <row r="15" ht="16" customHeight="1">
      <c r="A15" s="20" t="inlineStr">
        <is>
          <t>NIFTY AUTO</t>
        </is>
      </c>
      <c r="B15" s="17" t="inlineStr">
        <is>
          <t>EXIDEIND</t>
        </is>
      </c>
      <c r="C15" s="18" t="n">
        <v>443</v>
      </c>
      <c r="D15" s="18" t="n">
        <v>423.24</v>
      </c>
      <c r="E15" s="18" t="n">
        <v>399.52</v>
      </c>
      <c r="F15" s="18" t="n">
        <v>370.99</v>
      </c>
      <c r="G15" s="19">
        <f>HYPERLINK("https://www.tradingview.com/chart/?symbol=NSE:EXIDEIND","Chart 📈")</f>
        <v/>
      </c>
    </row>
    <row r="16" ht="16" customHeight="1">
      <c r="A16" s="20" t="inlineStr">
        <is>
          <t>NIFTY AUTO</t>
        </is>
      </c>
      <c r="B16" s="17" t="inlineStr">
        <is>
          <t>MOTHERSON</t>
        </is>
      </c>
      <c r="C16" s="18" t="n">
        <v>145.55</v>
      </c>
      <c r="D16" s="18" t="n">
        <v>144.24</v>
      </c>
      <c r="E16" s="18" t="n">
        <v>141.08</v>
      </c>
      <c r="F16" s="18" t="n">
        <v>126.11</v>
      </c>
      <c r="G16" s="19">
        <f>HYPERLINK("https://www.tradingview.com/chart/?symbol=NSE:MOTHERSON","Chart 📈")</f>
        <v/>
      </c>
    </row>
    <row r="17" ht="16" customHeight="1">
      <c r="A17" s="20" t="inlineStr">
        <is>
          <t>NIFTY AUTO</t>
        </is>
      </c>
      <c r="B17" s="17" t="inlineStr">
        <is>
          <t>TVSMOTOR</t>
        </is>
      </c>
      <c r="C17" s="18" t="n">
        <v>3870.2</v>
      </c>
      <c r="D17" s="18" t="n">
        <v>3675.74</v>
      </c>
      <c r="E17" s="18" t="n">
        <v>3584.29</v>
      </c>
      <c r="F17" s="18" t="n">
        <v>3494.06</v>
      </c>
      <c r="G17" s="19">
        <f>HYPERLINK("https://www.tradingview.com/chart/?symbol=NSE:TVSMOTOR","Chart 📈")</f>
        <v/>
      </c>
    </row>
    <row r="18" ht="16" customHeight="1">
      <c r="A18" s="12" t="inlineStr">
        <is>
          <t>NIFTY FMCG</t>
        </is>
      </c>
      <c r="B18" s="13" t="inlineStr">
        <is>
          <t>BALRAMCHIN</t>
        </is>
      </c>
      <c r="C18" s="14" t="n">
        <v>610.15</v>
      </c>
      <c r="D18" s="14" t="n">
        <v>586.97</v>
      </c>
      <c r="E18" s="14" t="n">
        <v>560.51</v>
      </c>
      <c r="F18" s="14" t="n">
        <v>520.4299999999999</v>
      </c>
      <c r="G18" s="15">
        <f>HYPERLINK("https://www.tradingview.com/chart/?symbol=NSE:BALRAMCHIN","Chart 📈")</f>
        <v/>
      </c>
    </row>
    <row r="19" ht="16" customHeight="1">
      <c r="A19" s="16" t="inlineStr">
        <is>
          <t>NIFTY FMCG</t>
        </is>
      </c>
      <c r="B19" s="13" t="inlineStr">
        <is>
          <t>COLPAL</t>
        </is>
      </c>
      <c r="C19" s="14" t="n">
        <v>2086.1</v>
      </c>
      <c r="D19" s="14" t="n">
        <v>2056.67</v>
      </c>
      <c r="E19" s="14" t="n">
        <v>2049.12</v>
      </c>
      <c r="F19" s="14" t="n">
        <v>2083.85</v>
      </c>
      <c r="G19" s="15">
        <f>HYPERLINK("https://www.tradingview.com/chart/?symbol=NSE:COLPAL","Chart 📈")</f>
        <v/>
      </c>
    </row>
    <row r="20" ht="16" customHeight="1">
      <c r="A20" s="16" t="inlineStr">
        <is>
          <t>NIFTY FMCG</t>
        </is>
      </c>
      <c r="B20" s="13" t="inlineStr">
        <is>
          <t>MARICO</t>
        </is>
      </c>
      <c r="C20" s="14" t="n">
        <v>855.6</v>
      </c>
      <c r="D20" s="14" t="n">
        <v>845.9400000000001</v>
      </c>
      <c r="E20" s="14" t="n">
        <v>830.66</v>
      </c>
      <c r="F20" s="14" t="n">
        <v>782.52</v>
      </c>
      <c r="G20" s="15">
        <f>HYPERLINK("https://www.tradingview.com/chart/?symbol=NSE:MARICO","Chart 📈")</f>
        <v/>
      </c>
    </row>
    <row r="21" ht="16" customHeight="1">
      <c r="A21" s="16" t="inlineStr">
        <is>
          <t>NIFTY FMCG</t>
        </is>
      </c>
      <c r="B21" s="13" t="inlineStr">
        <is>
          <t>NESTLEIND</t>
        </is>
      </c>
      <c r="C21" s="14" t="n">
        <v>1443.5</v>
      </c>
      <c r="D21" s="14" t="n">
        <v>1438.31</v>
      </c>
      <c r="E21" s="14" t="n">
        <v>1415.67</v>
      </c>
      <c r="F21" s="14" t="n">
        <v>1323.29</v>
      </c>
      <c r="G21" s="15">
        <f>HYPERLINK("https://www.tradingview.com/chart/?symbol=NSE:NESTLEIND","Chart 📈")</f>
        <v/>
      </c>
    </row>
    <row r="22" ht="16" customHeight="1">
      <c r="A22" s="16" t="inlineStr">
        <is>
          <t>NIFTY FMCG</t>
        </is>
      </c>
      <c r="B22" s="13" t="inlineStr">
        <is>
          <t>RADICO</t>
        </is>
      </c>
      <c r="C22" s="14" t="n">
        <v>4091.3</v>
      </c>
      <c r="D22" s="14" t="n">
        <v>4009.72</v>
      </c>
      <c r="E22" s="14" t="n">
        <v>3784.58</v>
      </c>
      <c r="F22" s="14" t="n">
        <v>3290.33</v>
      </c>
      <c r="G22" s="15">
        <f>HYPERLINK("https://www.tradingview.com/chart/?symbol=NSE:RADICO","Chart 📈")</f>
        <v/>
      </c>
    </row>
    <row r="23" ht="16" customHeight="1">
      <c r="A23" s="16" t="inlineStr">
        <is>
          <t>NIFTY FMCG</t>
        </is>
      </c>
      <c r="B23" s="13" t="inlineStr">
        <is>
          <t>UNITDSPR</t>
        </is>
      </c>
      <c r="C23" s="14" t="n">
        <v>1467.2</v>
      </c>
      <c r="D23" s="14" t="n">
        <v>1385.89</v>
      </c>
      <c r="E23" s="14" t="n">
        <v>1348.95</v>
      </c>
      <c r="F23" s="14" t="n">
        <v>1331.18</v>
      </c>
      <c r="G23" s="15">
        <f>HYPERLINK("https://www.tradingview.com/chart/?symbol=NSE:UNITDSPR","Chart 📈")</f>
        <v/>
      </c>
    </row>
    <row r="24" ht="16" customHeight="1">
      <c r="A24" s="8" t="inlineStr">
        <is>
          <t>NIFTY REALTY</t>
        </is>
      </c>
      <c r="B24" s="17" t="inlineStr">
        <is>
          <t>LODHA</t>
        </is>
      </c>
      <c r="C24" s="18" t="n">
        <v>1144.1</v>
      </c>
      <c r="D24" s="18" t="n">
        <v>1117.01</v>
      </c>
      <c r="E24" s="18" t="n">
        <v>1029.99</v>
      </c>
      <c r="F24" s="18" t="n">
        <v>1024.25</v>
      </c>
      <c r="G24" s="19">
        <f>HYPERLINK("https://www.tradingview.com/chart/?symbol=NSE:LODHA","Chart 📈")</f>
        <v/>
      </c>
    </row>
    <row r="25" ht="16" customHeight="1">
      <c r="A25" s="20" t="inlineStr">
        <is>
          <t>NIFTY REALTY</t>
        </is>
      </c>
      <c r="B25" s="17" t="inlineStr">
        <is>
          <t>MAHLIFE</t>
        </is>
      </c>
      <c r="C25" s="18" t="n">
        <v>374.65</v>
      </c>
      <c r="D25" s="18" t="n">
        <v>368.84</v>
      </c>
      <c r="E25" s="18" t="n">
        <v>356.88</v>
      </c>
      <c r="F25" s="18" t="n">
        <v>355.85</v>
      </c>
      <c r="G25" s="19">
        <f>HYPERLINK("https://www.tradingview.com/chart/?symbol=NSE:MAHLIFE","Chart 📈")</f>
        <v/>
      </c>
    </row>
    <row r="26" ht="16" customHeight="1">
      <c r="A26" s="12" t="inlineStr">
        <is>
          <t>NIFTY MEDIA</t>
        </is>
      </c>
      <c r="B26" s="13" t="inlineStr">
        <is>
          <t>PVRINOX</t>
        </is>
      </c>
      <c r="C26" s="14" t="n">
        <v>1063.95</v>
      </c>
      <c r="D26" s="14" t="n">
        <v>1003.32</v>
      </c>
      <c r="E26" s="14" t="n">
        <v>994.14</v>
      </c>
      <c r="F26" s="14" t="n">
        <v>1011.94</v>
      </c>
      <c r="G26" s="15">
        <f>HYPERLINK("https://www.tradingview.com/chart/?symbol=NSE:PVRINOX","Chart 📈")</f>
        <v/>
      </c>
    </row>
    <row r="27" ht="16" customHeight="1">
      <c r="A27" s="16" t="inlineStr">
        <is>
          <t>NIFTY MEDIA</t>
        </is>
      </c>
      <c r="B27" s="13" t="inlineStr">
        <is>
          <t>SAREGAMA</t>
        </is>
      </c>
      <c r="C27" s="14" t="n">
        <v>496.5</v>
      </c>
      <c r="D27" s="14" t="n">
        <v>486.92</v>
      </c>
      <c r="E27" s="14" t="n">
        <v>458.55</v>
      </c>
      <c r="F27" s="14" t="n">
        <v>416.01</v>
      </c>
      <c r="G27" s="15">
        <f>HYPERLINK("https://www.tradingview.com/chart/?symbol=NSE:SAREGAMA","Chart 📈")</f>
        <v/>
      </c>
    </row>
    <row r="28" ht="16" customHeight="1">
      <c r="A28" s="16" t="inlineStr">
        <is>
          <t>NIFTY MEDIA</t>
        </is>
      </c>
      <c r="B28" s="13" t="inlineStr">
        <is>
          <t>TIPSMUSIC</t>
        </is>
      </c>
      <c r="C28" s="14" t="n">
        <v>699.45</v>
      </c>
      <c r="D28" s="14" t="n">
        <v>677.5599999999999</v>
      </c>
      <c r="E28" s="14" t="n">
        <v>659.8099999999999</v>
      </c>
      <c r="F28" s="14" t="n">
        <v>604.9299999999999</v>
      </c>
      <c r="G28" s="15">
        <f>HYPERLINK("https://www.tradingview.com/chart/?symbol=NSE:TIPSMUSIC","Chart 📈")</f>
        <v/>
      </c>
    </row>
    <row r="29" ht="16" customHeight="1">
      <c r="A29" s="16" t="inlineStr">
        <is>
          <t>NIFTY MEDIA</t>
        </is>
      </c>
      <c r="B29" s="13" t="inlineStr">
        <is>
          <t>ZEEL</t>
        </is>
      </c>
      <c r="C29" s="14" t="n">
        <v>105.46</v>
      </c>
      <c r="D29" s="14" t="n">
        <v>104.84</v>
      </c>
      <c r="E29" s="14" t="n">
        <v>101.92</v>
      </c>
      <c r="F29" s="14" t="n">
        <v>98.67</v>
      </c>
      <c r="G29" s="15">
        <f>HYPERLINK("https://www.tradingview.com/chart/?symbol=NSE:ZEEL","Chart 📈")</f>
        <v/>
      </c>
    </row>
    <row r="30" ht="16" customHeight="1">
      <c r="A30" s="8" t="inlineStr">
        <is>
          <t>NIFTY CONSUMER DURABLES</t>
        </is>
      </c>
      <c r="B30" s="17" t="inlineStr">
        <is>
          <t>CENTURYPLY</t>
        </is>
      </c>
      <c r="C30" s="18" t="n">
        <v>792.2</v>
      </c>
      <c r="D30" s="18" t="n">
        <v>779.42</v>
      </c>
      <c r="E30" s="18" t="n">
        <v>769.7</v>
      </c>
      <c r="F30" s="18" t="n">
        <v>762.59</v>
      </c>
      <c r="G30" s="19">
        <f>HYPERLINK("https://www.tradingview.com/chart/?symbol=NSE:CENTURYPLY","Chart 📈")</f>
        <v/>
      </c>
    </row>
    <row r="31" ht="16" customHeight="1">
      <c r="A31" s="20" t="inlineStr">
        <is>
          <t>NIFTY CONSUMER DURABLES</t>
        </is>
      </c>
      <c r="B31" s="17" t="inlineStr">
        <is>
          <t>DIXON</t>
        </is>
      </c>
      <c r="C31" s="18" t="n">
        <v>13846</v>
      </c>
      <c r="D31" s="18" t="n">
        <v>13441.65</v>
      </c>
      <c r="E31" s="18" t="n">
        <v>12622.29</v>
      </c>
      <c r="F31" s="18" t="n">
        <v>12720.82</v>
      </c>
      <c r="G31" s="19">
        <f>HYPERLINK("https://www.tradingview.com/chart/?symbol=NSE:DIXON","Chart 📈")</f>
        <v/>
      </c>
    </row>
    <row r="32" ht="16" customHeight="1">
      <c r="A32" s="20" t="inlineStr">
        <is>
          <t>NIFTY CONSUMER DURABLES</t>
        </is>
      </c>
      <c r="B32" s="17" t="inlineStr">
        <is>
          <t>KAJARIACER</t>
        </is>
      </c>
      <c r="C32" s="18" t="n">
        <v>1214.9</v>
      </c>
      <c r="D32" s="18" t="n">
        <v>1212.69</v>
      </c>
      <c r="E32" s="18" t="n">
        <v>1170.63</v>
      </c>
      <c r="F32" s="18" t="n">
        <v>1109.35</v>
      </c>
      <c r="G32" s="19">
        <f>HYPERLINK("https://www.tradingview.com/chart/?symbol=NSE:KAJARIACER","Chart 📈")</f>
        <v/>
      </c>
    </row>
    <row r="33" ht="16" customHeight="1">
      <c r="A33" s="20" t="inlineStr">
        <is>
          <t>NIFTY CONSUMER DURABLES</t>
        </is>
      </c>
      <c r="B33" s="17" t="inlineStr">
        <is>
          <t>KALYANKJIL</t>
        </is>
      </c>
      <c r="C33" s="18" t="n">
        <v>573.55</v>
      </c>
      <c r="D33" s="18" t="n">
        <v>501.95</v>
      </c>
      <c r="E33" s="18" t="n">
        <v>442.78</v>
      </c>
      <c r="F33" s="18" t="n">
        <v>443.9</v>
      </c>
      <c r="G33" s="19">
        <f>HYPERLINK("https://www.tradingview.com/chart/?symbol=NSE:KALYANKJIL","Chart 📈")</f>
        <v/>
      </c>
    </row>
    <row r="34" ht="16" customHeight="1">
      <c r="A34" s="20" t="inlineStr">
        <is>
          <t>NIFTY CONSUMER DURABLES</t>
        </is>
      </c>
      <c r="B34" s="17" t="inlineStr">
        <is>
          <t>TITAN</t>
        </is>
      </c>
      <c r="C34" s="18" t="n">
        <v>4677</v>
      </c>
      <c r="D34" s="18" t="n">
        <v>4563.89</v>
      </c>
      <c r="E34" s="18" t="n">
        <v>4420.26</v>
      </c>
      <c r="F34" s="18" t="n">
        <v>4130.9</v>
      </c>
      <c r="G34" s="19">
        <f>HYPERLINK("https://www.tradingview.com/chart/?symbol=NSE:TITAN","Chart 📈")</f>
        <v/>
      </c>
    </row>
    <row r="35" ht="16" customHeight="1">
      <c r="A35" s="12" t="inlineStr">
        <is>
          <t>NIFTY MIDSMALL IT &amp; TELECOM</t>
        </is>
      </c>
      <c r="B35" s="13" t="inlineStr">
        <is>
          <t>COFORGE</t>
        </is>
      </c>
      <c r="C35" s="14" t="n">
        <v>1484.7</v>
      </c>
      <c r="D35" s="14" t="n">
        <v>1483.48</v>
      </c>
      <c r="E35" s="14" t="n">
        <v>1444.17</v>
      </c>
      <c r="F35" s="14" t="n">
        <v>1474.56</v>
      </c>
      <c r="G35" s="15">
        <f>HYPERLINK("https://www.tradingview.com/chart/?symbol=NSE:COFORGE","Chart 📈")</f>
        <v/>
      </c>
    </row>
    <row r="36" ht="16" customHeight="1">
      <c r="A36" s="16" t="inlineStr">
        <is>
          <t>NIFTY MIDSMALL IT &amp; TELECOM</t>
        </is>
      </c>
      <c r="B36" s="13" t="inlineStr">
        <is>
          <t>TANLA</t>
        </is>
      </c>
      <c r="C36" s="14" t="n">
        <v>599.75</v>
      </c>
      <c r="D36" s="14" t="n">
        <v>562.04</v>
      </c>
      <c r="E36" s="14" t="n">
        <v>539.01</v>
      </c>
      <c r="F36" s="14" t="n">
        <v>535.84</v>
      </c>
      <c r="G36" s="15">
        <f>HYPERLINK("https://www.tradingview.com/chart/?symbol=NSE:TANLA","Chart 📈")</f>
        <v/>
      </c>
    </row>
    <row r="37" ht="16" customHeight="1">
      <c r="A37" s="8" t="inlineStr">
        <is>
          <t>NIFTY FINANCIAL SERVICES</t>
        </is>
      </c>
      <c r="B37" s="17" t="inlineStr">
        <is>
          <t>ICICIBANK</t>
        </is>
      </c>
      <c r="C37" s="18" t="n">
        <v>1432.9</v>
      </c>
      <c r="D37" s="18" t="n">
        <v>1411.98</v>
      </c>
      <c r="E37" s="18" t="n">
        <v>1367.97</v>
      </c>
      <c r="F37" s="18" t="n">
        <v>1356.2</v>
      </c>
      <c r="G37" s="19">
        <f>HYPERLINK("https://www.tradingview.com/chart/?symbol=NSE:ICICIBANK","Chart 📈")</f>
        <v/>
      </c>
    </row>
    <row r="38" ht="16" customHeight="1">
      <c r="A38" s="20" t="inlineStr">
        <is>
          <t>NIFTY FINANCIAL SERVICES</t>
        </is>
      </c>
      <c r="B38" s="17" t="inlineStr">
        <is>
          <t>RECLTD</t>
        </is>
      </c>
      <c r="C38" s="18" t="n">
        <v>361.6</v>
      </c>
      <c r="D38" s="18" t="n">
        <v>357.55</v>
      </c>
      <c r="E38" s="18" t="n">
        <v>354.56</v>
      </c>
      <c r="F38" s="18" t="n">
        <v>354.73</v>
      </c>
      <c r="G38" s="19">
        <f>HYPERLINK("https://www.tradingview.com/chart/?symbol=NSE:RECLTD","Chart 📈")</f>
        <v/>
      </c>
    </row>
    <row r="39" ht="16" customHeight="1">
      <c r="A39" s="12" t="inlineStr">
        <is>
          <t>NIFTY OIL &amp; GAS</t>
        </is>
      </c>
      <c r="B39" s="13" t="inlineStr">
        <is>
          <t>AEGISLOG</t>
        </is>
      </c>
      <c r="C39" s="14" t="n">
        <v>1349.6</v>
      </c>
      <c r="D39" s="14" t="n">
        <v>1269.3</v>
      </c>
      <c r="E39" s="14" t="n">
        <v>1094.01</v>
      </c>
      <c r="F39" s="14" t="n">
        <v>846.14</v>
      </c>
      <c r="G39" s="15">
        <f>HYPERLINK("https://www.tradingview.com/chart/?symbol=NSE:AEGISLOG","Chart 📈")</f>
        <v/>
      </c>
    </row>
    <row r="40" ht="16" customHeight="1">
      <c r="A40" s="16" t="inlineStr">
        <is>
          <t>NIFTY OIL &amp; GAS</t>
        </is>
      </c>
      <c r="B40" s="13" t="inlineStr">
        <is>
          <t>OIL</t>
        </is>
      </c>
      <c r="C40" s="14" t="n">
        <v>449.75</v>
      </c>
      <c r="D40" s="14" t="n">
        <v>438.8</v>
      </c>
      <c r="E40" s="14" t="n">
        <v>444.49</v>
      </c>
      <c r="F40" s="14" t="n">
        <v>447.29</v>
      </c>
      <c r="G40" s="15">
        <f>HYPERLINK("https://www.tradingview.com/chart/?symbol=NSE:OIL","Chart 📈")</f>
        <v/>
      </c>
    </row>
    <row r="41" ht="16" customHeight="1">
      <c r="A41" s="8" t="inlineStr">
        <is>
          <t>NIFTY PSU BANK</t>
        </is>
      </c>
      <c r="B41" s="17" t="inlineStr">
        <is>
          <t>PNB</t>
        </is>
      </c>
      <c r="C41" s="18" t="n">
        <v>110.38</v>
      </c>
      <c r="D41" s="18" t="n">
        <v>107.62</v>
      </c>
      <c r="E41" s="18" t="n">
        <v>106.71</v>
      </c>
      <c r="F41" s="18" t="n">
        <v>109.34</v>
      </c>
      <c r="G41" s="19">
        <f>HYPERLINK("https://www.tradingview.com/chart/?symbol=NSE:PNB","Chart 📈")</f>
        <v/>
      </c>
    </row>
    <row r="42" ht="16" customHeight="1">
      <c r="A42" s="20" t="inlineStr">
        <is>
          <t>NIFTY PSU BANK</t>
        </is>
      </c>
      <c r="B42" s="17" t="inlineStr">
        <is>
          <t>UNIONBANK</t>
        </is>
      </c>
      <c r="C42" s="18" t="n">
        <v>170.5</v>
      </c>
      <c r="D42" s="18" t="n">
        <v>168.64</v>
      </c>
      <c r="E42" s="18" t="n">
        <v>167.18</v>
      </c>
      <c r="F42" s="18" t="n">
        <v>161.41</v>
      </c>
      <c r="G42" s="19">
        <f>HYPERLINK("https://www.tradingview.com/chart/?symbol=NSE:UNIONBANK","Chart 📈")</f>
        <v/>
      </c>
    </row>
    <row r="43" ht="16" customHeight="1">
      <c r="A43" s="12" t="inlineStr">
        <is>
          <t>NIFTY IT</t>
        </is>
      </c>
      <c r="B43" s="13" t="inlineStr">
        <is>
          <t>TECHM</t>
        </is>
      </c>
      <c r="C43" s="14" t="n">
        <v>1559.5</v>
      </c>
      <c r="D43" s="14" t="n">
        <v>1497.63</v>
      </c>
      <c r="E43" s="14" t="n">
        <v>1455.69</v>
      </c>
      <c r="F43" s="14" t="n">
        <v>1445.05</v>
      </c>
      <c r="G43" s="15">
        <f>HYPERLINK("https://www.tradingview.com/chart/?symbol=NSE:TECHM","Chart 📈")</f>
        <v/>
      </c>
    </row>
    <row r="44" ht="16" customHeight="1">
      <c r="A44" s="8" t="inlineStr">
        <is>
          <t>NIFTY BANK</t>
        </is>
      </c>
      <c r="B44" s="17" t="inlineStr">
        <is>
          <t>FEDERALBNK</t>
        </is>
      </c>
      <c r="C44" s="18" t="n">
        <v>354.3</v>
      </c>
      <c r="D44" s="18" t="n">
        <v>337.82</v>
      </c>
      <c r="E44" s="18" t="n">
        <v>321.86</v>
      </c>
      <c r="F44" s="18" t="n">
        <v>282.54</v>
      </c>
      <c r="G44" s="19">
        <f>HYPERLINK("https://www.tradingview.com/chart/?symbol=NSE:FEDERALBNK","Chart 📈")</f>
        <v/>
      </c>
    </row>
    <row r="45" ht="16" customHeight="1">
      <c r="A45" s="20" t="inlineStr">
        <is>
          <t>NIFTY BANK</t>
        </is>
      </c>
      <c r="B45" s="17" t="inlineStr">
        <is>
          <t>IDFCFIRSTB</t>
        </is>
      </c>
      <c r="C45" s="18" t="n">
        <v>80.79000000000001</v>
      </c>
      <c r="D45" s="18" t="n">
        <v>79.73</v>
      </c>
      <c r="E45" s="18" t="n">
        <v>77.01000000000001</v>
      </c>
      <c r="F45" s="18" t="n">
        <v>74.70999999999999</v>
      </c>
      <c r="G45" s="19">
        <f>HYPERLINK("https://www.tradingview.com/chart/?symbol=NSE:IDFCFIRSTB","Chart 📈")</f>
        <v/>
      </c>
    </row>
    <row r="46" ht="16" customHeight="1">
      <c r="A46" s="12" t="inlineStr">
        <is>
          <t>NIFTY ENERGY</t>
        </is>
      </c>
      <c r="B46" s="13" t="inlineStr">
        <is>
          <t>ABB</t>
        </is>
      </c>
      <c r="C46" s="14" t="n">
        <v>7375.5</v>
      </c>
      <c r="D46" s="14" t="n">
        <v>7236.51</v>
      </c>
      <c r="E46" s="14" t="n">
        <v>7050.01</v>
      </c>
      <c r="F46" s="14" t="n">
        <v>6335</v>
      </c>
      <c r="G46" s="15">
        <f>HYPERLINK("https://www.tradingview.com/chart/?symbol=NSE:ABB","Chart 📈")</f>
        <v/>
      </c>
    </row>
    <row r="47" ht="16" customHeight="1">
      <c r="A47" s="16" t="inlineStr">
        <is>
          <t>NIFTY ENERGY</t>
        </is>
      </c>
      <c r="B47" s="13" t="inlineStr">
        <is>
          <t>ADANIENSOL</t>
        </is>
      </c>
      <c r="C47" s="14" t="n">
        <v>1702.2</v>
      </c>
      <c r="D47" s="14" t="n">
        <v>1651.48</v>
      </c>
      <c r="E47" s="14" t="n">
        <v>1545.38</v>
      </c>
      <c r="F47" s="14" t="n">
        <v>1236.68</v>
      </c>
      <c r="G47" s="15">
        <f>HYPERLINK("https://www.tradingview.com/chart/?symbol=NSE:ADANIENSOL","Chart 📈")</f>
        <v/>
      </c>
    </row>
    <row r="48" ht="16" customHeight="1">
      <c r="A48" s="16" t="inlineStr">
        <is>
          <t>NIFTY ENERGY</t>
        </is>
      </c>
      <c r="B48" s="13" t="inlineStr">
        <is>
          <t>BHEL</t>
        </is>
      </c>
      <c r="C48" s="14" t="n">
        <v>417.3</v>
      </c>
      <c r="D48" s="14" t="n">
        <v>407.33</v>
      </c>
      <c r="E48" s="14" t="n">
        <v>392.89</v>
      </c>
      <c r="F48" s="14" t="n">
        <v>327.41</v>
      </c>
      <c r="G48" s="15">
        <f>HYPERLINK("https://www.tradingview.com/chart/?symbol=NSE:BHEL","Chart 📈")</f>
        <v/>
      </c>
    </row>
    <row r="49" ht="16" customHeight="1">
      <c r="A49" s="16" t="inlineStr">
        <is>
          <t>NIFTY ENERGY</t>
        </is>
      </c>
      <c r="B49" s="13" t="inlineStr">
        <is>
          <t>NHPC</t>
        </is>
      </c>
      <c r="C49" s="14" t="n">
        <v>79.39</v>
      </c>
      <c r="D49" s="14" t="n">
        <v>79.38</v>
      </c>
      <c r="E49" s="14" t="n">
        <v>78.70999999999999</v>
      </c>
      <c r="F49" s="14" t="n">
        <v>78.90000000000001</v>
      </c>
      <c r="G49" s="15">
        <f>HYPERLINK("https://www.tradingview.com/chart/?symbol=NSE:NHPC","Chart 📈")</f>
        <v/>
      </c>
    </row>
    <row r="50" ht="16" customHeight="1">
      <c r="A50" s="16" t="inlineStr">
        <is>
          <t>NIFTY ENERGY</t>
        </is>
      </c>
      <c r="B50" s="13" t="inlineStr">
        <is>
          <t>SIEMENS</t>
        </is>
      </c>
      <c r="C50" s="14" t="n">
        <v>3689.8</v>
      </c>
      <c r="D50" s="14" t="n">
        <v>3616.91</v>
      </c>
      <c r="E50" s="14" t="n">
        <v>3605.71</v>
      </c>
      <c r="F50" s="14" t="n">
        <v>3411.95</v>
      </c>
      <c r="G50" s="15">
        <f>HYPERLINK("https://www.tradingview.com/chart/?symbol=NSE:SIEMENS","Chart 📈")</f>
        <v/>
      </c>
    </row>
    <row r="51" ht="16" customHeight="1">
      <c r="A51" s="8" t="inlineStr">
        <is>
          <t>NIFTY METAL</t>
        </is>
      </c>
      <c r="B51" s="17" t="inlineStr">
        <is>
          <t>WELCORP</t>
        </is>
      </c>
      <c r="C51" s="18" t="n">
        <v>1596.9</v>
      </c>
      <c r="D51" s="18" t="n">
        <v>1573.41</v>
      </c>
      <c r="E51" s="18" t="n">
        <v>1456.01</v>
      </c>
      <c r="F51" s="18" t="n">
        <v>1135.96</v>
      </c>
      <c r="G51" s="19">
        <f>HYPERLINK("https://www.tradingview.com/chart/?symbol=NSE:WELCORP","Chart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2026-07-24T12:30:49Z</dcterms:created>
  <dcterms:modified xsi:type="dcterms:W3CDTF">2026-07-24T12:30:49Z</dcterms:modified>
</cp:coreProperties>
</file>