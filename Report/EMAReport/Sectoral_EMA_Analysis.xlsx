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10-Jun-2026  14:32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10</v>
      </c>
      <c r="D4" s="5" t="n">
        <v>13</v>
      </c>
      <c r="E4" s="5" t="n">
        <v>15</v>
      </c>
      <c r="F4" s="6" t="n">
        <v>0.5</v>
      </c>
      <c r="G4" s="6" t="n">
        <v>0.65</v>
      </c>
      <c r="H4" s="6" t="n">
        <v>0.75</v>
      </c>
      <c r="I4" s="7" t="n">
        <v>0.6333</v>
      </c>
    </row>
    <row r="5" ht="17" customHeight="1">
      <c r="A5" s="8" t="inlineStr">
        <is>
          <t>NIFTY PSU BANK</t>
        </is>
      </c>
      <c r="B5" s="9" t="n">
        <v>12</v>
      </c>
      <c r="C5" s="9" t="n">
        <v>9</v>
      </c>
      <c r="D5" s="9" t="n">
        <v>4</v>
      </c>
      <c r="E5" s="9" t="n">
        <v>6</v>
      </c>
      <c r="F5" s="10" t="n">
        <v>0.75</v>
      </c>
      <c r="G5" s="10" t="n">
        <v>0.333</v>
      </c>
      <c r="H5" s="10" t="n">
        <v>0.5</v>
      </c>
      <c r="I5" s="11" t="n">
        <v>0.5277000000000001</v>
      </c>
    </row>
    <row r="6" ht="17" customHeight="1">
      <c r="A6" s="4" t="inlineStr">
        <is>
          <t>NIFTY AUTO</t>
        </is>
      </c>
      <c r="B6" s="5" t="n">
        <v>15</v>
      </c>
      <c r="C6" s="5" t="n">
        <v>6</v>
      </c>
      <c r="D6" s="5" t="n">
        <v>7</v>
      </c>
      <c r="E6" s="5" t="n">
        <v>6</v>
      </c>
      <c r="F6" s="6" t="n">
        <v>0.4</v>
      </c>
      <c r="G6" s="6" t="n">
        <v>0.467</v>
      </c>
      <c r="H6" s="6" t="n">
        <v>0.4</v>
      </c>
      <c r="I6" s="7" t="n">
        <v>0.4223</v>
      </c>
    </row>
    <row r="7" ht="17" customHeight="1">
      <c r="A7" s="8" t="inlineStr">
        <is>
          <t>NIFTY FMCG</t>
        </is>
      </c>
      <c r="B7" s="9" t="n">
        <v>15</v>
      </c>
      <c r="C7" s="9" t="n">
        <v>8</v>
      </c>
      <c r="D7" s="9" t="n">
        <v>6</v>
      </c>
      <c r="E7" s="9" t="n">
        <v>5</v>
      </c>
      <c r="F7" s="10" t="n">
        <v>0.5329999999999999</v>
      </c>
      <c r="G7" s="10" t="n">
        <v>0.4</v>
      </c>
      <c r="H7" s="10" t="n">
        <v>0.333</v>
      </c>
      <c r="I7" s="11" t="n">
        <v>0.422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8</v>
      </c>
      <c r="D8" s="5" t="n">
        <v>10</v>
      </c>
      <c r="E8" s="5" t="n">
        <v>6</v>
      </c>
      <c r="F8" s="6" t="n">
        <v>0.4</v>
      </c>
      <c r="G8" s="6" t="n">
        <v>0.5</v>
      </c>
      <c r="H8" s="6" t="n">
        <v>0.3</v>
      </c>
      <c r="I8" s="7" t="n">
        <v>0.4</v>
      </c>
    </row>
    <row r="9" ht="17" customHeight="1">
      <c r="A9" s="8" t="inlineStr">
        <is>
          <t>NIFTY MEDIA</t>
        </is>
      </c>
      <c r="B9" s="9" t="n">
        <v>10</v>
      </c>
      <c r="C9" s="9" t="n">
        <v>3</v>
      </c>
      <c r="D9" s="9" t="n">
        <v>4</v>
      </c>
      <c r="E9" s="9" t="n">
        <v>4</v>
      </c>
      <c r="F9" s="10" t="n">
        <v>0.3</v>
      </c>
      <c r="G9" s="10" t="n">
        <v>0.4</v>
      </c>
      <c r="H9" s="10" t="n">
        <v>0.4</v>
      </c>
      <c r="I9" s="11" t="n">
        <v>0.3667</v>
      </c>
    </row>
    <row r="10" ht="17" customHeight="1">
      <c r="A10" s="4" t="inlineStr">
        <is>
          <t>NIFTY METAL</t>
        </is>
      </c>
      <c r="B10" s="5" t="n">
        <v>15</v>
      </c>
      <c r="C10" s="5" t="n">
        <v>2</v>
      </c>
      <c r="D10" s="5" t="n">
        <v>4</v>
      </c>
      <c r="E10" s="5" t="n">
        <v>10</v>
      </c>
      <c r="F10" s="6" t="n">
        <v>0.133</v>
      </c>
      <c r="G10" s="6" t="n">
        <v>0.267</v>
      </c>
      <c r="H10" s="6" t="n">
        <v>0.667</v>
      </c>
      <c r="I10" s="7" t="n">
        <v>0.3557</v>
      </c>
    </row>
    <row r="11" ht="17" customHeight="1">
      <c r="A11" s="8" t="inlineStr">
        <is>
          <t>NIFTY ENERGY</t>
        </is>
      </c>
      <c r="B11" s="9" t="n">
        <v>40</v>
      </c>
      <c r="C11" s="9" t="n">
        <v>5</v>
      </c>
      <c r="D11" s="9" t="n">
        <v>12</v>
      </c>
      <c r="E11" s="9" t="n">
        <v>18</v>
      </c>
      <c r="F11" s="10" t="n">
        <v>0.125</v>
      </c>
      <c r="G11" s="10" t="n">
        <v>0.3</v>
      </c>
      <c r="H11" s="10" t="n">
        <v>0.45</v>
      </c>
      <c r="I11" s="11" t="n">
        <v>0.2917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4</v>
      </c>
      <c r="D12" s="5" t="n">
        <v>5</v>
      </c>
      <c r="E12" s="5" t="n">
        <v>3</v>
      </c>
      <c r="F12" s="6" t="n">
        <v>0.267</v>
      </c>
      <c r="G12" s="6" t="n">
        <v>0.333</v>
      </c>
      <c r="H12" s="6" t="n">
        <v>0.2</v>
      </c>
      <c r="I12" s="7" t="n">
        <v>0.2667</v>
      </c>
    </row>
    <row r="13" ht="17" customHeight="1">
      <c r="A13" s="8" t="inlineStr">
        <is>
          <t>NIFTY BANK</t>
        </is>
      </c>
      <c r="B13" s="9" t="n">
        <v>12</v>
      </c>
      <c r="C13" s="9" t="n">
        <v>2</v>
      </c>
      <c r="D13" s="9" t="n">
        <v>2</v>
      </c>
      <c r="E13" s="9" t="n">
        <v>4</v>
      </c>
      <c r="F13" s="10" t="n">
        <v>0.167</v>
      </c>
      <c r="G13" s="10" t="n">
        <v>0.167</v>
      </c>
      <c r="H13" s="10" t="n">
        <v>0.333</v>
      </c>
      <c r="I13" s="11" t="n">
        <v>0.2223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3</v>
      </c>
      <c r="D14" s="5" t="n">
        <v>3</v>
      </c>
      <c r="E14" s="5" t="n">
        <v>4</v>
      </c>
      <c r="F14" s="6" t="n">
        <v>0.2</v>
      </c>
      <c r="G14" s="6" t="n">
        <v>0.2</v>
      </c>
      <c r="H14" s="6" t="n">
        <v>0.267</v>
      </c>
      <c r="I14" s="7" t="n">
        <v>0.2223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4</v>
      </c>
      <c r="D15" s="9" t="n">
        <v>4</v>
      </c>
      <c r="E15" s="9" t="n">
        <v>4</v>
      </c>
      <c r="F15" s="10" t="n">
        <v>0.2</v>
      </c>
      <c r="G15" s="10" t="n">
        <v>0.2</v>
      </c>
      <c r="H15" s="10" t="n">
        <v>0.2</v>
      </c>
      <c r="I15" s="11" t="n">
        <v>0.2</v>
      </c>
    </row>
    <row r="16" ht="17" customHeight="1">
      <c r="A16" s="4" t="inlineStr">
        <is>
          <t>NIFTY REALTY</t>
        </is>
      </c>
      <c r="B16" s="5" t="n">
        <v>10</v>
      </c>
      <c r="C16" s="5" t="n">
        <v>2</v>
      </c>
      <c r="D16" s="5" t="n">
        <v>2</v>
      </c>
      <c r="E16" s="5" t="n">
        <v>2</v>
      </c>
      <c r="F16" s="6" t="n">
        <v>0.2</v>
      </c>
      <c r="G16" s="6" t="n">
        <v>0.2</v>
      </c>
      <c r="H16" s="6" t="n">
        <v>0.2</v>
      </c>
      <c r="I16" s="7" t="n">
        <v>0.2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3074.9</v>
      </c>
      <c r="D3" s="14" t="n">
        <v>3010.69</v>
      </c>
      <c r="E3" s="14" t="n">
        <v>2973.99</v>
      </c>
      <c r="F3" s="14" t="n">
        <v>2801.39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1453.6</v>
      </c>
      <c r="D4" s="14" t="n">
        <v>1453.31</v>
      </c>
      <c r="E4" s="14" t="n">
        <v>1416.07</v>
      </c>
      <c r="F4" s="14" t="n">
        <v>1277.11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BIOCON</t>
        </is>
      </c>
      <c r="C5" s="14" t="n">
        <v>414.6</v>
      </c>
      <c r="D5" s="14" t="n">
        <v>414.5</v>
      </c>
      <c r="E5" s="14" t="n">
        <v>399.81</v>
      </c>
      <c r="F5" s="14" t="n">
        <v>380.34</v>
      </c>
      <c r="G5" s="15">
        <f>HYPERLINK("https://www.tradingview.com/chart/?symbol=NSE:BIOCON","Chart 📈")</f>
        <v/>
      </c>
    </row>
    <row r="6" ht="16" customHeight="1">
      <c r="A6" s="16" t="inlineStr">
        <is>
          <t>NIFTY PHARMA</t>
        </is>
      </c>
      <c r="B6" s="13" t="inlineStr">
        <is>
          <t>GLAND</t>
        </is>
      </c>
      <c r="C6" s="14" t="n">
        <v>2267.8</v>
      </c>
      <c r="D6" s="14" t="n">
        <v>2196.93</v>
      </c>
      <c r="E6" s="14" t="n">
        <v>2033.1</v>
      </c>
      <c r="F6" s="14" t="n">
        <v>1857.95</v>
      </c>
      <c r="G6" s="15">
        <f>HYPERLINK("https://www.tradingview.com/chart/?symbol=NSE:GLAND","Chart 📈")</f>
        <v/>
      </c>
    </row>
    <row r="7" ht="16" customHeight="1">
      <c r="A7" s="16" t="inlineStr">
        <is>
          <t>NIFTY PHARMA</t>
        </is>
      </c>
      <c r="B7" s="13" t="inlineStr">
        <is>
          <t>IPCALAB</t>
        </is>
      </c>
      <c r="C7" s="14" t="n">
        <v>1630.2</v>
      </c>
      <c r="D7" s="14" t="n">
        <v>1587.51</v>
      </c>
      <c r="E7" s="14" t="n">
        <v>1557.32</v>
      </c>
      <c r="F7" s="14" t="n">
        <v>1478.38</v>
      </c>
      <c r="G7" s="15">
        <f>HYPERLINK("https://www.tradingview.com/chart/?symbol=NSE:IPCALAB","Chart 📈")</f>
        <v/>
      </c>
    </row>
    <row r="8" ht="16" customHeight="1">
      <c r="A8" s="16" t="inlineStr">
        <is>
          <t>NIFTY PHARMA</t>
        </is>
      </c>
      <c r="B8" s="13" t="inlineStr">
        <is>
          <t>JBCHEPHARM</t>
        </is>
      </c>
      <c r="C8" s="14" t="n">
        <v>2201.5</v>
      </c>
      <c r="D8" s="14" t="n">
        <v>2157.39</v>
      </c>
      <c r="E8" s="14" t="n">
        <v>2105.95</v>
      </c>
      <c r="F8" s="14" t="n">
        <v>1928.63</v>
      </c>
      <c r="G8" s="15">
        <f>HYPERLINK("https://www.tradingview.com/chart/?symbol=NSE:JBCHEPHARM","Chart 📈")</f>
        <v/>
      </c>
    </row>
    <row r="9" ht="16" customHeight="1">
      <c r="A9" s="16" t="inlineStr">
        <is>
          <t>NIFTY PHARMA</t>
        </is>
      </c>
      <c r="B9" s="13" t="inlineStr">
        <is>
          <t>LAURUSLABS</t>
        </is>
      </c>
      <c r="C9" s="14" t="n">
        <v>1385.7</v>
      </c>
      <c r="D9" s="14" t="n">
        <v>1359.69</v>
      </c>
      <c r="E9" s="14" t="n">
        <v>1257.18</v>
      </c>
      <c r="F9" s="14" t="n">
        <v>1055.55</v>
      </c>
      <c r="G9" s="15">
        <f>HYPERLINK("https://www.tradingview.com/chart/?symbol=NSE:LAURUSLABS","Chart 📈")</f>
        <v/>
      </c>
    </row>
    <row r="10" ht="16" customHeight="1">
      <c r="A10" s="16" t="inlineStr">
        <is>
          <t>NIFTY PHARMA</t>
        </is>
      </c>
      <c r="B10" s="13" t="inlineStr">
        <is>
          <t>TORNTPHARM</t>
        </is>
      </c>
      <c r="C10" s="14" t="n">
        <v>4463.7</v>
      </c>
      <c r="D10" s="14" t="n">
        <v>4404.92</v>
      </c>
      <c r="E10" s="14" t="n">
        <v>4328.06</v>
      </c>
      <c r="F10" s="14" t="n">
        <v>3992.37</v>
      </c>
      <c r="G10" s="15">
        <f>HYPERLINK("https://www.tradingview.com/chart/?symbol=NSE:TORNTPHARM","Chart 📈")</f>
        <v/>
      </c>
    </row>
    <row r="11" ht="16" customHeight="1">
      <c r="A11" s="16" t="inlineStr">
        <is>
          <t>NIFTY PHARMA</t>
        </is>
      </c>
      <c r="B11" s="13" t="inlineStr">
        <is>
          <t>ZYDUSLIFE</t>
        </is>
      </c>
      <c r="C11" s="14" t="n">
        <v>1098.3</v>
      </c>
      <c r="D11" s="14" t="n">
        <v>1056.9</v>
      </c>
      <c r="E11" s="14" t="n">
        <v>1000.11</v>
      </c>
      <c r="F11" s="14" t="n">
        <v>955.3099999999999</v>
      </c>
      <c r="G11" s="15">
        <f>HYPERLINK("https://www.tradingview.com/chart/?symbol=NSE:ZYDUSLIFE","Chart 📈")</f>
        <v/>
      </c>
    </row>
    <row r="12" ht="16" customHeight="1">
      <c r="A12" s="8" t="inlineStr">
        <is>
          <t>NIFTY PSU BANK</t>
        </is>
      </c>
      <c r="B12" s="17" t="inlineStr">
        <is>
          <t>BANKBARODA</t>
        </is>
      </c>
      <c r="C12" s="18" t="n">
        <v>269.3</v>
      </c>
      <c r="D12" s="18" t="n">
        <v>261.8</v>
      </c>
      <c r="E12" s="18" t="n">
        <v>263.35</v>
      </c>
      <c r="F12" s="18" t="n">
        <v>265.07</v>
      </c>
      <c r="G12" s="19">
        <f>HYPERLINK("https://www.tradingview.com/chart/?symbol=NSE:BANKBARODA","Chart 📈")</f>
        <v/>
      </c>
    </row>
    <row r="13" ht="16" customHeight="1">
      <c r="A13" s="20" t="inlineStr">
        <is>
          <t>NIFTY PSU BANK</t>
        </is>
      </c>
      <c r="B13" s="17" t="inlineStr">
        <is>
          <t>BANKINDIA</t>
        </is>
      </c>
      <c r="C13" s="18" t="n">
        <v>144.86</v>
      </c>
      <c r="D13" s="18" t="n">
        <v>140.34</v>
      </c>
      <c r="E13" s="18" t="n">
        <v>141.05</v>
      </c>
      <c r="F13" s="18" t="n">
        <v>138.21</v>
      </c>
      <c r="G13" s="19">
        <f>HYPERLINK("https://www.tradingview.com/chart/?symbol=NSE:BANKINDIA","Chart 📈")</f>
        <v/>
      </c>
    </row>
    <row r="14" ht="16" customHeight="1">
      <c r="A14" s="20" t="inlineStr">
        <is>
          <t>NIFTY PSU BANK</t>
        </is>
      </c>
      <c r="B14" s="17" t="inlineStr">
        <is>
          <t>MAHABANK</t>
        </is>
      </c>
      <c r="C14" s="18" t="n">
        <v>84.18000000000001</v>
      </c>
      <c r="D14" s="18" t="n">
        <v>79.31999999999999</v>
      </c>
      <c r="E14" s="18" t="n">
        <v>76.14</v>
      </c>
      <c r="F14" s="18" t="n">
        <v>66.28</v>
      </c>
      <c r="G14" s="19">
        <f>HYPERLINK("https://www.tradingview.com/chart/?symbol=NSE:MAHABANK","Chart 📈")</f>
        <v/>
      </c>
    </row>
    <row r="15" ht="16" customHeight="1">
      <c r="A15" s="12" t="inlineStr">
        <is>
          <t>NIFTY AUTO</t>
        </is>
      </c>
      <c r="B15" s="13" t="inlineStr">
        <is>
          <t>BHARATFORG</t>
        </is>
      </c>
      <c r="C15" s="14" t="n">
        <v>1949.2</v>
      </c>
      <c r="D15" s="14" t="n">
        <v>1919.57</v>
      </c>
      <c r="E15" s="14" t="n">
        <v>1872.51</v>
      </c>
      <c r="F15" s="14" t="n">
        <v>1629.63</v>
      </c>
      <c r="G15" s="15">
        <f>HYPERLINK("https://www.tradingview.com/chart/?symbol=NSE:BHARATFORG","Chart 📈")</f>
        <v/>
      </c>
    </row>
    <row r="16" ht="16" customHeight="1">
      <c r="A16" s="16" t="inlineStr">
        <is>
          <t>NIFTY AUTO</t>
        </is>
      </c>
      <c r="B16" s="13" t="inlineStr">
        <is>
          <t>BOSCHLTD</t>
        </is>
      </c>
      <c r="C16" s="14" t="n">
        <v>37790</v>
      </c>
      <c r="D16" s="14" t="n">
        <v>36902.74</v>
      </c>
      <c r="E16" s="14" t="n">
        <v>36279.27</v>
      </c>
      <c r="F16" s="14" t="n">
        <v>35737.58</v>
      </c>
      <c r="G16" s="15">
        <f>HYPERLINK("https://www.tradingview.com/chart/?symbol=NSE:BOSCHLTD","Chart 📈")</f>
        <v/>
      </c>
    </row>
    <row r="17" ht="16" customHeight="1">
      <c r="A17" s="16" t="inlineStr">
        <is>
          <t>NIFTY AUTO</t>
        </is>
      </c>
      <c r="B17" s="13" t="inlineStr">
        <is>
          <t>EICHERMOT</t>
        </is>
      </c>
      <c r="C17" s="14" t="n">
        <v>7219.5</v>
      </c>
      <c r="D17" s="14" t="n">
        <v>7149.29</v>
      </c>
      <c r="E17" s="14" t="n">
        <v>7154.75</v>
      </c>
      <c r="F17" s="14" t="n">
        <v>6923.37</v>
      </c>
      <c r="G17" s="15">
        <f>HYPERLINK("https://www.tradingview.com/chart/?symbol=NSE:EICHERMOT","Chart 📈")</f>
        <v/>
      </c>
    </row>
    <row r="18" ht="16" customHeight="1">
      <c r="A18" s="16" t="inlineStr">
        <is>
          <t>NIFTY AUTO</t>
        </is>
      </c>
      <c r="B18" s="13" t="inlineStr">
        <is>
          <t>EXIDEIND</t>
        </is>
      </c>
      <c r="C18" s="14" t="n">
        <v>386.35</v>
      </c>
      <c r="D18" s="14" t="n">
        <v>378.59</v>
      </c>
      <c r="E18" s="14" t="n">
        <v>359.6</v>
      </c>
      <c r="F18" s="14" t="n">
        <v>358.69</v>
      </c>
      <c r="G18" s="15">
        <f>HYPERLINK("https://www.tradingview.com/chart/?symbol=NSE:EXIDEIND","Chart 📈")</f>
        <v/>
      </c>
    </row>
    <row r="19" ht="16" customHeight="1">
      <c r="A19" s="16" t="inlineStr">
        <is>
          <t>NIFTY AUTO</t>
        </is>
      </c>
      <c r="B19" s="13" t="inlineStr">
        <is>
          <t>MOTHERSON</t>
        </is>
      </c>
      <c r="C19" s="14" t="n">
        <v>142.21</v>
      </c>
      <c r="D19" s="14" t="n">
        <v>138.72</v>
      </c>
      <c r="E19" s="14" t="n">
        <v>131.65</v>
      </c>
      <c r="F19" s="14" t="n">
        <v>119.38</v>
      </c>
      <c r="G19" s="15">
        <f>HYPERLINK("https://www.tradingview.com/chart/?symbol=NSE:MOTHERSON","Chart 📈")</f>
        <v/>
      </c>
    </row>
    <row r="20" ht="16" customHeight="1">
      <c r="A20" s="8" t="inlineStr">
        <is>
          <t>NIFTY FMCG</t>
        </is>
      </c>
      <c r="B20" s="17" t="inlineStr">
        <is>
          <t>BALRAMCHIN</t>
        </is>
      </c>
      <c r="C20" s="18" t="n">
        <v>536.55</v>
      </c>
      <c r="D20" s="18" t="n">
        <v>532.88</v>
      </c>
      <c r="E20" s="18" t="n">
        <v>519.46</v>
      </c>
      <c r="F20" s="18" t="n">
        <v>504.08</v>
      </c>
      <c r="G20" s="19">
        <f>HYPERLINK("https://www.tradingview.com/chart/?symbol=NSE:BALRAMCHIN","Chart 📈")</f>
        <v/>
      </c>
    </row>
    <row r="21" ht="16" customHeight="1">
      <c r="A21" s="20" t="inlineStr">
        <is>
          <t>NIFTY FMCG</t>
        </is>
      </c>
      <c r="B21" s="17" t="inlineStr">
        <is>
          <t>MARICO</t>
        </is>
      </c>
      <c r="C21" s="18" t="n">
        <v>819.9</v>
      </c>
      <c r="D21" s="18" t="n">
        <v>816.55</v>
      </c>
      <c r="E21" s="18" t="n">
        <v>802.67</v>
      </c>
      <c r="F21" s="18" t="n">
        <v>761.3200000000001</v>
      </c>
      <c r="G21" s="19">
        <f>HYPERLINK("https://www.tradingview.com/chart/?symbol=NSE:MARICO","Chart 📈")</f>
        <v/>
      </c>
    </row>
    <row r="22" ht="16" customHeight="1">
      <c r="A22" s="20" t="inlineStr">
        <is>
          <t>NIFTY FMCG</t>
        </is>
      </c>
      <c r="B22" s="17" t="inlineStr">
        <is>
          <t>NESTLEIND</t>
        </is>
      </c>
      <c r="C22" s="18" t="n">
        <v>1438.3</v>
      </c>
      <c r="D22" s="18" t="n">
        <v>1412.13</v>
      </c>
      <c r="E22" s="18" t="n">
        <v>1384.06</v>
      </c>
      <c r="F22" s="18" t="n">
        <v>1296.73</v>
      </c>
      <c r="G22" s="19">
        <f>HYPERLINK("https://www.tradingview.com/chart/?symbol=NSE:NESTLEIND","Chart 📈")</f>
        <v/>
      </c>
    </row>
    <row r="23" ht="16" customHeight="1">
      <c r="A23" s="20" t="inlineStr">
        <is>
          <t>NIFTY FMCG</t>
        </is>
      </c>
      <c r="B23" s="17" t="inlineStr">
        <is>
          <t>RADICO</t>
        </is>
      </c>
      <c r="C23" s="18" t="n">
        <v>3477.1</v>
      </c>
      <c r="D23" s="18" t="n">
        <v>3472.11</v>
      </c>
      <c r="E23" s="18" t="n">
        <v>3321.01</v>
      </c>
      <c r="F23" s="18" t="n">
        <v>3051.84</v>
      </c>
      <c r="G23" s="19">
        <f>HYPERLINK("https://www.tradingview.com/chart/?symbol=NSE:RADICO","Chart 📈")</f>
        <v/>
      </c>
    </row>
    <row r="24" ht="16" customHeight="1">
      <c r="A24" s="20" t="inlineStr">
        <is>
          <t>NIFTY FMCG</t>
        </is>
      </c>
      <c r="B24" s="17" t="inlineStr">
        <is>
          <t>VBL</t>
        </is>
      </c>
      <c r="C24" s="18" t="n">
        <v>526.25</v>
      </c>
      <c r="D24" s="18" t="n">
        <v>521.97</v>
      </c>
      <c r="E24" s="18" t="n">
        <v>500.16</v>
      </c>
      <c r="F24" s="18" t="n">
        <v>475.64</v>
      </c>
      <c r="G24" s="19">
        <f>HYPERLINK("https://www.tradingview.com/chart/?symbol=NSE:VBL","Chart 📈")</f>
        <v/>
      </c>
    </row>
    <row r="25" ht="16" customHeight="1">
      <c r="A25" s="12" t="inlineStr">
        <is>
          <t>NIFTY MIDSMALL IT &amp; TELECOM</t>
        </is>
      </c>
      <c r="B25" s="13" t="inlineStr">
        <is>
          <t>HFCL</t>
        </is>
      </c>
      <c r="C25" s="14" t="n">
        <v>169.11</v>
      </c>
      <c r="D25" s="14" t="n">
        <v>167.66</v>
      </c>
      <c r="E25" s="14" t="n">
        <v>138.9</v>
      </c>
      <c r="F25" s="14" t="n">
        <v>97.84999999999999</v>
      </c>
      <c r="G25" s="15">
        <f>HYPERLINK("https://www.tradingview.com/chart/?symbol=NSE:HFCL","Chart 📈")</f>
        <v/>
      </c>
    </row>
    <row r="26" ht="16" customHeight="1">
      <c r="A26" s="16" t="inlineStr">
        <is>
          <t>NIFTY MIDSMALL IT &amp; TELECOM</t>
        </is>
      </c>
      <c r="B26" s="13" t="inlineStr">
        <is>
          <t>IDEA</t>
        </is>
      </c>
      <c r="C26" s="14" t="n">
        <v>13.88</v>
      </c>
      <c r="D26" s="14" t="n">
        <v>13.71</v>
      </c>
      <c r="E26" s="14" t="n">
        <v>12.35</v>
      </c>
      <c r="F26" s="14" t="n">
        <v>10.38</v>
      </c>
      <c r="G26" s="15">
        <f>HYPERLINK("https://www.tradingview.com/chart/?symbol=NSE:IDEA","Chart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TATACOMM</t>
        </is>
      </c>
      <c r="C27" s="14" t="n">
        <v>1978.6</v>
      </c>
      <c r="D27" s="14" t="n">
        <v>1877.93</v>
      </c>
      <c r="E27" s="14" t="n">
        <v>1744.49</v>
      </c>
      <c r="F27" s="14" t="n">
        <v>1684.19</v>
      </c>
      <c r="G27" s="15">
        <f>HYPERLINK("https://www.tradingview.com/chart/?symbol=NSE:TATACOMM","Chart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TATATECH</t>
        </is>
      </c>
      <c r="C28" s="14" t="n">
        <v>758.2</v>
      </c>
      <c r="D28" s="14" t="n">
        <v>709.58</v>
      </c>
      <c r="E28" s="14" t="n">
        <v>657.55</v>
      </c>
      <c r="F28" s="14" t="n">
        <v>651.1900000000001</v>
      </c>
      <c r="G28" s="15">
        <f>HYPERLINK("https://www.tradingview.com/chart/?symbol=NSE:TATATECH","Chart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TEJASNET</t>
        </is>
      </c>
      <c r="C29" s="14" t="n">
        <v>550.8</v>
      </c>
      <c r="D29" s="14" t="n">
        <v>517.8200000000001</v>
      </c>
      <c r="E29" s="14" t="n">
        <v>477.91</v>
      </c>
      <c r="F29" s="14" t="n">
        <v>488.61</v>
      </c>
      <c r="G29" s="15">
        <f>HYPERLINK("https://www.tradingview.com/chart/?symbol=NSE:TEJASNET","Chart 📈")</f>
        <v/>
      </c>
    </row>
    <row r="30" ht="16" customHeight="1">
      <c r="A30" s="8" t="inlineStr">
        <is>
          <t>NIFTY MEDIA</t>
        </is>
      </c>
      <c r="B30" s="17" t="inlineStr">
        <is>
          <t>NAZARA</t>
        </is>
      </c>
      <c r="C30" s="18" t="n">
        <v>279.95</v>
      </c>
      <c r="D30" s="18" t="n">
        <v>276.97</v>
      </c>
      <c r="E30" s="18" t="n">
        <v>271.69</v>
      </c>
      <c r="F30" s="18" t="n">
        <v>273.57</v>
      </c>
      <c r="G30" s="19">
        <f>HYPERLINK("https://www.tradingview.com/chart/?symbol=NSE:NAZARA","Chart 📈")</f>
        <v/>
      </c>
    </row>
    <row r="31" ht="16" customHeight="1">
      <c r="A31" s="20" t="inlineStr">
        <is>
          <t>NIFTY MEDIA</t>
        </is>
      </c>
      <c r="B31" s="17" t="inlineStr">
        <is>
          <t>SAREGAMA</t>
        </is>
      </c>
      <c r="C31" s="18" t="n">
        <v>438.05</v>
      </c>
      <c r="D31" s="18" t="n">
        <v>425.13</v>
      </c>
      <c r="E31" s="18" t="n">
        <v>390.95</v>
      </c>
      <c r="F31" s="18" t="n">
        <v>397.05</v>
      </c>
      <c r="G31" s="19">
        <f>HYPERLINK("https://www.tradingview.com/chart/?symbol=NSE:SAREGAMA","Chart 📈")</f>
        <v/>
      </c>
    </row>
    <row r="32" ht="16" customHeight="1">
      <c r="A32" s="20" t="inlineStr">
        <is>
          <t>NIFTY MEDIA</t>
        </is>
      </c>
      <c r="B32" s="17" t="inlineStr">
        <is>
          <t>ZEEL</t>
        </is>
      </c>
      <c r="C32" s="18" t="n">
        <v>102.93</v>
      </c>
      <c r="D32" s="18" t="n">
        <v>96.59</v>
      </c>
      <c r="E32" s="18" t="n">
        <v>91.05</v>
      </c>
      <c r="F32" s="18" t="n">
        <v>96.05</v>
      </c>
      <c r="G32" s="19">
        <f>HYPERLINK("https://www.tradingview.com/chart/?symbol=NSE:ZEEL","Chart 📈")</f>
        <v/>
      </c>
    </row>
    <row r="33" ht="16" customHeight="1">
      <c r="A33" s="12" t="inlineStr">
        <is>
          <t>NIFTY METAL</t>
        </is>
      </c>
      <c r="B33" s="13" t="inlineStr">
        <is>
          <t>ADANIENT</t>
        </is>
      </c>
      <c r="C33" s="14" t="n">
        <v>2931.1</v>
      </c>
      <c r="D33" s="14" t="n">
        <v>2846.1</v>
      </c>
      <c r="E33" s="14" t="n">
        <v>2599.09</v>
      </c>
      <c r="F33" s="14" t="n">
        <v>2388.74</v>
      </c>
      <c r="G33" s="15">
        <f>HYPERLINK("https://www.tradingview.com/chart/?symbol=NSE:ADANIENT","Chart 📈")</f>
        <v/>
      </c>
    </row>
    <row r="34" ht="16" customHeight="1">
      <c r="A34" s="16" t="inlineStr">
        <is>
          <t>NIFTY METAL</t>
        </is>
      </c>
      <c r="B34" s="13" t="inlineStr">
        <is>
          <t>WELCORP</t>
        </is>
      </c>
      <c r="C34" s="14" t="n">
        <v>1370.4</v>
      </c>
      <c r="D34" s="14" t="n">
        <v>1346.47</v>
      </c>
      <c r="E34" s="14" t="n">
        <v>1225.5</v>
      </c>
      <c r="F34" s="14" t="n">
        <v>999.5</v>
      </c>
      <c r="G34" s="15">
        <f>HYPERLINK("https://www.tradingview.com/chart/?symbol=NSE:WELCORP","Chart 📈")</f>
        <v/>
      </c>
    </row>
    <row r="35" ht="16" customHeight="1">
      <c r="A35" s="8" t="inlineStr">
        <is>
          <t>NIFTY ENERGY</t>
        </is>
      </c>
      <c r="B35" s="17" t="inlineStr">
        <is>
          <t>ADANIENSOL</t>
        </is>
      </c>
      <c r="C35" s="18" t="n">
        <v>1535.6</v>
      </c>
      <c r="D35" s="18" t="n">
        <v>1475.63</v>
      </c>
      <c r="E35" s="18" t="n">
        <v>1351.24</v>
      </c>
      <c r="F35" s="18" t="n">
        <v>1107.04</v>
      </c>
      <c r="G35" s="19">
        <f>HYPERLINK("https://www.tradingview.com/chart/?symbol=NSE:ADANIENSOL","Chart 📈")</f>
        <v/>
      </c>
    </row>
    <row r="36" ht="16" customHeight="1">
      <c r="A36" s="20" t="inlineStr">
        <is>
          <t>NIFTY ENERGY</t>
        </is>
      </c>
      <c r="B36" s="17" t="inlineStr">
        <is>
          <t>ADANIGREEN</t>
        </is>
      </c>
      <c r="C36" s="18" t="n">
        <v>1483</v>
      </c>
      <c r="D36" s="18" t="n">
        <v>1431.35</v>
      </c>
      <c r="E36" s="18" t="n">
        <v>1300.28</v>
      </c>
      <c r="F36" s="18" t="n">
        <v>1103.65</v>
      </c>
      <c r="G36" s="19">
        <f>HYPERLINK("https://www.tradingview.com/chart/?symbol=NSE:ADANIGREEN","Chart 📈")</f>
        <v/>
      </c>
    </row>
    <row r="37" ht="16" customHeight="1">
      <c r="A37" s="20" t="inlineStr">
        <is>
          <t>NIFTY ENERGY</t>
        </is>
      </c>
      <c r="B37" s="17" t="inlineStr">
        <is>
          <t>CGPOWER</t>
        </is>
      </c>
      <c r="C37" s="18" t="n">
        <v>908.1</v>
      </c>
      <c r="D37" s="18" t="n">
        <v>890.4</v>
      </c>
      <c r="E37" s="18" t="n">
        <v>836.16</v>
      </c>
      <c r="F37" s="18" t="n">
        <v>742.87</v>
      </c>
      <c r="G37" s="19">
        <f>HYPERLINK("https://www.tradingview.com/chart/?symbol=NSE:CGPOWER","Chart 📈")</f>
        <v/>
      </c>
    </row>
    <row r="38" ht="16" customHeight="1">
      <c r="A38" s="20" t="inlineStr">
        <is>
          <t>NIFTY ENERGY</t>
        </is>
      </c>
      <c r="B38" s="17" t="inlineStr">
        <is>
          <t>GVT&amp;D</t>
        </is>
      </c>
      <c r="C38" s="18" t="n">
        <v>4866</v>
      </c>
      <c r="D38" s="18" t="n">
        <v>4807.65</v>
      </c>
      <c r="E38" s="18" t="n">
        <v>4497.76</v>
      </c>
      <c r="F38" s="18" t="n">
        <v>3624.43</v>
      </c>
      <c r="G38" s="19">
        <f>HYPERLINK("https://www.tradingview.com/chart/?symbol=NSE:GVT&amp;D","Chart 📈")</f>
        <v/>
      </c>
    </row>
    <row r="39" ht="16" customHeight="1">
      <c r="A39" s="20" t="inlineStr">
        <is>
          <t>NIFTY ENERGY</t>
        </is>
      </c>
      <c r="B39" s="17" t="inlineStr">
        <is>
          <t>THERMAX</t>
        </is>
      </c>
      <c r="C39" s="18" t="n">
        <v>4698.8</v>
      </c>
      <c r="D39" s="18" t="n">
        <v>4640.59</v>
      </c>
      <c r="E39" s="18" t="n">
        <v>4273.68</v>
      </c>
      <c r="F39" s="18" t="n">
        <v>3613.87</v>
      </c>
      <c r="G39" s="19">
        <f>HYPERLINK("https://www.tradingview.com/chart/?symbol=NSE:THERMAX","Chart 📈")</f>
        <v/>
      </c>
    </row>
    <row r="40" ht="16" customHeight="1">
      <c r="A40" s="12" t="inlineStr">
        <is>
          <t>NIFTY OIL &amp; GAS</t>
        </is>
      </c>
      <c r="B40" s="13" t="inlineStr">
        <is>
          <t>AEGISLOG</t>
        </is>
      </c>
      <c r="C40" s="14" t="n">
        <v>801</v>
      </c>
      <c r="D40" s="14" t="n">
        <v>743.49</v>
      </c>
      <c r="E40" s="14" t="n">
        <v>713.45</v>
      </c>
      <c r="F40" s="14" t="n">
        <v>717.12</v>
      </c>
      <c r="G40" s="15">
        <f>HYPERLINK("https://www.tradingview.com/chart/?symbol=NSE:AEGISLOG","Chart 📈")</f>
        <v/>
      </c>
    </row>
    <row r="41" ht="16" customHeight="1">
      <c r="A41" s="16" t="inlineStr">
        <is>
          <t>NIFTY OIL &amp; GAS</t>
        </is>
      </c>
      <c r="B41" s="13" t="inlineStr">
        <is>
          <t>ATGL</t>
        </is>
      </c>
      <c r="C41" s="14" t="n">
        <v>728.4</v>
      </c>
      <c r="D41" s="14" t="n">
        <v>710.64</v>
      </c>
      <c r="E41" s="14" t="n">
        <v>656.99</v>
      </c>
      <c r="F41" s="14" t="n">
        <v>614.53</v>
      </c>
      <c r="G41" s="15">
        <f>HYPERLINK("https://www.tradingview.com/chart/?symbol=NSE:ATGL","Chart 📈")</f>
        <v/>
      </c>
    </row>
    <row r="42" ht="16" customHeight="1">
      <c r="A42" s="16" t="inlineStr">
        <is>
          <t>NIFTY OIL &amp; GAS</t>
        </is>
      </c>
      <c r="B42" s="13" t="inlineStr">
        <is>
          <t>GAIL</t>
        </is>
      </c>
      <c r="C42" s="14" t="n">
        <v>168.01</v>
      </c>
      <c r="D42" s="14" t="n">
        <v>165.17</v>
      </c>
      <c r="E42" s="14" t="n">
        <v>162.19</v>
      </c>
      <c r="F42" s="14" t="n">
        <v>165.27</v>
      </c>
      <c r="G42" s="15">
        <f>HYPERLINK("https://www.tradingview.com/chart/?symbol=NSE:GAIL","Chart 📈")</f>
        <v/>
      </c>
    </row>
    <row r="43" ht="16" customHeight="1">
      <c r="A43" s="8" t="inlineStr">
        <is>
          <t>NIFTY BANK</t>
        </is>
      </c>
      <c r="B43" s="17" t="inlineStr">
        <is>
          <t>FEDERALBNK</t>
        </is>
      </c>
      <c r="C43" s="18" t="n">
        <v>311.1</v>
      </c>
      <c r="D43" s="18" t="n">
        <v>296.66</v>
      </c>
      <c r="E43" s="18" t="n">
        <v>289.95</v>
      </c>
      <c r="F43" s="18" t="n">
        <v>263.98</v>
      </c>
      <c r="G43" s="19">
        <f>HYPERLINK("https://www.tradingview.com/chart/?symbol=NSE:FEDERALBNK","Chart 📈")</f>
        <v/>
      </c>
    </row>
    <row r="44" ht="16" customHeight="1">
      <c r="A44" s="20" t="inlineStr">
        <is>
          <t>NIFTY BANK</t>
        </is>
      </c>
      <c r="B44" s="17" t="inlineStr">
        <is>
          <t>IDFCFIRSTB</t>
        </is>
      </c>
      <c r="C44" s="18" t="n">
        <v>72.98999999999999</v>
      </c>
      <c r="D44" s="18" t="n">
        <v>70.97</v>
      </c>
      <c r="E44" s="18" t="n">
        <v>70.11</v>
      </c>
      <c r="F44" s="18" t="n">
        <v>72.83</v>
      </c>
      <c r="G44" s="19">
        <f>HYPERLINK("https://www.tradingview.com/chart/?symbol=NSE:IDFCFIRSTB","Chart 📈")</f>
        <v/>
      </c>
    </row>
    <row r="45" ht="16" customHeight="1">
      <c r="A45" s="12" t="inlineStr">
        <is>
          <t>NIFTY CONSUMER DURABLES</t>
        </is>
      </c>
      <c r="B45" s="13" t="inlineStr">
        <is>
          <t>CERA</t>
        </is>
      </c>
      <c r="C45" s="14" t="n">
        <v>5869.5</v>
      </c>
      <c r="D45" s="14" t="n">
        <v>5642.22</v>
      </c>
      <c r="E45" s="14" t="n">
        <v>5478.58</v>
      </c>
      <c r="F45" s="14" t="n">
        <v>5585.35</v>
      </c>
      <c r="G45" s="15">
        <f>HYPERLINK("https://www.tradingview.com/chart/?symbol=NSE:CERA","Chart 📈")</f>
        <v/>
      </c>
    </row>
    <row r="46" ht="16" customHeight="1">
      <c r="A46" s="8" t="inlineStr">
        <is>
          <t>NIFTY FINANCIAL SERVICES</t>
        </is>
      </c>
      <c r="B46" s="17" t="inlineStr">
        <is>
          <t>AXISBANK</t>
        </is>
      </c>
      <c r="C46" s="18" t="n">
        <v>1314.5</v>
      </c>
      <c r="D46" s="18" t="n">
        <v>1279.09</v>
      </c>
      <c r="E46" s="18" t="n">
        <v>1282.77</v>
      </c>
      <c r="F46" s="18" t="n">
        <v>1262.53</v>
      </c>
      <c r="G46" s="19">
        <f>HYPERLINK("https://www.tradingview.com/chart/?symbol=NSE:AXISBANK","Chart 📈")</f>
        <v/>
      </c>
    </row>
    <row r="47" ht="16" customHeight="1">
      <c r="A47" s="12" t="inlineStr">
        <is>
          <t>NIFTY REALTY</t>
        </is>
      </c>
      <c r="B47" s="13" t="inlineStr">
        <is>
          <t>PHOENIXLTD</t>
        </is>
      </c>
      <c r="C47" s="14" t="n">
        <v>1765.7</v>
      </c>
      <c r="D47" s="14" t="n">
        <v>1753.71</v>
      </c>
      <c r="E47" s="14" t="n">
        <v>1741.48</v>
      </c>
      <c r="F47" s="14" t="n">
        <v>1700.75</v>
      </c>
      <c r="G47" s="15">
        <f>HYPERLINK("https://www.tradingview.com/chart/?symbol=NSE:PHOENIXLTD","Chart 📈")</f>
        <v/>
      </c>
    </row>
    <row r="48" ht="16" customHeight="1">
      <c r="A48" s="16" t="inlineStr">
        <is>
          <t>NIFTY REALTY</t>
        </is>
      </c>
      <c r="B48" s="13" t="inlineStr">
        <is>
          <t>RAYMOND</t>
        </is>
      </c>
      <c r="C48" s="14" t="n">
        <v>552.9</v>
      </c>
      <c r="D48" s="14" t="n">
        <v>519.51</v>
      </c>
      <c r="E48" s="14" t="n">
        <v>483.51</v>
      </c>
      <c r="F48" s="14" t="n">
        <v>484.68</v>
      </c>
      <c r="G48" s="15">
        <f>HYPERLINK("https://www.tradingview.com/chart/?symbol=NSE:RAYMOND","Chart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2026-06-10T14:32:54Z</dcterms:created>
  <dcterms:modified xsi:type="dcterms:W3CDTF">2026-06-10T14:32:54Z</dcterms:modified>
</cp:coreProperties>
</file>