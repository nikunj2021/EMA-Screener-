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08-Jun-2026  04:38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10</v>
      </c>
      <c r="D4" s="5" t="n">
        <v>13</v>
      </c>
      <c r="E4" s="5" t="n">
        <v>17</v>
      </c>
      <c r="F4" s="6" t="n">
        <v>0.5</v>
      </c>
      <c r="G4" s="6" t="n">
        <v>0.65</v>
      </c>
      <c r="H4" s="6" t="n">
        <v>0.85</v>
      </c>
      <c r="I4" s="7" t="n">
        <v>0.6667000000000001</v>
      </c>
    </row>
    <row r="5" ht="17" customHeight="1">
      <c r="A5" s="8" t="inlineStr">
        <is>
          <t>NIFTY PSU BANK</t>
        </is>
      </c>
      <c r="B5" s="9" t="n">
        <v>12</v>
      </c>
      <c r="C5" s="9" t="n">
        <v>8</v>
      </c>
      <c r="D5" s="9" t="n">
        <v>4</v>
      </c>
      <c r="E5" s="9" t="n">
        <v>6</v>
      </c>
      <c r="F5" s="10" t="n">
        <v>0.667</v>
      </c>
      <c r="G5" s="10" t="n">
        <v>0.333</v>
      </c>
      <c r="H5" s="10" t="n">
        <v>0.5</v>
      </c>
      <c r="I5" s="11" t="n">
        <v>0.5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10</v>
      </c>
      <c r="D6" s="5" t="n">
        <v>11</v>
      </c>
      <c r="E6" s="5" t="n">
        <v>7</v>
      </c>
      <c r="F6" s="6" t="n">
        <v>0.5</v>
      </c>
      <c r="G6" s="6" t="n">
        <v>0.55</v>
      </c>
      <c r="H6" s="6" t="n">
        <v>0.35</v>
      </c>
      <c r="I6" s="7" t="n">
        <v>0.4667</v>
      </c>
    </row>
    <row r="7" ht="17" customHeight="1">
      <c r="A7" s="8" t="inlineStr">
        <is>
          <t>NIFTY MEDIA</t>
        </is>
      </c>
      <c r="B7" s="9" t="n">
        <v>10</v>
      </c>
      <c r="C7" s="9" t="n">
        <v>6</v>
      </c>
      <c r="D7" s="9" t="n">
        <v>5</v>
      </c>
      <c r="E7" s="9" t="n">
        <v>3</v>
      </c>
      <c r="F7" s="10" t="n">
        <v>0.6</v>
      </c>
      <c r="G7" s="10" t="n">
        <v>0.5</v>
      </c>
      <c r="H7" s="10" t="n">
        <v>0.3</v>
      </c>
      <c r="I7" s="11" t="n">
        <v>0.4667</v>
      </c>
    </row>
    <row r="8" ht="17" customHeight="1">
      <c r="A8" s="4" t="inlineStr">
        <is>
          <t>NIFTY METAL</t>
        </is>
      </c>
      <c r="B8" s="5" t="n">
        <v>15</v>
      </c>
      <c r="C8" s="5" t="n">
        <v>2</v>
      </c>
      <c r="D8" s="5" t="n">
        <v>6</v>
      </c>
      <c r="E8" s="5" t="n">
        <v>12</v>
      </c>
      <c r="F8" s="6" t="n">
        <v>0.133</v>
      </c>
      <c r="G8" s="6" t="n">
        <v>0.4</v>
      </c>
      <c r="H8" s="6" t="n">
        <v>0.8</v>
      </c>
      <c r="I8" s="7" t="n">
        <v>0.4443</v>
      </c>
    </row>
    <row r="9" ht="17" customHeight="1">
      <c r="A9" s="8" t="inlineStr">
        <is>
          <t>NIFTY OIL &amp; GAS</t>
        </is>
      </c>
      <c r="B9" s="9" t="n">
        <v>15</v>
      </c>
      <c r="C9" s="9" t="n">
        <v>6</v>
      </c>
      <c r="D9" s="9" t="n">
        <v>7</v>
      </c>
      <c r="E9" s="9" t="n">
        <v>6</v>
      </c>
      <c r="F9" s="10" t="n">
        <v>0.4</v>
      </c>
      <c r="G9" s="10" t="n">
        <v>0.467</v>
      </c>
      <c r="H9" s="10" t="n">
        <v>0.4</v>
      </c>
      <c r="I9" s="11" t="n">
        <v>0.4223</v>
      </c>
    </row>
    <row r="10" ht="17" customHeight="1">
      <c r="A10" s="4" t="inlineStr">
        <is>
          <t>NIFTY ENERGY</t>
        </is>
      </c>
      <c r="B10" s="5" t="n">
        <v>40</v>
      </c>
      <c r="C10" s="5" t="n">
        <v>13</v>
      </c>
      <c r="D10" s="5" t="n">
        <v>17</v>
      </c>
      <c r="E10" s="5" t="n">
        <v>20</v>
      </c>
      <c r="F10" s="6" t="n">
        <v>0.325</v>
      </c>
      <c r="G10" s="6" t="n">
        <v>0.425</v>
      </c>
      <c r="H10" s="6" t="n">
        <v>0.5</v>
      </c>
      <c r="I10" s="7" t="n">
        <v>0.4167</v>
      </c>
    </row>
    <row r="11" ht="17" customHeight="1">
      <c r="A11" s="8" t="inlineStr">
        <is>
          <t>NIFTY AUTO</t>
        </is>
      </c>
      <c r="B11" s="9" t="n">
        <v>15</v>
      </c>
      <c r="C11" s="9" t="n">
        <v>4</v>
      </c>
      <c r="D11" s="9" t="n">
        <v>6</v>
      </c>
      <c r="E11" s="9" t="n">
        <v>6</v>
      </c>
      <c r="F11" s="10" t="n">
        <v>0.267</v>
      </c>
      <c r="G11" s="10" t="n">
        <v>0.4</v>
      </c>
      <c r="H11" s="10" t="n">
        <v>0.4</v>
      </c>
      <c r="I11" s="11" t="n">
        <v>0.3557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5</v>
      </c>
      <c r="D12" s="5" t="n">
        <v>5</v>
      </c>
      <c r="E12" s="5" t="n">
        <v>3</v>
      </c>
      <c r="F12" s="6" t="n">
        <v>0.333</v>
      </c>
      <c r="G12" s="6" t="n">
        <v>0.333</v>
      </c>
      <c r="H12" s="6" t="n">
        <v>0.2</v>
      </c>
      <c r="I12" s="7" t="n">
        <v>0.2887</v>
      </c>
    </row>
    <row r="13" ht="17" customHeight="1">
      <c r="A13" s="8" t="inlineStr">
        <is>
          <t>NIFTY FMCG</t>
        </is>
      </c>
      <c r="B13" s="9" t="n">
        <v>15</v>
      </c>
      <c r="C13" s="9" t="n">
        <v>1</v>
      </c>
      <c r="D13" s="9" t="n">
        <v>5</v>
      </c>
      <c r="E13" s="9" t="n">
        <v>5</v>
      </c>
      <c r="F13" s="10" t="n">
        <v>0.067</v>
      </c>
      <c r="G13" s="10" t="n">
        <v>0.333</v>
      </c>
      <c r="H13" s="10" t="n">
        <v>0.333</v>
      </c>
      <c r="I13" s="11" t="n">
        <v>0.2443</v>
      </c>
    </row>
    <row r="14" ht="17" customHeight="1">
      <c r="A14" s="4" t="inlineStr">
        <is>
          <t>NIFTY BANK</t>
        </is>
      </c>
      <c r="B14" s="5" t="n">
        <v>12</v>
      </c>
      <c r="C14" s="5" t="n">
        <v>2</v>
      </c>
      <c r="D14" s="5" t="n">
        <v>2</v>
      </c>
      <c r="E14" s="5" t="n">
        <v>3</v>
      </c>
      <c r="F14" s="6" t="n">
        <v>0.167</v>
      </c>
      <c r="G14" s="6" t="n">
        <v>0.167</v>
      </c>
      <c r="H14" s="6" t="n">
        <v>0.25</v>
      </c>
      <c r="I14" s="7" t="n">
        <v>0.1947</v>
      </c>
    </row>
    <row r="15" ht="17" customHeight="1">
      <c r="A15" s="8" t="inlineStr">
        <is>
          <t>NIFTY REALTY</t>
        </is>
      </c>
      <c r="B15" s="9" t="n">
        <v>10</v>
      </c>
      <c r="C15" s="9" t="n">
        <v>1</v>
      </c>
      <c r="D15" s="9" t="n">
        <v>2</v>
      </c>
      <c r="E15" s="9" t="n">
        <v>2</v>
      </c>
      <c r="F15" s="10" t="n">
        <v>0.1</v>
      </c>
      <c r="G15" s="10" t="n">
        <v>0.2</v>
      </c>
      <c r="H15" s="10" t="n">
        <v>0.2</v>
      </c>
      <c r="I15" s="11" t="n">
        <v>0.1667</v>
      </c>
    </row>
    <row r="16" ht="17" customHeight="1">
      <c r="A16" s="4" t="inlineStr">
        <is>
          <t>NIFTY FINANCIAL SERVICES</t>
        </is>
      </c>
      <c r="B16" s="5" t="n">
        <v>20</v>
      </c>
      <c r="C16" s="5" t="n">
        <v>2</v>
      </c>
      <c r="D16" s="5" t="n">
        <v>1</v>
      </c>
      <c r="E16" s="5" t="n">
        <v>4</v>
      </c>
      <c r="F16" s="6" t="n">
        <v>0.1</v>
      </c>
      <c r="G16" s="6" t="n">
        <v>0.05</v>
      </c>
      <c r="H16" s="6" t="n">
        <v>0.2</v>
      </c>
      <c r="I16" s="7" t="n">
        <v>0.1167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AUROPHARMA</t>
        </is>
      </c>
      <c r="C3" s="14" t="n">
        <v>1472.9</v>
      </c>
      <c r="D3" s="14" t="n">
        <v>1455.74</v>
      </c>
      <c r="E3" s="14" t="n">
        <v>1413.96</v>
      </c>
      <c r="F3" s="14" t="n">
        <v>1272.97</v>
      </c>
      <c r="G3" s="15">
        <f>HYPERLINK("https://www.tradingview.com/chart/?symbol=NSE:AUROPHARMA","Chart 📈")</f>
        <v/>
      </c>
    </row>
    <row r="4" ht="16" customHeight="1">
      <c r="A4" s="16" t="inlineStr">
        <is>
          <t>NIFTY PHARMA</t>
        </is>
      </c>
      <c r="B4" s="13" t="inlineStr">
        <is>
          <t>BIOCON</t>
        </is>
      </c>
      <c r="C4" s="14" t="n">
        <v>416.65</v>
      </c>
      <c r="D4" s="14" t="n">
        <v>415</v>
      </c>
      <c r="E4" s="14" t="n">
        <v>398.8</v>
      </c>
      <c r="F4" s="14" t="n">
        <v>379.45</v>
      </c>
      <c r="G4" s="15">
        <f>HYPERLINK("https://www.tradingview.com/chart/?symbol=NSE:BIOCON","Chart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1394.6</v>
      </c>
      <c r="D5" s="14" t="n">
        <v>1374.57</v>
      </c>
      <c r="E5" s="14" t="n">
        <v>1342.38</v>
      </c>
      <c r="F5" s="14" t="n">
        <v>1385.18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2302.3</v>
      </c>
      <c r="D6" s="14" t="n">
        <v>2184.24</v>
      </c>
      <c r="E6" s="14" t="n">
        <v>2014.84</v>
      </c>
      <c r="F6" s="14" t="n">
        <v>1848.64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GRANULES</t>
        </is>
      </c>
      <c r="C7" s="14" t="n">
        <v>784.05</v>
      </c>
      <c r="D7" s="14" t="n">
        <v>763.78</v>
      </c>
      <c r="E7" s="14" t="n">
        <v>716.92</v>
      </c>
      <c r="F7" s="14" t="n">
        <v>619.65</v>
      </c>
      <c r="G7" s="15">
        <f>HYPERLINK("https://www.tradingview.com/chart/?symbol=NSE:GRANULES","Chart 📈")</f>
        <v/>
      </c>
    </row>
    <row r="8" ht="16" customHeight="1">
      <c r="A8" s="16" t="inlineStr">
        <is>
          <t>NIFTY PHARMA</t>
        </is>
      </c>
      <c r="B8" s="13" t="inlineStr">
        <is>
          <t>IPCALAB</t>
        </is>
      </c>
      <c r="C8" s="14" t="n">
        <v>1633.8</v>
      </c>
      <c r="D8" s="14" t="n">
        <v>1576.17</v>
      </c>
      <c r="E8" s="14" t="n">
        <v>1550.48</v>
      </c>
      <c r="F8" s="14" t="n">
        <v>1474.98</v>
      </c>
      <c r="G8" s="15">
        <f>HYPERLINK("https://www.tradingview.com/chart/?symbol=NSE:IPCALAB","Chart 📈")</f>
        <v/>
      </c>
    </row>
    <row r="9" ht="16" customHeight="1">
      <c r="A9" s="16" t="inlineStr">
        <is>
          <t>NIFTY PHARMA</t>
        </is>
      </c>
      <c r="B9" s="13" t="inlineStr">
        <is>
          <t>JBCHEPHARM</t>
        </is>
      </c>
      <c r="C9" s="14" t="n">
        <v>2218.3</v>
      </c>
      <c r="D9" s="14" t="n">
        <v>2151.04</v>
      </c>
      <c r="E9" s="14" t="n">
        <v>2099.42</v>
      </c>
      <c r="F9" s="14" t="n">
        <v>1924.28</v>
      </c>
      <c r="G9" s="15">
        <f>HYPERLINK("https://www.tradingview.com/chart/?symbol=NSE:JBCHEPHARM","Chart 📈")</f>
        <v/>
      </c>
    </row>
    <row r="10" ht="16" customHeight="1">
      <c r="A10" s="16" t="inlineStr">
        <is>
          <t>NIFTY PHARMA</t>
        </is>
      </c>
      <c r="B10" s="13" t="inlineStr">
        <is>
          <t>LAURUSLABS</t>
        </is>
      </c>
      <c r="C10" s="14" t="n">
        <v>1447</v>
      </c>
      <c r="D10" s="14" t="n">
        <v>1353.88</v>
      </c>
      <c r="E10" s="14" t="n">
        <v>1246.56</v>
      </c>
      <c r="F10" s="14" t="n">
        <v>1048.99</v>
      </c>
      <c r="G10" s="15">
        <f>HYPERLINK("https://www.tradingview.com/chart/?symbol=NSE:LAURUSLABS","Chart 📈")</f>
        <v/>
      </c>
    </row>
    <row r="11" ht="16" customHeight="1">
      <c r="A11" s="16" t="inlineStr">
        <is>
          <t>NIFTY PHARMA</t>
        </is>
      </c>
      <c r="B11" s="13" t="inlineStr">
        <is>
          <t>TORNTPHARM</t>
        </is>
      </c>
      <c r="C11" s="14" t="n">
        <v>4508.3</v>
      </c>
      <c r="D11" s="14" t="n">
        <v>4400.25</v>
      </c>
      <c r="E11" s="14" t="n">
        <v>4320.22</v>
      </c>
      <c r="F11" s="14" t="n">
        <v>3980.39</v>
      </c>
      <c r="G11" s="15">
        <f>HYPERLINK("https://www.tradingview.com/chart/?symbol=NSE:TORNTPHARM","Chart 📈")</f>
        <v/>
      </c>
    </row>
    <row r="12" ht="16" customHeight="1">
      <c r="A12" s="16" t="inlineStr">
        <is>
          <t>NIFTY PHARMA</t>
        </is>
      </c>
      <c r="B12" s="13" t="inlineStr">
        <is>
          <t>ZYDUSLIFE</t>
        </is>
      </c>
      <c r="C12" s="14" t="n">
        <v>1093</v>
      </c>
      <c r="D12" s="14" t="n">
        <v>1047.47</v>
      </c>
      <c r="E12" s="14" t="n">
        <v>991.85</v>
      </c>
      <c r="F12" s="14" t="n">
        <v>951.73</v>
      </c>
      <c r="G12" s="15">
        <f>HYPERLINK("https://www.tradingview.com/chart/?symbol=NSE:ZYDUSLIFE","Chart 📈")</f>
        <v/>
      </c>
    </row>
    <row r="13" ht="16" customHeight="1">
      <c r="A13" s="8" t="inlineStr">
        <is>
          <t>NIFTY PSU BANK</t>
        </is>
      </c>
      <c r="B13" s="17" t="inlineStr">
        <is>
          <t>BANKINDIA</t>
        </is>
      </c>
      <c r="C13" s="18" t="n">
        <v>142.65</v>
      </c>
      <c r="D13" s="18" t="n">
        <v>139.28</v>
      </c>
      <c r="E13" s="18" t="n">
        <v>140.71</v>
      </c>
      <c r="F13" s="18" t="n">
        <v>138.31</v>
      </c>
      <c r="G13" s="19">
        <f>HYPERLINK("https://www.tradingview.com/chart/?symbol=NSE:BANKINDIA","Chart 📈")</f>
        <v/>
      </c>
    </row>
    <row r="14" ht="16" customHeight="1">
      <c r="A14" s="20" t="inlineStr">
        <is>
          <t>NIFTY PSU BANK</t>
        </is>
      </c>
      <c r="B14" s="17" t="inlineStr">
        <is>
          <t>CANBK</t>
        </is>
      </c>
      <c r="C14" s="18" t="n">
        <v>135.12</v>
      </c>
      <c r="D14" s="18" t="n">
        <v>132.32</v>
      </c>
      <c r="E14" s="18" t="n">
        <v>134.62</v>
      </c>
      <c r="F14" s="18" t="n">
        <v>134.83</v>
      </c>
      <c r="G14" s="19">
        <f>HYPERLINK("https://www.tradingview.com/chart/?symbol=NSE:CANBK","Chart 📈")</f>
        <v/>
      </c>
    </row>
    <row r="15" ht="16" customHeight="1">
      <c r="A15" s="20" t="inlineStr">
        <is>
          <t>NIFTY PSU BANK</t>
        </is>
      </c>
      <c r="B15" s="17" t="inlineStr">
        <is>
          <t>MAHABANK</t>
        </is>
      </c>
      <c r="C15" s="18" t="n">
        <v>80</v>
      </c>
      <c r="D15" s="18" t="n">
        <v>78.3</v>
      </c>
      <c r="E15" s="18" t="n">
        <v>75.48999999999999</v>
      </c>
      <c r="F15" s="18" t="n">
        <v>65.95</v>
      </c>
      <c r="G15" s="19">
        <f>HYPERLINK("https://www.tradingview.com/chart/?symbol=NSE:MAHABANK","Chart 📈")</f>
        <v/>
      </c>
    </row>
    <row r="16" ht="16" customHeight="1">
      <c r="A16" s="12" t="inlineStr">
        <is>
          <t>NIFTY MIDSMALL IT &amp; TELECOM</t>
        </is>
      </c>
      <c r="B16" s="13" t="inlineStr">
        <is>
          <t>HFCL</t>
        </is>
      </c>
      <c r="C16" s="14" t="n">
        <v>177.87</v>
      </c>
      <c r="D16" s="14" t="n">
        <v>166.4</v>
      </c>
      <c r="E16" s="14" t="n">
        <v>136.02</v>
      </c>
      <c r="F16" s="14" t="n">
        <v>96.34</v>
      </c>
      <c r="G16" s="15">
        <f>HYPERLINK("https://www.tradingview.com/chart/?symbol=NSE:HFCL","Chart 📈")</f>
        <v/>
      </c>
    </row>
    <row r="17" ht="16" customHeight="1">
      <c r="A17" s="16" t="inlineStr">
        <is>
          <t>NIFTY MIDSMALL IT &amp; TELECOM</t>
        </is>
      </c>
      <c r="B17" s="13" t="inlineStr">
        <is>
          <t>IDEA</t>
        </is>
      </c>
      <c r="C17" s="14" t="n">
        <v>14.94</v>
      </c>
      <c r="D17" s="14" t="n">
        <v>13.7</v>
      </c>
      <c r="E17" s="14" t="n">
        <v>12.23</v>
      </c>
      <c r="F17" s="14" t="n">
        <v>10.32</v>
      </c>
      <c r="G17" s="15">
        <f>HYPERLINK("https://www.tradingview.com/chart/?symbol=NSE:IDEA","Chart 📈")</f>
        <v/>
      </c>
    </row>
    <row r="18" ht="16" customHeight="1">
      <c r="A18" s="16" t="inlineStr">
        <is>
          <t>NIFTY MIDSMALL IT &amp; TELECOM</t>
        </is>
      </c>
      <c r="B18" s="13" t="inlineStr">
        <is>
          <t>OFSS</t>
        </is>
      </c>
      <c r="C18" s="14" t="n">
        <v>9868.5</v>
      </c>
      <c r="D18" s="14" t="n">
        <v>9741.690000000001</v>
      </c>
      <c r="E18" s="14" t="n">
        <v>8963.98</v>
      </c>
      <c r="F18" s="14" t="n">
        <v>8162.04</v>
      </c>
      <c r="G18" s="15">
        <f>HYPERLINK("https://www.tradingview.com/chart/?symbol=NSE:OFSS","Chart 📈")</f>
        <v/>
      </c>
    </row>
    <row r="19" ht="16" customHeight="1">
      <c r="A19" s="16" t="inlineStr">
        <is>
          <t>NIFTY MIDSMALL IT &amp; TELECOM</t>
        </is>
      </c>
      <c r="B19" s="13" t="inlineStr">
        <is>
          <t>TATACOMM</t>
        </is>
      </c>
      <c r="C19" s="14" t="n">
        <v>1941.2</v>
      </c>
      <c r="D19" s="14" t="n">
        <v>1859.28</v>
      </c>
      <c r="E19" s="14" t="n">
        <v>1726.49</v>
      </c>
      <c r="F19" s="14" t="n">
        <v>1679.41</v>
      </c>
      <c r="G19" s="15">
        <f>HYPERLINK("https://www.tradingview.com/chart/?symbol=NSE:TATACOMM","Chart 📈")</f>
        <v/>
      </c>
    </row>
    <row r="20" ht="16" customHeight="1">
      <c r="A20" s="16" t="inlineStr">
        <is>
          <t>NIFTY MIDSMALL IT &amp; TELECOM</t>
        </is>
      </c>
      <c r="B20" s="13" t="inlineStr">
        <is>
          <t>TATATECH</t>
        </is>
      </c>
      <c r="C20" s="14" t="n">
        <v>774.45</v>
      </c>
      <c r="D20" s="14" t="n">
        <v>699.6900000000001</v>
      </c>
      <c r="E20" s="14" t="n">
        <v>649.5</v>
      </c>
      <c r="F20" s="14" t="n">
        <v>648.14</v>
      </c>
      <c r="G20" s="15">
        <f>HYPERLINK("https://www.tradingview.com/chart/?symbol=NSE:TATATECH","Chart 📈")</f>
        <v/>
      </c>
    </row>
    <row r="21" ht="16" customHeight="1">
      <c r="A21" s="16" t="inlineStr">
        <is>
          <t>NIFTY MIDSMALL IT &amp; TELECOM</t>
        </is>
      </c>
      <c r="B21" s="13" t="inlineStr">
        <is>
          <t>TEJASNET</t>
        </is>
      </c>
      <c r="C21" s="14" t="n">
        <v>564.4</v>
      </c>
      <c r="D21" s="14" t="n">
        <v>513.67</v>
      </c>
      <c r="E21" s="14" t="n">
        <v>473.11</v>
      </c>
      <c r="F21" s="14" t="n">
        <v>488.27</v>
      </c>
      <c r="G21" s="15">
        <f>HYPERLINK("https://www.tradingview.com/chart/?symbol=NSE:TEJASNET","Chart 📈")</f>
        <v/>
      </c>
    </row>
    <row r="22" ht="16" customHeight="1">
      <c r="A22" s="8" t="inlineStr">
        <is>
          <t>NIFTY MEDIA</t>
        </is>
      </c>
      <c r="B22" s="17" t="inlineStr">
        <is>
          <t>SAREGAMA</t>
        </is>
      </c>
      <c r="C22" s="18" t="n">
        <v>468.7</v>
      </c>
      <c r="D22" s="18" t="n">
        <v>422.2</v>
      </c>
      <c r="E22" s="18" t="n">
        <v>387.03</v>
      </c>
      <c r="F22" s="18" t="n">
        <v>396.64</v>
      </c>
      <c r="G22" s="19">
        <f>HYPERLINK("https://www.tradingview.com/chart/?symbol=NSE:SAREGAMA","Chart 📈")</f>
        <v/>
      </c>
    </row>
    <row r="23" ht="16" customHeight="1">
      <c r="A23" s="20" t="inlineStr">
        <is>
          <t>NIFTY MEDIA</t>
        </is>
      </c>
      <c r="B23" s="17" t="inlineStr">
        <is>
          <t>TIPSMUSIC</t>
        </is>
      </c>
      <c r="C23" s="18" t="n">
        <v>675</v>
      </c>
      <c r="D23" s="18" t="n">
        <v>659.78</v>
      </c>
      <c r="E23" s="18" t="n">
        <v>627.48</v>
      </c>
      <c r="F23" s="18" t="n">
        <v>586.86</v>
      </c>
      <c r="G23" s="19">
        <f>HYPERLINK("https://www.tradingview.com/chart/?symbol=NSE:TIPSMUSIC","Chart 📈")</f>
        <v/>
      </c>
    </row>
    <row r="24" ht="16" customHeight="1">
      <c r="A24" s="20" t="inlineStr">
        <is>
          <t>NIFTY MEDIA</t>
        </is>
      </c>
      <c r="B24" s="17" t="inlineStr">
        <is>
          <t>ZEEL</t>
        </is>
      </c>
      <c r="C24" s="18" t="n">
        <v>113.26</v>
      </c>
      <c r="D24" s="18" t="n">
        <v>94.90000000000001</v>
      </c>
      <c r="E24" s="18" t="n">
        <v>89.95</v>
      </c>
      <c r="F24" s="18" t="n">
        <v>95.59</v>
      </c>
      <c r="G24" s="19">
        <f>HYPERLINK("https://www.tradingview.com/chart/?symbol=NSE:ZEEL","Chart 📈")</f>
        <v/>
      </c>
    </row>
    <row r="25" ht="16" customHeight="1">
      <c r="A25" s="12" t="inlineStr">
        <is>
          <t>NIFTY METAL</t>
        </is>
      </c>
      <c r="B25" s="13" t="inlineStr">
        <is>
          <t>ADANIENT</t>
        </is>
      </c>
      <c r="C25" s="14" t="n">
        <v>3013.1</v>
      </c>
      <c r="D25" s="14" t="n">
        <v>2826.23</v>
      </c>
      <c r="E25" s="14" t="n">
        <v>2571.14</v>
      </c>
      <c r="F25" s="14" t="n">
        <v>2375.12</v>
      </c>
      <c r="G25" s="15">
        <f>HYPERLINK("https://www.tradingview.com/chart/?symbol=NSE:ADANIENT","Chart 📈")</f>
        <v/>
      </c>
    </row>
    <row r="26" ht="16" customHeight="1">
      <c r="A26" s="16" t="inlineStr">
        <is>
          <t>NIFTY METAL</t>
        </is>
      </c>
      <c r="B26" s="13" t="inlineStr">
        <is>
          <t>WELCORP</t>
        </is>
      </c>
      <c r="C26" s="14" t="n">
        <v>1356.2</v>
      </c>
      <c r="D26" s="14" t="n">
        <v>1337.75</v>
      </c>
      <c r="E26" s="14" t="n">
        <v>1212.12</v>
      </c>
      <c r="F26" s="14" t="n">
        <v>990.8</v>
      </c>
      <c r="G26" s="15">
        <f>HYPERLINK("https://www.tradingview.com/chart/?symbol=NSE:WELCORP","Chart 📈")</f>
        <v/>
      </c>
    </row>
    <row r="27" ht="16" customHeight="1">
      <c r="A27" s="8" t="inlineStr">
        <is>
          <t>NIFTY OIL &amp; GAS</t>
        </is>
      </c>
      <c r="B27" s="17" t="inlineStr">
        <is>
          <t>AEGISLOG</t>
        </is>
      </c>
      <c r="C27" s="18" t="n">
        <v>779</v>
      </c>
      <c r="D27" s="18" t="n">
        <v>734.91</v>
      </c>
      <c r="E27" s="18" t="n">
        <v>707.8200000000001</v>
      </c>
      <c r="F27" s="18" t="n">
        <v>716.0599999999999</v>
      </c>
      <c r="G27" s="19">
        <f>HYPERLINK("https://www.tradingview.com/chart/?symbol=NSE:AEGISLOG","Chart 📈")</f>
        <v/>
      </c>
    </row>
    <row r="28" ht="16" customHeight="1">
      <c r="A28" s="20" t="inlineStr">
        <is>
          <t>NIFTY OIL &amp; GAS</t>
        </is>
      </c>
      <c r="B28" s="17" t="inlineStr">
        <is>
          <t>ATGL</t>
        </is>
      </c>
      <c r="C28" s="18" t="n">
        <v>749.3</v>
      </c>
      <c r="D28" s="18" t="n">
        <v>705.64</v>
      </c>
      <c r="E28" s="18" t="n">
        <v>650.66</v>
      </c>
      <c r="F28" s="18" t="n">
        <v>610.28</v>
      </c>
      <c r="G28" s="19">
        <f>HYPERLINK("https://www.tradingview.com/chart/?symbol=NSE:ATGL","Chart 📈")</f>
        <v/>
      </c>
    </row>
    <row r="29" ht="16" customHeight="1">
      <c r="A29" s="20" t="inlineStr">
        <is>
          <t>NIFTY OIL &amp; GAS</t>
        </is>
      </c>
      <c r="B29" s="17" t="inlineStr">
        <is>
          <t>GAIL</t>
        </is>
      </c>
      <c r="C29" s="18" t="n">
        <v>167.24</v>
      </c>
      <c r="D29" s="18" t="n">
        <v>164.45</v>
      </c>
      <c r="E29" s="18" t="n">
        <v>161.67</v>
      </c>
      <c r="F29" s="18" t="n">
        <v>165.04</v>
      </c>
      <c r="G29" s="19">
        <f>HYPERLINK("https://www.tradingview.com/chart/?symbol=NSE:GAIL","Chart 📈")</f>
        <v/>
      </c>
    </row>
    <row r="30" ht="16" customHeight="1">
      <c r="A30" s="20" t="inlineStr">
        <is>
          <t>NIFTY OIL &amp; GAS</t>
        </is>
      </c>
      <c r="B30" s="17" t="inlineStr">
        <is>
          <t>GUJGASLTD</t>
        </is>
      </c>
      <c r="C30" s="18" t="n">
        <v>401.1</v>
      </c>
      <c r="D30" s="18" t="n">
        <v>386.45</v>
      </c>
      <c r="E30" s="18" t="n">
        <v>379.31</v>
      </c>
      <c r="F30" s="18" t="n">
        <v>399.57</v>
      </c>
      <c r="G30" s="19">
        <f>HYPERLINK("https://www.tradingview.com/chart/?symbol=NSE:GUJGASLTD","Chart 📈")</f>
        <v/>
      </c>
    </row>
    <row r="31" ht="16" customHeight="1">
      <c r="A31" s="20" t="inlineStr">
        <is>
          <t>NIFTY OIL &amp; GAS</t>
        </is>
      </c>
      <c r="B31" s="17" t="inlineStr">
        <is>
          <t>OIL</t>
        </is>
      </c>
      <c r="C31" s="18" t="n">
        <v>488</v>
      </c>
      <c r="D31" s="18" t="n">
        <v>487.63</v>
      </c>
      <c r="E31" s="18" t="n">
        <v>482.18</v>
      </c>
      <c r="F31" s="18" t="n">
        <v>453.81</v>
      </c>
      <c r="G31" s="19">
        <f>HYPERLINK("https://www.tradingview.com/chart/?symbol=NSE:OIL","Chart 📈")</f>
        <v/>
      </c>
    </row>
    <row r="32" ht="16" customHeight="1">
      <c r="A32" s="12" t="inlineStr">
        <is>
          <t>NIFTY ENERGY</t>
        </is>
      </c>
      <c r="B32" s="13" t="inlineStr">
        <is>
          <t>ABB</t>
        </is>
      </c>
      <c r="C32" s="14" t="n">
        <v>7020</v>
      </c>
      <c r="D32" s="14" t="n">
        <v>6967.97</v>
      </c>
      <c r="E32" s="14" t="n">
        <v>6757.93</v>
      </c>
      <c r="F32" s="14" t="n">
        <v>6072.18</v>
      </c>
      <c r="G32" s="15">
        <f>HYPERLINK("https://www.tradingview.com/chart/?symbol=NSE:ABB","Chart 📈")</f>
        <v/>
      </c>
    </row>
    <row r="33" ht="16" customHeight="1">
      <c r="A33" s="16" t="inlineStr">
        <is>
          <t>NIFTY ENERGY</t>
        </is>
      </c>
      <c r="B33" s="13" t="inlineStr">
        <is>
          <t>ADANIENSOL</t>
        </is>
      </c>
      <c r="C33" s="14" t="n">
        <v>1571.6</v>
      </c>
      <c r="D33" s="14" t="n">
        <v>1457.86</v>
      </c>
      <c r="E33" s="14" t="n">
        <v>1334.15</v>
      </c>
      <c r="F33" s="14" t="n">
        <v>1096.77</v>
      </c>
      <c r="G33" s="15">
        <f>HYPERLINK("https://www.tradingview.com/chart/?symbol=NSE:ADANIENSOL","Chart 📈")</f>
        <v/>
      </c>
    </row>
    <row r="34" ht="16" customHeight="1">
      <c r="A34" s="16" t="inlineStr">
        <is>
          <t>NIFTY ENERGY</t>
        </is>
      </c>
      <c r="B34" s="13" t="inlineStr">
        <is>
          <t>ADANIGREEN</t>
        </is>
      </c>
      <c r="C34" s="14" t="n">
        <v>1500.1</v>
      </c>
      <c r="D34" s="14" t="n">
        <v>1415.4</v>
      </c>
      <c r="E34" s="14" t="n">
        <v>1283.33</v>
      </c>
      <c r="F34" s="14" t="n">
        <v>1093.37</v>
      </c>
      <c r="G34" s="15">
        <f>HYPERLINK("https://www.tradingview.com/chart/?symbol=NSE:ADANIGREEN","Chart 📈")</f>
        <v/>
      </c>
    </row>
    <row r="35" ht="16" customHeight="1">
      <c r="A35" s="16" t="inlineStr">
        <is>
          <t>NIFTY ENERGY</t>
        </is>
      </c>
      <c r="B35" s="13" t="inlineStr">
        <is>
          <t>ADANIPOWER</t>
        </is>
      </c>
      <c r="C35" s="14" t="n">
        <v>231.85</v>
      </c>
      <c r="D35" s="14" t="n">
        <v>229.51</v>
      </c>
      <c r="E35" s="14" t="n">
        <v>211.02</v>
      </c>
      <c r="F35" s="14" t="n">
        <v>167.34</v>
      </c>
      <c r="G35" s="15">
        <f>HYPERLINK("https://www.tradingview.com/chart/?symbol=NSE:ADANIPOWER","Chart 📈")</f>
        <v/>
      </c>
    </row>
    <row r="36" ht="16" customHeight="1">
      <c r="A36" s="16" t="inlineStr">
        <is>
          <t>NIFTY ENERGY</t>
        </is>
      </c>
      <c r="B36" s="13" t="inlineStr">
        <is>
          <t>CGPOWER</t>
        </is>
      </c>
      <c r="C36" s="14" t="n">
        <v>929.75</v>
      </c>
      <c r="D36" s="14" t="n">
        <v>888.66</v>
      </c>
      <c r="E36" s="14" t="n">
        <v>831.08</v>
      </c>
      <c r="F36" s="14" t="n">
        <v>740.11</v>
      </c>
      <c r="G36" s="15">
        <f>HYPERLINK("https://www.tradingview.com/chart/?symbol=NSE:CGPOWER","Chart 📈")</f>
        <v/>
      </c>
    </row>
    <row r="37" ht="16" customHeight="1">
      <c r="A37" s="16" t="inlineStr">
        <is>
          <t>NIFTY ENERGY</t>
        </is>
      </c>
      <c r="B37" s="13" t="inlineStr">
        <is>
          <t>COALINDIA</t>
        </is>
      </c>
      <c r="C37" s="14" t="n">
        <v>466.6</v>
      </c>
      <c r="D37" s="14" t="n">
        <v>465.84</v>
      </c>
      <c r="E37" s="14" t="n">
        <v>458.33</v>
      </c>
      <c r="F37" s="14" t="n">
        <v>422.87</v>
      </c>
      <c r="G37" s="15">
        <f>HYPERLINK("https://www.tradingview.com/chart/?symbol=NSE:COALINDIA","Chart 📈")</f>
        <v/>
      </c>
    </row>
    <row r="38" ht="16" customHeight="1">
      <c r="A38" s="16" t="inlineStr">
        <is>
          <t>NIFTY ENERGY</t>
        </is>
      </c>
      <c r="B38" s="13" t="inlineStr">
        <is>
          <t>GVT&amp;D</t>
        </is>
      </c>
      <c r="C38" s="14" t="n">
        <v>4832</v>
      </c>
      <c r="D38" s="14" t="n">
        <v>4796.26</v>
      </c>
      <c r="E38" s="14" t="n">
        <v>4467.88</v>
      </c>
      <c r="F38" s="14" t="n">
        <v>3599.79</v>
      </c>
      <c r="G38" s="15">
        <f>HYPERLINK("https://www.tradingview.com/chart/?symbol=NSE:GVT&amp;D","Chart 📈")</f>
        <v/>
      </c>
    </row>
    <row r="39" ht="16" customHeight="1">
      <c r="A39" s="16" t="inlineStr">
        <is>
          <t>NIFTY ENERGY</t>
        </is>
      </c>
      <c r="B39" s="13" t="inlineStr">
        <is>
          <t>JSWENERGY</t>
        </is>
      </c>
      <c r="C39" s="14" t="n">
        <v>577.25</v>
      </c>
      <c r="D39" s="14" t="n">
        <v>568.54</v>
      </c>
      <c r="E39" s="14" t="n">
        <v>546.62</v>
      </c>
      <c r="F39" s="14" t="n">
        <v>519.09</v>
      </c>
      <c r="G39" s="15">
        <f>HYPERLINK("https://www.tradingview.com/chart/?symbol=NSE:JSWENERGY","Chart 📈")</f>
        <v/>
      </c>
    </row>
    <row r="40" ht="16" customHeight="1">
      <c r="A40" s="16" t="inlineStr">
        <is>
          <t>NIFTY ENERGY</t>
        </is>
      </c>
      <c r="B40" s="13" t="inlineStr">
        <is>
          <t>NLCINDIA</t>
        </is>
      </c>
      <c r="C40" s="14" t="n">
        <v>339.35</v>
      </c>
      <c r="D40" s="14" t="n">
        <v>339.24</v>
      </c>
      <c r="E40" s="14" t="n">
        <v>319.67</v>
      </c>
      <c r="F40" s="14" t="n">
        <v>276.87</v>
      </c>
      <c r="G40" s="15">
        <f>HYPERLINK("https://www.tradingview.com/chart/?symbol=NSE:NLCINDIA","Chart 📈")</f>
        <v/>
      </c>
    </row>
    <row r="41" ht="16" customHeight="1">
      <c r="A41" s="16" t="inlineStr">
        <is>
          <t>NIFTY ENERGY</t>
        </is>
      </c>
      <c r="B41" s="13" t="inlineStr">
        <is>
          <t>POWERINDIA</t>
        </is>
      </c>
      <c r="C41" s="14" t="n">
        <v>35380</v>
      </c>
      <c r="D41" s="14" t="n">
        <v>35255.68</v>
      </c>
      <c r="E41" s="14" t="n">
        <v>32305.68</v>
      </c>
      <c r="F41" s="14" t="n">
        <v>25099.54</v>
      </c>
      <c r="G41" s="15">
        <f>HYPERLINK("https://www.tradingview.com/chart/?symbol=NSE:POWERINDIA","Chart 📈")</f>
        <v/>
      </c>
    </row>
    <row r="42" ht="16" customHeight="1">
      <c r="A42" s="16" t="inlineStr">
        <is>
          <t>NIFTY ENERGY</t>
        </is>
      </c>
      <c r="B42" s="13" t="inlineStr">
        <is>
          <t>SUZLON</t>
        </is>
      </c>
      <c r="C42" s="14" t="n">
        <v>55.2</v>
      </c>
      <c r="D42" s="14" t="n">
        <v>54.58</v>
      </c>
      <c r="E42" s="14" t="n">
        <v>52.33</v>
      </c>
      <c r="F42" s="14" t="n">
        <v>52.9</v>
      </c>
      <c r="G42" s="15">
        <f>HYPERLINK("https://www.tradingview.com/chart/?symbol=NSE:SUZLON","Chart 📈")</f>
        <v/>
      </c>
    </row>
    <row r="43" ht="16" customHeight="1">
      <c r="A43" s="16" t="inlineStr">
        <is>
          <t>NIFTY ENERGY</t>
        </is>
      </c>
      <c r="B43" s="13" t="inlineStr">
        <is>
          <t>THERMAX</t>
        </is>
      </c>
      <c r="C43" s="14" t="n">
        <v>4844.9</v>
      </c>
      <c r="D43" s="14" t="n">
        <v>4637.51</v>
      </c>
      <c r="E43" s="14" t="n">
        <v>4242.41</v>
      </c>
      <c r="F43" s="14" t="n">
        <v>3593.49</v>
      </c>
      <c r="G43" s="15">
        <f>HYPERLINK("https://www.tradingview.com/chart/?symbol=NSE:THERMAX","Chart 📈")</f>
        <v/>
      </c>
    </row>
    <row r="44" ht="16" customHeight="1">
      <c r="A44" s="16" t="inlineStr">
        <is>
          <t>NIFTY ENERGY</t>
        </is>
      </c>
      <c r="B44" s="13" t="inlineStr">
        <is>
          <t>TRITURBINE</t>
        </is>
      </c>
      <c r="C44" s="14" t="n">
        <v>675.85</v>
      </c>
      <c r="D44" s="14" t="n">
        <v>663.91</v>
      </c>
      <c r="E44" s="14" t="n">
        <v>605.01</v>
      </c>
      <c r="F44" s="14" t="n">
        <v>551.79</v>
      </c>
      <c r="G44" s="15">
        <f>HYPERLINK("https://www.tradingview.com/chart/?symbol=NSE:TRITURBINE","Chart 📈")</f>
        <v/>
      </c>
    </row>
    <row r="45" ht="16" customHeight="1">
      <c r="A45" s="8" t="inlineStr">
        <is>
          <t>NIFTY AUTO</t>
        </is>
      </c>
      <c r="B45" s="17" t="inlineStr">
        <is>
          <t>BOSCHLTD</t>
        </is>
      </c>
      <c r="C45" s="18" t="n">
        <v>36735</v>
      </c>
      <c r="D45" s="18" t="n">
        <v>36714.86</v>
      </c>
      <c r="E45" s="18" t="n">
        <v>36157.12</v>
      </c>
      <c r="F45" s="18" t="n">
        <v>35709.16</v>
      </c>
      <c r="G45" s="19">
        <f>HYPERLINK("https://www.tradingview.com/chart/?symbol=NSE:BOSCHLTD","Chart 📈")</f>
        <v/>
      </c>
    </row>
    <row r="46" ht="16" customHeight="1">
      <c r="A46" s="20" t="inlineStr">
        <is>
          <t>NIFTY AUTO</t>
        </is>
      </c>
      <c r="B46" s="17" t="inlineStr">
        <is>
          <t>EXIDEIND</t>
        </is>
      </c>
      <c r="C46" s="18" t="n">
        <v>390.15</v>
      </c>
      <c r="D46" s="18" t="n">
        <v>376.58</v>
      </c>
      <c r="E46" s="18" t="n">
        <v>357.27</v>
      </c>
      <c r="F46" s="18" t="n">
        <v>357.86</v>
      </c>
      <c r="G46" s="19">
        <f>HYPERLINK("https://www.tradingview.com/chart/?symbol=NSE:EXIDEIND","Chart 📈")</f>
        <v/>
      </c>
    </row>
    <row r="47" ht="16" customHeight="1">
      <c r="A47" s="20" t="inlineStr">
        <is>
          <t>NIFTY AUTO</t>
        </is>
      </c>
      <c r="B47" s="17" t="inlineStr">
        <is>
          <t>MOTHERSON</t>
        </is>
      </c>
      <c r="C47" s="18" t="n">
        <v>141.33</v>
      </c>
      <c r="D47" s="18" t="n">
        <v>137.97</v>
      </c>
      <c r="E47" s="18" t="n">
        <v>130.79</v>
      </c>
      <c r="F47" s="18" t="n">
        <v>119.04</v>
      </c>
      <c r="G47" s="19">
        <f>HYPERLINK("https://www.tradingview.com/chart/?symbol=NSE:MOTHERSON","Chart 📈")</f>
        <v/>
      </c>
    </row>
    <row r="48" ht="16" customHeight="1">
      <c r="A48" s="12" t="inlineStr">
        <is>
          <t>NIFTY CONSUMER DURABLES</t>
        </is>
      </c>
      <c r="B48" s="13" t="inlineStr">
        <is>
          <t>AMBER</t>
        </is>
      </c>
      <c r="C48" s="14" t="n">
        <v>7685</v>
      </c>
      <c r="D48" s="14" t="n">
        <v>7665.43</v>
      </c>
      <c r="E48" s="14" t="n">
        <v>7600.22</v>
      </c>
      <c r="F48" s="14" t="n">
        <v>7293.37</v>
      </c>
      <c r="G48" s="15">
        <f>HYPERLINK("https://www.tradingview.com/chart/?symbol=NSE:AMBER","Chart 📈")</f>
        <v/>
      </c>
    </row>
    <row r="49" ht="16" customHeight="1">
      <c r="A49" s="16" t="inlineStr">
        <is>
          <t>NIFTY CONSUMER DURABLES</t>
        </is>
      </c>
      <c r="B49" s="13" t="inlineStr">
        <is>
          <t>TITAN</t>
        </is>
      </c>
      <c r="C49" s="14" t="n">
        <v>4220.6</v>
      </c>
      <c r="D49" s="14" t="n">
        <v>4171.06</v>
      </c>
      <c r="E49" s="14" t="n">
        <v>4203.77</v>
      </c>
      <c r="F49" s="14" t="n">
        <v>4019.05</v>
      </c>
      <c r="G49" s="15">
        <f>HYPERLINK("https://www.tradingview.com/chart/?symbol=NSE:TITAN","Chart 📈")</f>
        <v/>
      </c>
    </row>
    <row r="50" ht="16" customHeight="1">
      <c r="A50" s="8" t="inlineStr">
        <is>
          <t>NIFTY FMCG</t>
        </is>
      </c>
      <c r="B50" s="17" t="inlineStr">
        <is>
          <t>BALRAMCHIN</t>
        </is>
      </c>
      <c r="C50" s="18" t="n">
        <v>541.6</v>
      </c>
      <c r="D50" s="18" t="n">
        <v>531.1900000000001</v>
      </c>
      <c r="E50" s="18" t="n">
        <v>517.67</v>
      </c>
      <c r="F50" s="18" t="n">
        <v>503.29</v>
      </c>
      <c r="G50" s="19">
        <f>HYPERLINK("https://www.tradingview.com/chart/?symbol=NSE:BALRAMCHIN","Chart 📈")</f>
        <v/>
      </c>
    </row>
    <row r="51" ht="16" customHeight="1">
      <c r="A51" s="12" t="inlineStr">
        <is>
          <t>NIFTY BANK</t>
        </is>
      </c>
      <c r="B51" s="13" t="inlineStr">
        <is>
          <t>FEDERALBNK</t>
        </is>
      </c>
      <c r="C51" s="14" t="n">
        <v>305.15</v>
      </c>
      <c r="D51" s="14" t="n">
        <v>293.09</v>
      </c>
      <c r="E51" s="14" t="n">
        <v>288.05</v>
      </c>
      <c r="F51" s="14" t="n">
        <v>263.14</v>
      </c>
      <c r="G51" s="15">
        <f>HYPERLINK("https://www.tradingview.com/chart/?symbol=NSE:FEDERALBNK","Chart 📈")</f>
        <v/>
      </c>
    </row>
    <row r="52" ht="16" customHeight="1">
      <c r="A52" s="8" t="inlineStr">
        <is>
          <t>NIFTY REALTY</t>
        </is>
      </c>
      <c r="B52" s="17" t="inlineStr">
        <is>
          <t>RAYMOND</t>
        </is>
      </c>
      <c r="C52" s="18" t="n">
        <v>518.3</v>
      </c>
      <c r="D52" s="18" t="n">
        <v>514.63</v>
      </c>
      <c r="E52" s="18" t="n">
        <v>478.73</v>
      </c>
      <c r="F52" s="18" t="n">
        <v>483.73</v>
      </c>
      <c r="G52" s="19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2026-06-08T04:38:44Z</dcterms:created>
  <dcterms:modified xsi:type="dcterms:W3CDTF">2026-06-08T04:38:44Z</dcterms:modified>
</cp:coreProperties>
</file>