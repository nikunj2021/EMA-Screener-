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25-Jun-2026  13:25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15</v>
      </c>
      <c r="D4" s="5" t="n">
        <v>17</v>
      </c>
      <c r="E4" s="5" t="n">
        <v>18</v>
      </c>
      <c r="F4" s="6" t="n">
        <v>0.75</v>
      </c>
      <c r="G4" s="6" t="n">
        <v>0.85</v>
      </c>
      <c r="H4" s="6" t="n">
        <v>0.9</v>
      </c>
      <c r="I4" s="7" t="n">
        <v>0.8332999999999999</v>
      </c>
    </row>
    <row r="5" ht="17" customHeight="1">
      <c r="A5" s="8" t="inlineStr">
        <is>
          <t>NIFTY REALTY</t>
        </is>
      </c>
      <c r="B5" s="9" t="n">
        <v>10</v>
      </c>
      <c r="C5" s="9" t="n">
        <v>10</v>
      </c>
      <c r="D5" s="9" t="n">
        <v>9</v>
      </c>
      <c r="E5" s="9" t="n">
        <v>5</v>
      </c>
      <c r="F5" s="10" t="n">
        <v>1</v>
      </c>
      <c r="G5" s="10" t="n">
        <v>0.9</v>
      </c>
      <c r="H5" s="10" t="n">
        <v>0.5</v>
      </c>
      <c r="I5" s="11" t="n">
        <v>0.8</v>
      </c>
    </row>
    <row r="6" ht="17" customHeight="1">
      <c r="A6" s="4" t="inlineStr">
        <is>
          <t>NIFTY AUTO</t>
        </is>
      </c>
      <c r="B6" s="5" t="n">
        <v>15</v>
      </c>
      <c r="C6" s="5" t="n">
        <v>12</v>
      </c>
      <c r="D6" s="5" t="n">
        <v>12</v>
      </c>
      <c r="E6" s="5" t="n">
        <v>8</v>
      </c>
      <c r="F6" s="6" t="n">
        <v>0.8</v>
      </c>
      <c r="G6" s="6" t="n">
        <v>0.8</v>
      </c>
      <c r="H6" s="6" t="n">
        <v>0.5329999999999999</v>
      </c>
      <c r="I6" s="7" t="n">
        <v>0.711</v>
      </c>
    </row>
    <row r="7" ht="17" customHeight="1">
      <c r="A7" s="8" t="inlineStr">
        <is>
          <t>NIFTY PSU BANK</t>
        </is>
      </c>
      <c r="B7" s="9" t="n">
        <v>12</v>
      </c>
      <c r="C7" s="9" t="n">
        <v>10</v>
      </c>
      <c r="D7" s="9" t="n">
        <v>9</v>
      </c>
      <c r="E7" s="9" t="n">
        <v>6</v>
      </c>
      <c r="F7" s="10" t="n">
        <v>0.833</v>
      </c>
      <c r="G7" s="10" t="n">
        <v>0.75</v>
      </c>
      <c r="H7" s="10" t="n">
        <v>0.5</v>
      </c>
      <c r="I7" s="11" t="n">
        <v>0.6943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15</v>
      </c>
      <c r="D8" s="5" t="n">
        <v>12</v>
      </c>
      <c r="E8" s="5" t="n">
        <v>11</v>
      </c>
      <c r="F8" s="6" t="n">
        <v>0.75</v>
      </c>
      <c r="G8" s="6" t="n">
        <v>0.6</v>
      </c>
      <c r="H8" s="6" t="n">
        <v>0.55</v>
      </c>
      <c r="I8" s="7" t="n">
        <v>0.6333</v>
      </c>
    </row>
    <row r="9" ht="17" customHeight="1">
      <c r="A9" s="8" t="inlineStr">
        <is>
          <t>NIFTY MEDIA</t>
        </is>
      </c>
      <c r="B9" s="9" t="n">
        <v>10</v>
      </c>
      <c r="C9" s="9" t="n">
        <v>6</v>
      </c>
      <c r="D9" s="9" t="n">
        <v>7</v>
      </c>
      <c r="E9" s="9" t="n">
        <v>5</v>
      </c>
      <c r="F9" s="10" t="n">
        <v>0.6</v>
      </c>
      <c r="G9" s="10" t="n">
        <v>0.7</v>
      </c>
      <c r="H9" s="10" t="n">
        <v>0.5</v>
      </c>
      <c r="I9" s="11" t="n">
        <v>0.6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11</v>
      </c>
      <c r="D10" s="5" t="n">
        <v>10</v>
      </c>
      <c r="E10" s="5" t="n">
        <v>6</v>
      </c>
      <c r="F10" s="6" t="n">
        <v>0.733</v>
      </c>
      <c r="G10" s="6" t="n">
        <v>0.667</v>
      </c>
      <c r="H10" s="6" t="n">
        <v>0.4</v>
      </c>
      <c r="I10" s="7" t="n">
        <v>0.6</v>
      </c>
    </row>
    <row r="11" ht="17" customHeight="1">
      <c r="A11" s="8" t="inlineStr">
        <is>
          <t>NIFTY FMCG</t>
        </is>
      </c>
      <c r="B11" s="9" t="n">
        <v>15</v>
      </c>
      <c r="C11" s="9" t="n">
        <v>9</v>
      </c>
      <c r="D11" s="9" t="n">
        <v>6</v>
      </c>
      <c r="E11" s="9" t="n">
        <v>7</v>
      </c>
      <c r="F11" s="10" t="n">
        <v>0.6</v>
      </c>
      <c r="G11" s="10" t="n">
        <v>0.4</v>
      </c>
      <c r="H11" s="10" t="n">
        <v>0.467</v>
      </c>
      <c r="I11" s="11" t="n">
        <v>0.489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9</v>
      </c>
      <c r="D12" s="5" t="n">
        <v>10</v>
      </c>
      <c r="E12" s="5" t="n">
        <v>7</v>
      </c>
      <c r="F12" s="6" t="n">
        <v>0.45</v>
      </c>
      <c r="G12" s="6" t="n">
        <v>0.5</v>
      </c>
      <c r="H12" s="6" t="n">
        <v>0.35</v>
      </c>
      <c r="I12" s="7" t="n">
        <v>0.4333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7</v>
      </c>
      <c r="D13" s="9" t="n">
        <v>8</v>
      </c>
      <c r="E13" s="9" t="n">
        <v>4</v>
      </c>
      <c r="F13" s="10" t="n">
        <v>0.467</v>
      </c>
      <c r="G13" s="10" t="n">
        <v>0.5329999999999999</v>
      </c>
      <c r="H13" s="10" t="n">
        <v>0.267</v>
      </c>
      <c r="I13" s="11" t="n">
        <v>0.4223</v>
      </c>
    </row>
    <row r="14" ht="17" customHeight="1">
      <c r="A14" s="4" t="inlineStr">
        <is>
          <t>NIFTY ENERGY</t>
        </is>
      </c>
      <c r="B14" s="5" t="n">
        <v>40</v>
      </c>
      <c r="C14" s="5" t="n">
        <v>11</v>
      </c>
      <c r="D14" s="5" t="n">
        <v>16</v>
      </c>
      <c r="E14" s="5" t="n">
        <v>19</v>
      </c>
      <c r="F14" s="6" t="n">
        <v>0.275</v>
      </c>
      <c r="G14" s="6" t="n">
        <v>0.4</v>
      </c>
      <c r="H14" s="6" t="n">
        <v>0.475</v>
      </c>
      <c r="I14" s="7" t="n">
        <v>0.3833</v>
      </c>
    </row>
    <row r="15" ht="17" customHeight="1">
      <c r="A15" s="8" t="inlineStr">
        <is>
          <t>NIFTY METAL</t>
        </is>
      </c>
      <c r="B15" s="9" t="n">
        <v>15</v>
      </c>
      <c r="C15" s="9" t="n">
        <v>3</v>
      </c>
      <c r="D15" s="9" t="n">
        <v>3</v>
      </c>
      <c r="E15" s="9" t="n">
        <v>9</v>
      </c>
      <c r="F15" s="10" t="n">
        <v>0.2</v>
      </c>
      <c r="G15" s="10" t="n">
        <v>0.2</v>
      </c>
      <c r="H15" s="10" t="n">
        <v>0.6</v>
      </c>
      <c r="I15" s="11" t="n">
        <v>0.3333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3180.4</v>
      </c>
      <c r="D3" s="14" t="n">
        <v>3099.5</v>
      </c>
      <c r="E3" s="14" t="n">
        <v>3031.59</v>
      </c>
      <c r="F3" s="14" t="n">
        <v>2836.39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5425</v>
      </c>
      <c r="D4" s="14" t="n">
        <v>5375.69</v>
      </c>
      <c r="E4" s="14" t="n">
        <v>5400.03</v>
      </c>
      <c r="F4" s="14" t="n">
        <v>5389.02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1555.2</v>
      </c>
      <c r="D5" s="14" t="n">
        <v>1475.9</v>
      </c>
      <c r="E5" s="14" t="n">
        <v>1438.59</v>
      </c>
      <c r="F5" s="14" t="n">
        <v>1293.99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CIPLA</t>
        </is>
      </c>
      <c r="C6" s="14" t="n">
        <v>1440.1</v>
      </c>
      <c r="D6" s="14" t="n">
        <v>1391</v>
      </c>
      <c r="E6" s="14" t="n">
        <v>1362.57</v>
      </c>
      <c r="F6" s="14" t="n">
        <v>1386.04</v>
      </c>
      <c r="G6" s="15">
        <f>HYPERLINK("https://www.tradingview.com/chart/?symbol=NSE:CIPLA","Chart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6713.5</v>
      </c>
      <c r="D7" s="14" t="n">
        <v>6698.75</v>
      </c>
      <c r="E7" s="14" t="n">
        <v>6606.81</v>
      </c>
      <c r="F7" s="14" t="n">
        <v>6440.45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DRREDDY</t>
        </is>
      </c>
      <c r="C8" s="14" t="n">
        <v>1350.5</v>
      </c>
      <c r="D8" s="14" t="n">
        <v>1294.07</v>
      </c>
      <c r="E8" s="14" t="n">
        <v>1288.74</v>
      </c>
      <c r="F8" s="14" t="n">
        <v>1277.5</v>
      </c>
      <c r="G8" s="15">
        <f>HYPERLINK("https://www.tradingview.com/chart/?symbol=NSE:DRREDDY","Chart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2314.8</v>
      </c>
      <c r="D9" s="14" t="n">
        <v>2233.13</v>
      </c>
      <c r="E9" s="14" t="n">
        <v>2109.08</v>
      </c>
      <c r="F9" s="14" t="n">
        <v>1907.26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IPCALAB</t>
        </is>
      </c>
      <c r="C10" s="14" t="n">
        <v>1618.3</v>
      </c>
      <c r="D10" s="14" t="n">
        <v>1590.24</v>
      </c>
      <c r="E10" s="14" t="n">
        <v>1568.39</v>
      </c>
      <c r="F10" s="14" t="n">
        <v>1488.68</v>
      </c>
      <c r="G10" s="15">
        <f>HYPERLINK("https://www.tradingview.com/chart/?symbol=NSE:IPCALAB","Chart 📈")</f>
        <v/>
      </c>
    </row>
    <row r="11" ht="16" customHeight="1">
      <c r="A11" s="16" t="inlineStr">
        <is>
          <t>NIFTY PHARMA</t>
        </is>
      </c>
      <c r="B11" s="13" t="inlineStr">
        <is>
          <t>JBCHEPHARM</t>
        </is>
      </c>
      <c r="C11" s="14" t="n">
        <v>2243.9</v>
      </c>
      <c r="D11" s="14" t="n">
        <v>2199.94</v>
      </c>
      <c r="E11" s="14" t="n">
        <v>2146.81</v>
      </c>
      <c r="F11" s="14" t="n">
        <v>1968.94</v>
      </c>
      <c r="G11" s="15">
        <f>HYPERLINK("https://www.tradingview.com/chart/?symbol=NSE:JBCHEPHARM","Chart 📈")</f>
        <v/>
      </c>
    </row>
    <row r="12" ht="16" customHeight="1">
      <c r="A12" s="16" t="inlineStr">
        <is>
          <t>NIFTY PHARMA</t>
        </is>
      </c>
      <c r="B12" s="13" t="inlineStr">
        <is>
          <t>LAURUSLABS</t>
        </is>
      </c>
      <c r="C12" s="14" t="n">
        <v>1450</v>
      </c>
      <c r="D12" s="14" t="n">
        <v>1400.19</v>
      </c>
      <c r="E12" s="14" t="n">
        <v>1313.3</v>
      </c>
      <c r="F12" s="14" t="n">
        <v>1092.99</v>
      </c>
      <c r="G12" s="15">
        <f>HYPERLINK("https://www.tradingview.com/chart/?symbol=NSE:LAURUSLABS","Chart 📈")</f>
        <v/>
      </c>
    </row>
    <row r="13" ht="16" customHeight="1">
      <c r="A13" s="16" t="inlineStr">
        <is>
          <t>NIFTY PHARMA</t>
        </is>
      </c>
      <c r="B13" s="13" t="inlineStr">
        <is>
          <t>LUPIN</t>
        </is>
      </c>
      <c r="C13" s="14" t="n">
        <v>2343.5</v>
      </c>
      <c r="D13" s="14" t="n">
        <v>2307.6</v>
      </c>
      <c r="E13" s="14" t="n">
        <v>2294.62</v>
      </c>
      <c r="F13" s="14" t="n">
        <v>2189.33</v>
      </c>
      <c r="G13" s="15">
        <f>HYPERLINK("https://www.tradingview.com/chart/?symbol=NSE:LUPIN","Chart 📈")</f>
        <v/>
      </c>
    </row>
    <row r="14" ht="16" customHeight="1">
      <c r="A14" s="16" t="inlineStr">
        <is>
          <t>NIFTY PHARMA</t>
        </is>
      </c>
      <c r="B14" s="13" t="inlineStr">
        <is>
          <t>MANKIND</t>
        </is>
      </c>
      <c r="C14" s="14" t="n">
        <v>2462.3</v>
      </c>
      <c r="D14" s="14" t="n">
        <v>2420.36</v>
      </c>
      <c r="E14" s="14" t="n">
        <v>2358.83</v>
      </c>
      <c r="F14" s="14" t="n">
        <v>2289.78</v>
      </c>
      <c r="G14" s="15">
        <f>HYPERLINK("https://www.tradingview.com/chart/?symbol=NSE:MANKIND","Chart 📈")</f>
        <v/>
      </c>
    </row>
    <row r="15" ht="16" customHeight="1">
      <c r="A15" s="16" t="inlineStr">
        <is>
          <t>NIFTY PHARMA</t>
        </is>
      </c>
      <c r="B15" s="13" t="inlineStr">
        <is>
          <t>SUNPHARMA</t>
        </is>
      </c>
      <c r="C15" s="14" t="n">
        <v>1862.8</v>
      </c>
      <c r="D15" s="14" t="n">
        <v>1829.8</v>
      </c>
      <c r="E15" s="14" t="n">
        <v>1808.28</v>
      </c>
      <c r="F15" s="14" t="n">
        <v>1744.6</v>
      </c>
      <c r="G15" s="15">
        <f>HYPERLINK("https://www.tradingview.com/chart/?symbol=NSE:SUNPHARMA","Chart 📈")</f>
        <v/>
      </c>
    </row>
    <row r="16" ht="16" customHeight="1">
      <c r="A16" s="16" t="inlineStr">
        <is>
          <t>NIFTY PHARMA</t>
        </is>
      </c>
      <c r="B16" s="13" t="inlineStr">
        <is>
          <t>TORNTPHARM</t>
        </is>
      </c>
      <c r="C16" s="14" t="n">
        <v>4516.2</v>
      </c>
      <c r="D16" s="14" t="n">
        <v>4461.63</v>
      </c>
      <c r="E16" s="14" t="n">
        <v>4386.2</v>
      </c>
      <c r="F16" s="14" t="n">
        <v>4045.47</v>
      </c>
      <c r="G16" s="15">
        <f>HYPERLINK("https://www.tradingview.com/chart/?symbol=NSE:TORNTPHARM","Chart 📈")</f>
        <v/>
      </c>
    </row>
    <row r="17" ht="16" customHeight="1">
      <c r="A17" s="16" t="inlineStr">
        <is>
          <t>NIFTY PHARMA</t>
        </is>
      </c>
      <c r="B17" s="13" t="inlineStr">
        <is>
          <t>ZYDUSLIFE</t>
        </is>
      </c>
      <c r="C17" s="14" t="n">
        <v>1101.4</v>
      </c>
      <c r="D17" s="14" t="n">
        <v>1079.18</v>
      </c>
      <c r="E17" s="14" t="n">
        <v>1031.96</v>
      </c>
      <c r="F17" s="14" t="n">
        <v>968.84</v>
      </c>
      <c r="G17" s="15">
        <f>HYPERLINK("https://www.tradingview.com/chart/?symbol=NSE:ZYDUSLIFE","Chart 📈")</f>
        <v/>
      </c>
    </row>
    <row r="18" ht="16" customHeight="1">
      <c r="A18" s="8" t="inlineStr">
        <is>
          <t>NIFTY REALTY</t>
        </is>
      </c>
      <c r="B18" s="17" t="inlineStr">
        <is>
          <t>MAHLIFE</t>
        </is>
      </c>
      <c r="C18" s="18" t="n">
        <v>361.25</v>
      </c>
      <c r="D18" s="18" t="n">
        <v>345.24</v>
      </c>
      <c r="E18" s="18" t="n">
        <v>340.82</v>
      </c>
      <c r="F18" s="18" t="n">
        <v>354.25</v>
      </c>
      <c r="G18" s="19">
        <f>HYPERLINK("https://www.tradingview.com/chart/?symbol=NSE:MAHLIFE","Chart 📈")</f>
        <v/>
      </c>
    </row>
    <row r="19" ht="16" customHeight="1">
      <c r="A19" s="20" t="inlineStr">
        <is>
          <t>NIFTY REALTY</t>
        </is>
      </c>
      <c r="B19" s="17" t="inlineStr">
        <is>
          <t>OBEROIRLTY</t>
        </is>
      </c>
      <c r="C19" s="18" t="n">
        <v>1749.2</v>
      </c>
      <c r="D19" s="18" t="n">
        <v>1680.63</v>
      </c>
      <c r="E19" s="18" t="n">
        <v>1653.38</v>
      </c>
      <c r="F19" s="18" t="n">
        <v>1656.44</v>
      </c>
      <c r="G19" s="19">
        <f>HYPERLINK("https://www.tradingview.com/chart/?symbol=NSE:OBEROIRLTY","Chart 📈")</f>
        <v/>
      </c>
    </row>
    <row r="20" ht="16" customHeight="1">
      <c r="A20" s="20" t="inlineStr">
        <is>
          <t>NIFTY REALTY</t>
        </is>
      </c>
      <c r="B20" s="17" t="inlineStr">
        <is>
          <t>PHOENIXLTD</t>
        </is>
      </c>
      <c r="C20" s="18" t="n">
        <v>1904.6</v>
      </c>
      <c r="D20" s="18" t="n">
        <v>1826.41</v>
      </c>
      <c r="E20" s="18" t="n">
        <v>1781.99</v>
      </c>
      <c r="F20" s="18" t="n">
        <v>1715.93</v>
      </c>
      <c r="G20" s="19">
        <f>HYPERLINK("https://www.tradingview.com/chart/?symbol=NSE:PHOENIXLTD","Chart 📈")</f>
        <v/>
      </c>
    </row>
    <row r="21" ht="16" customHeight="1">
      <c r="A21" s="20" t="inlineStr">
        <is>
          <t>NIFTY REALTY</t>
        </is>
      </c>
      <c r="B21" s="17" t="inlineStr">
        <is>
          <t>PRESTIGE</t>
        </is>
      </c>
      <c r="C21" s="18" t="n">
        <v>1556.3</v>
      </c>
      <c r="D21" s="18" t="n">
        <v>1459.26</v>
      </c>
      <c r="E21" s="18" t="n">
        <v>1418.46</v>
      </c>
      <c r="F21" s="18" t="n">
        <v>1485.24</v>
      </c>
      <c r="G21" s="19">
        <f>HYPERLINK("https://www.tradingview.com/chart/?symbol=NSE:PRESTIGE","Chart 📈")</f>
        <v/>
      </c>
    </row>
    <row r="22" ht="16" customHeight="1">
      <c r="A22" s="20" t="inlineStr">
        <is>
          <t>NIFTY REALTY</t>
        </is>
      </c>
      <c r="B22" s="17" t="inlineStr">
        <is>
          <t>RAYMOND</t>
        </is>
      </c>
      <c r="C22" s="18" t="n">
        <v>592.3</v>
      </c>
      <c r="D22" s="18" t="n">
        <v>567.46</v>
      </c>
      <c r="E22" s="18" t="n">
        <v>521.39</v>
      </c>
      <c r="F22" s="18" t="n">
        <v>494.32</v>
      </c>
      <c r="G22" s="19">
        <f>HYPERLINK("https://www.tradingview.com/chart/?symbol=NSE:RAYMOND","Chart 📈")</f>
        <v/>
      </c>
    </row>
    <row r="23" ht="16" customHeight="1">
      <c r="A23" s="12" t="inlineStr">
        <is>
          <t>NIFTY AUTO</t>
        </is>
      </c>
      <c r="B23" s="13" t="inlineStr">
        <is>
          <t>ASHOKLEY</t>
        </is>
      </c>
      <c r="C23" s="14" t="n">
        <v>160.68</v>
      </c>
      <c r="D23" s="14" t="n">
        <v>153.93</v>
      </c>
      <c r="E23" s="14" t="n">
        <v>157.17</v>
      </c>
      <c r="F23" s="14" t="n">
        <v>157.97</v>
      </c>
      <c r="G23" s="15">
        <f>HYPERLINK("https://www.tradingview.com/chart/?symbol=NSE:ASHOKLEY","Chart 📈")</f>
        <v/>
      </c>
    </row>
    <row r="24" ht="16" customHeight="1">
      <c r="A24" s="16" t="inlineStr">
        <is>
          <t>NIFTY AUTO</t>
        </is>
      </c>
      <c r="B24" s="13" t="inlineStr">
        <is>
          <t>BHARATFORG</t>
        </is>
      </c>
      <c r="C24" s="14" t="n">
        <v>2145.3</v>
      </c>
      <c r="D24" s="14" t="n">
        <v>2019.79</v>
      </c>
      <c r="E24" s="14" t="n">
        <v>1938.37</v>
      </c>
      <c r="F24" s="14" t="n">
        <v>1668.6</v>
      </c>
      <c r="G24" s="15">
        <f>HYPERLINK("https://www.tradingview.com/chart/?symbol=NSE:BHARATFORG","Chart 📈")</f>
        <v/>
      </c>
    </row>
    <row r="25" ht="16" customHeight="1">
      <c r="A25" s="16" t="inlineStr">
        <is>
          <t>NIFTY AUTO</t>
        </is>
      </c>
      <c r="B25" s="13" t="inlineStr">
        <is>
          <t>BOSCHLTD</t>
        </is>
      </c>
      <c r="C25" s="14" t="n">
        <v>40440</v>
      </c>
      <c r="D25" s="14" t="n">
        <v>38847</v>
      </c>
      <c r="E25" s="14" t="n">
        <v>37491.56</v>
      </c>
      <c r="F25" s="14" t="n">
        <v>36155.33</v>
      </c>
      <c r="G25" s="15">
        <f>HYPERLINK("https://www.tradingview.com/chart/?symbol=NSE:BOSCHLTD","Chart 📈")</f>
        <v/>
      </c>
    </row>
    <row r="26" ht="16" customHeight="1">
      <c r="A26" s="16" t="inlineStr">
        <is>
          <t>NIFTY AUTO</t>
        </is>
      </c>
      <c r="B26" s="13" t="inlineStr">
        <is>
          <t>EICHERMOT</t>
        </is>
      </c>
      <c r="C26" s="14" t="n">
        <v>7598</v>
      </c>
      <c r="D26" s="14" t="n">
        <v>7417.9</v>
      </c>
      <c r="E26" s="14" t="n">
        <v>7290.9</v>
      </c>
      <c r="F26" s="14" t="n">
        <v>7002.11</v>
      </c>
      <c r="G26" s="15">
        <f>HYPERLINK("https://www.tradingview.com/chart/?symbol=NSE:EICHERMOT","Chart 📈")</f>
        <v/>
      </c>
    </row>
    <row r="27" ht="16" customHeight="1">
      <c r="A27" s="16" t="inlineStr">
        <is>
          <t>NIFTY AUTO</t>
        </is>
      </c>
      <c r="B27" s="13" t="inlineStr">
        <is>
          <t>EXIDEIND</t>
        </is>
      </c>
      <c r="C27" s="14" t="n">
        <v>389.8</v>
      </c>
      <c r="D27" s="14" t="n">
        <v>384.63</v>
      </c>
      <c r="E27" s="14" t="n">
        <v>369.59</v>
      </c>
      <c r="F27" s="14" t="n">
        <v>360.39</v>
      </c>
      <c r="G27" s="15">
        <f>HYPERLINK("https://www.tradingview.com/chart/?symbol=NSE:EXIDEIND","Chart 📈")</f>
        <v/>
      </c>
    </row>
    <row r="28" ht="16" customHeight="1">
      <c r="A28" s="16" t="inlineStr">
        <is>
          <t>NIFTY AUTO</t>
        </is>
      </c>
      <c r="B28" s="13" t="inlineStr">
        <is>
          <t>MOTHERSON</t>
        </is>
      </c>
      <c r="C28" s="14" t="n">
        <v>151.71</v>
      </c>
      <c r="D28" s="14" t="n">
        <v>143.53</v>
      </c>
      <c r="E28" s="14" t="n">
        <v>136.65</v>
      </c>
      <c r="F28" s="14" t="n">
        <v>121.86</v>
      </c>
      <c r="G28" s="15">
        <f>HYPERLINK("https://www.tradingview.com/chart/?symbol=NSE:MOTHERSON","Chart 📈")</f>
        <v/>
      </c>
    </row>
    <row r="29" ht="16" customHeight="1">
      <c r="A29" s="16" t="inlineStr">
        <is>
          <t>NIFTY AUTO</t>
        </is>
      </c>
      <c r="B29" s="13" t="inlineStr">
        <is>
          <t>TVSMOTOR</t>
        </is>
      </c>
      <c r="C29" s="14" t="n">
        <v>3569.7</v>
      </c>
      <c r="D29" s="14" t="n">
        <v>3433.93</v>
      </c>
      <c r="E29" s="14" t="n">
        <v>3464.65</v>
      </c>
      <c r="F29" s="14" t="n">
        <v>3466.72</v>
      </c>
      <c r="G29" s="15">
        <f>HYPERLINK("https://www.tradingview.com/chart/?symbol=NSE:TVSMOTOR","Chart 📈")</f>
        <v/>
      </c>
    </row>
    <row r="30" ht="16" customHeight="1">
      <c r="A30" s="8" t="inlineStr">
        <is>
          <t>NIFTY PSU BANK</t>
        </is>
      </c>
      <c r="B30" s="17" t="inlineStr">
        <is>
          <t>BANKBARODA</t>
        </is>
      </c>
      <c r="C30" s="18" t="n">
        <v>279.15</v>
      </c>
      <c r="D30" s="18" t="n">
        <v>273.42</v>
      </c>
      <c r="E30" s="18" t="n">
        <v>268.84</v>
      </c>
      <c r="F30" s="18" t="n">
        <v>265.91</v>
      </c>
      <c r="G30" s="19">
        <f>HYPERLINK("https://www.tradingview.com/chart/?symbol=NSE:BANKBARODA","Chart 📈")</f>
        <v/>
      </c>
    </row>
    <row r="31" ht="16" customHeight="1">
      <c r="A31" s="20" t="inlineStr">
        <is>
          <t>NIFTY PSU BANK</t>
        </is>
      </c>
      <c r="B31" s="17" t="inlineStr">
        <is>
          <t>BANKINDIA</t>
        </is>
      </c>
      <c r="C31" s="18" t="n">
        <v>144.72</v>
      </c>
      <c r="D31" s="18" t="n">
        <v>143.74</v>
      </c>
      <c r="E31" s="18" t="n">
        <v>142.61</v>
      </c>
      <c r="F31" s="18" t="n">
        <v>138.56</v>
      </c>
      <c r="G31" s="19">
        <f>HYPERLINK("https://www.tradingview.com/chart/?symbol=NSE:BANKINDIA","Chart 📈")</f>
        <v/>
      </c>
    </row>
    <row r="32" ht="16" customHeight="1">
      <c r="A32" s="20" t="inlineStr">
        <is>
          <t>NIFTY PSU BANK</t>
        </is>
      </c>
      <c r="B32" s="17" t="inlineStr">
        <is>
          <t>MAHABANK</t>
        </is>
      </c>
      <c r="C32" s="18" t="n">
        <v>88.70999999999999</v>
      </c>
      <c r="D32" s="18" t="n">
        <v>85.52</v>
      </c>
      <c r="E32" s="18" t="n">
        <v>80.53</v>
      </c>
      <c r="F32" s="18" t="n">
        <v>68.42</v>
      </c>
      <c r="G32" s="19">
        <f>HYPERLINK("https://www.tradingview.com/chart/?symbol=NSE:MAHABANK","Chart 📈")</f>
        <v/>
      </c>
    </row>
    <row r="33" ht="16" customHeight="1">
      <c r="A33" s="20" t="inlineStr">
        <is>
          <t>NIFTY PSU BANK</t>
        </is>
      </c>
      <c r="B33" s="17" t="inlineStr">
        <is>
          <t>SBIN</t>
        </is>
      </c>
      <c r="C33" s="18" t="n">
        <v>1045.4</v>
      </c>
      <c r="D33" s="18" t="n">
        <v>1014.36</v>
      </c>
      <c r="E33" s="18" t="n">
        <v>1012.75</v>
      </c>
      <c r="F33" s="18" t="n">
        <v>981.23</v>
      </c>
      <c r="G33" s="19">
        <f>HYPERLINK("https://www.tradingview.com/chart/?symbol=NSE:SBIN","Chart 📈")</f>
        <v/>
      </c>
    </row>
    <row r="34" ht="16" customHeight="1">
      <c r="A34" s="20" t="inlineStr">
        <is>
          <t>NIFTY PSU BANK</t>
        </is>
      </c>
      <c r="B34" s="17" t="inlineStr">
        <is>
          <t>UNIONBANK</t>
        </is>
      </c>
      <c r="C34" s="18" t="n">
        <v>174.71</v>
      </c>
      <c r="D34" s="18" t="n">
        <v>171.35</v>
      </c>
      <c r="E34" s="18" t="n">
        <v>170.84</v>
      </c>
      <c r="F34" s="18" t="n">
        <v>164.66</v>
      </c>
      <c r="G34" s="19">
        <f>HYPERLINK("https://www.tradingview.com/chart/?symbol=NSE:UNIONBANK","Chart 📈")</f>
        <v/>
      </c>
    </row>
    <row r="35" ht="16" customHeight="1">
      <c r="A35" s="12" t="inlineStr">
        <is>
          <t>NIFTY FINANCIAL SERVICES</t>
        </is>
      </c>
      <c r="B35" s="13" t="inlineStr">
        <is>
          <t>AXISBANK</t>
        </is>
      </c>
      <c r="C35" s="14" t="n">
        <v>1377.2</v>
      </c>
      <c r="D35" s="14" t="n">
        <v>1335.4</v>
      </c>
      <c r="E35" s="14" t="n">
        <v>1310.78</v>
      </c>
      <c r="F35" s="14" t="n">
        <v>1271.24</v>
      </c>
      <c r="G35" s="15">
        <f>HYPERLINK("https://www.tradingview.com/chart/?symbol=NSE:AXISBANK","Chart 📈")</f>
        <v/>
      </c>
    </row>
    <row r="36" ht="16" customHeight="1">
      <c r="A36" s="16" t="inlineStr">
        <is>
          <t>NIFTY FINANCIAL SERVICES</t>
        </is>
      </c>
      <c r="B36" s="13" t="inlineStr">
        <is>
          <t>BAJFINANCE</t>
        </is>
      </c>
      <c r="C36" s="14" t="n">
        <v>980.4</v>
      </c>
      <c r="D36" s="14" t="n">
        <v>940.12</v>
      </c>
      <c r="E36" s="14" t="n">
        <v>927.59</v>
      </c>
      <c r="F36" s="14" t="n">
        <v>941.79</v>
      </c>
      <c r="G36" s="15">
        <f>HYPERLINK("https://www.tradingview.com/chart/?symbol=NSE:BAJFINANCE","Chart 📈")</f>
        <v/>
      </c>
    </row>
    <row r="37" ht="16" customHeight="1">
      <c r="A37" s="16" t="inlineStr">
        <is>
          <t>NIFTY FINANCIAL SERVICES</t>
        </is>
      </c>
      <c r="B37" s="13" t="inlineStr">
        <is>
          <t>CHOLAFIN</t>
        </is>
      </c>
      <c r="C37" s="14" t="n">
        <v>1799.2</v>
      </c>
      <c r="D37" s="14" t="n">
        <v>1641.72</v>
      </c>
      <c r="E37" s="14" t="n">
        <v>1596.66</v>
      </c>
      <c r="F37" s="14" t="n">
        <v>1604.3</v>
      </c>
      <c r="G37" s="15">
        <f>HYPERLINK("https://www.tradingview.com/chart/?symbol=NSE:CHOLAFIN","Chart 📈")</f>
        <v/>
      </c>
    </row>
    <row r="38" ht="16" customHeight="1">
      <c r="A38" s="16" t="inlineStr">
        <is>
          <t>NIFTY FINANCIAL SERVICES</t>
        </is>
      </c>
      <c r="B38" s="13" t="inlineStr">
        <is>
          <t>HDFCAMC</t>
        </is>
      </c>
      <c r="C38" s="14" t="n">
        <v>2649.7</v>
      </c>
      <c r="D38" s="14" t="n">
        <v>2617.13</v>
      </c>
      <c r="E38" s="14" t="n">
        <v>2599.01</v>
      </c>
      <c r="F38" s="14" t="n">
        <v>2587.88</v>
      </c>
      <c r="G38" s="15">
        <f>HYPERLINK("https://www.tradingview.com/chart/?symbol=NSE:HDFCAMC","Chart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ICICIBANK</t>
        </is>
      </c>
      <c r="C39" s="14" t="n">
        <v>1387.5</v>
      </c>
      <c r="D39" s="14" t="n">
        <v>1321.27</v>
      </c>
      <c r="E39" s="14" t="n">
        <v>1302.27</v>
      </c>
      <c r="F39" s="14" t="n">
        <v>1337.1</v>
      </c>
      <c r="G39" s="15">
        <f>HYPERLINK("https://www.tradingview.com/chart/?symbol=NSE:ICICIBANK","Chart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KOTAKBANK</t>
        </is>
      </c>
      <c r="C40" s="14" t="n">
        <v>409</v>
      </c>
      <c r="D40" s="14" t="n">
        <v>396.6</v>
      </c>
      <c r="E40" s="14" t="n">
        <v>390.48</v>
      </c>
      <c r="F40" s="14" t="n">
        <v>402.24</v>
      </c>
      <c r="G40" s="15">
        <f>HYPERLINK("https://www.tradingview.com/chart/?symbol=NSE:KOTAKBANK","Chart 📈")</f>
        <v/>
      </c>
    </row>
    <row r="41" ht="16" customHeight="1">
      <c r="A41" s="16" t="inlineStr">
        <is>
          <t>NIFTY FINANCIAL SERVICES</t>
        </is>
      </c>
      <c r="B41" s="13" t="inlineStr">
        <is>
          <t>LICHSGFIN</t>
        </is>
      </c>
      <c r="C41" s="14" t="n">
        <v>549.85</v>
      </c>
      <c r="D41" s="14" t="n">
        <v>548.3099999999999</v>
      </c>
      <c r="E41" s="14" t="n">
        <v>545.4299999999999</v>
      </c>
      <c r="F41" s="14" t="n">
        <v>547.21</v>
      </c>
      <c r="G41" s="15">
        <f>HYPERLINK("https://www.tradingview.com/chart/?symbol=NSE:LICHSGFIN","Chart 📈")</f>
        <v/>
      </c>
    </row>
    <row r="42" ht="16" customHeight="1">
      <c r="A42" s="16" t="inlineStr">
        <is>
          <t>NIFTY FINANCIAL SERVICES</t>
        </is>
      </c>
      <c r="B42" s="13" t="inlineStr">
        <is>
          <t>PFC</t>
        </is>
      </c>
      <c r="C42" s="14" t="n">
        <v>432.65</v>
      </c>
      <c r="D42" s="14" t="n">
        <v>431.27</v>
      </c>
      <c r="E42" s="14" t="n">
        <v>431.12</v>
      </c>
      <c r="F42" s="14" t="n">
        <v>409.53</v>
      </c>
      <c r="G42" s="15">
        <f>HYPERLINK("https://www.tradingview.com/chart/?symbol=NSE:PFC","Chart 📈")</f>
        <v/>
      </c>
    </row>
    <row r="43" ht="16" customHeight="1">
      <c r="A43" s="16" t="inlineStr">
        <is>
          <t>NIFTY FINANCIAL SERVICES</t>
        </is>
      </c>
      <c r="B43" s="13" t="inlineStr">
        <is>
          <t>RECLTD</t>
        </is>
      </c>
      <c r="C43" s="14" t="n">
        <v>364.65</v>
      </c>
      <c r="D43" s="14" t="n">
        <v>353.3</v>
      </c>
      <c r="E43" s="14" t="n">
        <v>349.43</v>
      </c>
      <c r="F43" s="14" t="n">
        <v>353.16</v>
      </c>
      <c r="G43" s="15">
        <f>HYPERLINK("https://www.tradingview.com/chart/?symbol=NSE:RECLTD","Chart 📈")</f>
        <v/>
      </c>
    </row>
    <row r="44" ht="16" customHeight="1">
      <c r="A44" s="16" t="inlineStr">
        <is>
          <t>NIFTY FINANCIAL SERVICES</t>
        </is>
      </c>
      <c r="B44" s="13" t="inlineStr">
        <is>
          <t>SHRIRAMFIN</t>
        </is>
      </c>
      <c r="C44" s="14" t="n">
        <v>1031.8</v>
      </c>
      <c r="D44" s="14" t="n">
        <v>975.51</v>
      </c>
      <c r="E44" s="14" t="n">
        <v>966.59</v>
      </c>
      <c r="F44" s="14" t="n">
        <v>903.41</v>
      </c>
      <c r="G44" s="15">
        <f>HYPERLINK("https://www.tradingview.com/chart/?symbol=NSE:SHRIRAMFIN","Chart 📈")</f>
        <v/>
      </c>
    </row>
    <row r="45" ht="16" customHeight="1">
      <c r="A45" s="8" t="inlineStr">
        <is>
          <t>NIFTY MEDIA</t>
        </is>
      </c>
      <c r="B45" s="17" t="inlineStr">
        <is>
          <t>DEN</t>
        </is>
      </c>
      <c r="C45" s="18" t="n">
        <v>31.24</v>
      </c>
      <c r="D45" s="18" t="n">
        <v>29.6</v>
      </c>
      <c r="E45" s="18" t="n">
        <v>28.43</v>
      </c>
      <c r="F45" s="18" t="n">
        <v>30.16</v>
      </c>
      <c r="G45" s="19">
        <f>HYPERLINK("https://www.tradingview.com/chart/?symbol=NSE:DEN","Chart 📈")</f>
        <v/>
      </c>
    </row>
    <row r="46" ht="16" customHeight="1">
      <c r="A46" s="20" t="inlineStr">
        <is>
          <t>NIFTY MEDIA</t>
        </is>
      </c>
      <c r="B46" s="17" t="inlineStr">
        <is>
          <t>NAZARA</t>
        </is>
      </c>
      <c r="C46" s="18" t="n">
        <v>300.65</v>
      </c>
      <c r="D46" s="18" t="n">
        <v>289.55</v>
      </c>
      <c r="E46" s="18" t="n">
        <v>280.1</v>
      </c>
      <c r="F46" s="18" t="n">
        <v>276.81</v>
      </c>
      <c r="G46" s="19">
        <f>HYPERLINK("https://www.tradingview.com/chart/?symbol=NSE:NAZARA","Chart 📈")</f>
        <v/>
      </c>
    </row>
    <row r="47" ht="16" customHeight="1">
      <c r="A47" s="20" t="inlineStr">
        <is>
          <t>NIFTY MEDIA</t>
        </is>
      </c>
      <c r="B47" s="17" t="inlineStr">
        <is>
          <t>SAREGAMA</t>
        </is>
      </c>
      <c r="C47" s="18" t="n">
        <v>480.7</v>
      </c>
      <c r="D47" s="18" t="n">
        <v>453.3</v>
      </c>
      <c r="E47" s="18" t="n">
        <v>417.61</v>
      </c>
      <c r="F47" s="18" t="n">
        <v>399.71</v>
      </c>
      <c r="G47" s="19">
        <f>HYPERLINK("https://www.tradingview.com/chart/?symbol=NSE:SAREGAMA","Chart 📈")</f>
        <v/>
      </c>
    </row>
    <row r="48" ht="16" customHeight="1">
      <c r="A48" s="20" t="inlineStr">
        <is>
          <t>NIFTY MEDIA</t>
        </is>
      </c>
      <c r="B48" s="17" t="inlineStr">
        <is>
          <t>ZEEL</t>
        </is>
      </c>
      <c r="C48" s="18" t="n">
        <v>111.36</v>
      </c>
      <c r="D48" s="18" t="n">
        <v>107.39</v>
      </c>
      <c r="E48" s="18" t="n">
        <v>98.7</v>
      </c>
      <c r="F48" s="18" t="n">
        <v>98.95</v>
      </c>
      <c r="G48" s="19">
        <f>HYPERLINK("https://www.tradingview.com/chart/?symbol=NSE:ZEEL","Chart 📈")</f>
        <v/>
      </c>
    </row>
    <row r="49" ht="16" customHeight="1">
      <c r="A49" s="12" t="inlineStr">
        <is>
          <t>NIFTY OIL &amp; GAS</t>
        </is>
      </c>
      <c r="B49" s="13" t="inlineStr">
        <is>
          <t>AEGISLOG</t>
        </is>
      </c>
      <c r="C49" s="14" t="n">
        <v>1140.65</v>
      </c>
      <c r="D49" s="14" t="n">
        <v>937.9299999999999</v>
      </c>
      <c r="E49" s="14" t="n">
        <v>824.14</v>
      </c>
      <c r="F49" s="14" t="n">
        <v>748.4400000000001</v>
      </c>
      <c r="G49" s="15">
        <f>HYPERLINK("https://www.tradingview.com/chart/?symbol=NSE:AEGISLOG","Chart 📈")</f>
        <v/>
      </c>
    </row>
    <row r="50" ht="16" customHeight="1">
      <c r="A50" s="16" t="inlineStr">
        <is>
          <t>NIFTY OIL &amp; GAS</t>
        </is>
      </c>
      <c r="B50" s="13" t="inlineStr">
        <is>
          <t>ATGL</t>
        </is>
      </c>
      <c r="C50" s="14" t="n">
        <v>719.8</v>
      </c>
      <c r="D50" s="14" t="n">
        <v>717.0700000000001</v>
      </c>
      <c r="E50" s="14" t="n">
        <v>679.35</v>
      </c>
      <c r="F50" s="14" t="n">
        <v>619.39</v>
      </c>
      <c r="G50" s="15">
        <f>HYPERLINK("https://www.tradingview.com/chart/?symbol=NSE:ATGL","Chart 📈")</f>
        <v/>
      </c>
    </row>
    <row r="51" ht="16" customHeight="1">
      <c r="A51" s="16" t="inlineStr">
        <is>
          <t>NIFTY OIL &amp; GAS</t>
        </is>
      </c>
      <c r="B51" s="13" t="inlineStr">
        <is>
          <t>GAIL</t>
        </is>
      </c>
      <c r="C51" s="14" t="n">
        <v>172.85</v>
      </c>
      <c r="D51" s="14" t="n">
        <v>171.19</v>
      </c>
      <c r="E51" s="14" t="n">
        <v>166.4</v>
      </c>
      <c r="F51" s="14" t="n">
        <v>165.3</v>
      </c>
      <c r="G51" s="15">
        <f>HYPERLINK("https://www.tradingview.com/chart/?symbol=NSE:GAIL","Chart 📈")</f>
        <v/>
      </c>
    </row>
    <row r="52" ht="16" customHeight="1">
      <c r="A52" s="16" t="inlineStr">
        <is>
          <t>NIFTY OIL &amp; GAS</t>
        </is>
      </c>
      <c r="B52" s="13" t="inlineStr">
        <is>
          <t>HINDPETRO</t>
        </is>
      </c>
      <c r="C52" s="14" t="n">
        <v>409.25</v>
      </c>
      <c r="D52" s="14" t="n">
        <v>394.09</v>
      </c>
      <c r="E52" s="14" t="n">
        <v>388.93</v>
      </c>
      <c r="F52" s="14" t="n">
        <v>404.44</v>
      </c>
      <c r="G52" s="15">
        <f>HYPERLINK("https://www.tradingview.com/chart/?symbol=NSE:HINDPETRO","Chart 📈")</f>
        <v/>
      </c>
    </row>
    <row r="53" ht="16" customHeight="1">
      <c r="A53" s="16" t="inlineStr">
        <is>
          <t>NIFTY OIL &amp; GAS</t>
        </is>
      </c>
      <c r="B53" s="13" t="inlineStr">
        <is>
          <t>MGL</t>
        </is>
      </c>
      <c r="C53" s="14" t="n">
        <v>1174.6</v>
      </c>
      <c r="D53" s="14" t="n">
        <v>1152.39</v>
      </c>
      <c r="E53" s="14" t="n">
        <v>1118.49</v>
      </c>
      <c r="F53" s="14" t="n">
        <v>1153.68</v>
      </c>
      <c r="G53" s="15">
        <f>HYPERLINK("https://www.tradingview.com/chart/?symbol=NSE:MGL","Chart 📈")</f>
        <v/>
      </c>
    </row>
    <row r="54" ht="16" customHeight="1">
      <c r="A54" s="16" t="inlineStr">
        <is>
          <t>NIFTY OIL &amp; GAS</t>
        </is>
      </c>
      <c r="B54" s="13" t="inlineStr">
        <is>
          <t>PETRONET</t>
        </is>
      </c>
      <c r="C54" s="14" t="n">
        <v>282.25</v>
      </c>
      <c r="D54" s="14" t="n">
        <v>279.31</v>
      </c>
      <c r="E54" s="14" t="n">
        <v>275.33</v>
      </c>
      <c r="F54" s="14" t="n">
        <v>275.9</v>
      </c>
      <c r="G54" s="15">
        <f>HYPERLINK("https://www.tradingview.com/chart/?symbol=NSE:PETRONET","Chart 📈")</f>
        <v/>
      </c>
    </row>
    <row r="55" ht="16" customHeight="1">
      <c r="A55" s="8" t="inlineStr">
        <is>
          <t>NIFTY FMCG</t>
        </is>
      </c>
      <c r="B55" s="17" t="inlineStr">
        <is>
          <t>MARICO</t>
        </is>
      </c>
      <c r="C55" s="18" t="n">
        <v>825.8</v>
      </c>
      <c r="D55" s="18" t="n">
        <v>816.63</v>
      </c>
      <c r="E55" s="18" t="n">
        <v>807.38</v>
      </c>
      <c r="F55" s="18" t="n">
        <v>767.52</v>
      </c>
      <c r="G55" s="19">
        <f>HYPERLINK("https://www.tradingview.com/chart/?symbol=NSE:MARICO","Chart 📈")</f>
        <v/>
      </c>
    </row>
    <row r="56" ht="16" customHeight="1">
      <c r="A56" s="20" t="inlineStr">
        <is>
          <t>NIFTY FMCG</t>
        </is>
      </c>
      <c r="B56" s="17" t="inlineStr">
        <is>
          <t>NESTLEIND</t>
        </is>
      </c>
      <c r="C56" s="18" t="n">
        <v>1402.6</v>
      </c>
      <c r="D56" s="18" t="n">
        <v>1402.03</v>
      </c>
      <c r="E56" s="18" t="n">
        <v>1388.66</v>
      </c>
      <c r="F56" s="18" t="n">
        <v>1306.32</v>
      </c>
      <c r="G56" s="19">
        <f>HYPERLINK("https://www.tradingview.com/chart/?symbol=NSE:NESTLEIND","Chart 📈")</f>
        <v/>
      </c>
    </row>
    <row r="57" ht="16" customHeight="1">
      <c r="A57" s="20" t="inlineStr">
        <is>
          <t>NIFTY FMCG</t>
        </is>
      </c>
      <c r="B57" s="17" t="inlineStr">
        <is>
          <t>RADICO</t>
        </is>
      </c>
      <c r="C57" s="18" t="n">
        <v>3829.8</v>
      </c>
      <c r="D57" s="18" t="n">
        <v>3620.49</v>
      </c>
      <c r="E57" s="18" t="n">
        <v>3447.09</v>
      </c>
      <c r="F57" s="18" t="n">
        <v>3118.87</v>
      </c>
      <c r="G57" s="19">
        <f>HYPERLINK("https://www.tradingview.com/chart/?symbol=NSE:RADICO","Chart 📈")</f>
        <v/>
      </c>
    </row>
    <row r="58" ht="16" customHeight="1">
      <c r="A58" s="20" t="inlineStr">
        <is>
          <t>NIFTY FMCG</t>
        </is>
      </c>
      <c r="B58" s="17" t="inlineStr">
        <is>
          <t>UNITDSPR</t>
        </is>
      </c>
      <c r="C58" s="18" t="n">
        <v>1384.9</v>
      </c>
      <c r="D58" s="18" t="n">
        <v>1310.66</v>
      </c>
      <c r="E58" s="18" t="n">
        <v>1303.33</v>
      </c>
      <c r="F58" s="18" t="n">
        <v>1338.73</v>
      </c>
      <c r="G58" s="19">
        <f>HYPERLINK("https://www.tradingview.com/chart/?symbol=NSE:UNITDSPR","Chart 📈")</f>
        <v/>
      </c>
    </row>
    <row r="59" ht="16" customHeight="1">
      <c r="A59" s="12" t="inlineStr">
        <is>
          <t>NIFTY MIDSMALL IT &amp; TELECOM</t>
        </is>
      </c>
      <c r="B59" s="13" t="inlineStr">
        <is>
          <t>COFORGE</t>
        </is>
      </c>
      <c r="C59" s="14" t="n">
        <v>1492.9</v>
      </c>
      <c r="D59" s="14" t="n">
        <v>1441.7</v>
      </c>
      <c r="E59" s="14" t="n">
        <v>1387.08</v>
      </c>
      <c r="F59" s="14" t="n">
        <v>1492.77</v>
      </c>
      <c r="G59" s="15">
        <f>HYPERLINK("https://www.tradingview.com/chart/?symbol=NSE:COFORGE","Chart 📈")</f>
        <v/>
      </c>
    </row>
    <row r="60" ht="16" customHeight="1">
      <c r="A60" s="16" t="inlineStr">
        <is>
          <t>NIFTY MIDSMALL IT &amp; TELECOM</t>
        </is>
      </c>
      <c r="B60" s="13" t="inlineStr">
        <is>
          <t>HFCL</t>
        </is>
      </c>
      <c r="C60" s="14" t="n">
        <v>215</v>
      </c>
      <c r="D60" s="14" t="n">
        <v>188.29</v>
      </c>
      <c r="E60" s="14" t="n">
        <v>159.23</v>
      </c>
      <c r="F60" s="14" t="n">
        <v>107.61</v>
      </c>
      <c r="G60" s="15">
        <f>HYPERLINK("https://www.tradingview.com/chart/?symbol=NSE:HFCL","Chart 📈")</f>
        <v/>
      </c>
    </row>
    <row r="61" ht="16" customHeight="1">
      <c r="A61" s="16" t="inlineStr">
        <is>
          <t>NIFTY MIDSMALL IT &amp; TELECOM</t>
        </is>
      </c>
      <c r="B61" s="13" t="inlineStr">
        <is>
          <t>OFSS</t>
        </is>
      </c>
      <c r="C61" s="14" t="n">
        <v>10974.5</v>
      </c>
      <c r="D61" s="14" t="n">
        <v>9814.24</v>
      </c>
      <c r="E61" s="14" t="n">
        <v>9282.040000000001</v>
      </c>
      <c r="F61" s="14" t="n">
        <v>8349.07</v>
      </c>
      <c r="G61" s="15">
        <f>HYPERLINK("https://www.tradingview.com/chart/?symbol=NSE:OFSS","Chart 📈")</f>
        <v/>
      </c>
    </row>
    <row r="62" ht="16" customHeight="1">
      <c r="A62" s="16" t="inlineStr">
        <is>
          <t>NIFTY MIDSMALL IT &amp; TELECOM</t>
        </is>
      </c>
      <c r="B62" s="13" t="inlineStr">
        <is>
          <t>TATACOMM</t>
        </is>
      </c>
      <c r="C62" s="14" t="n">
        <v>1991.9</v>
      </c>
      <c r="D62" s="14" t="n">
        <v>1938.16</v>
      </c>
      <c r="E62" s="14" t="n">
        <v>1814.44</v>
      </c>
      <c r="F62" s="14" t="n">
        <v>1697.22</v>
      </c>
      <c r="G62" s="15">
        <f>HYPERLINK("https://www.tradingview.com/chart/?symbol=NSE:TATACOMM","Chart 📈")</f>
        <v/>
      </c>
    </row>
    <row r="63" ht="16" customHeight="1">
      <c r="A63" s="16" t="inlineStr">
        <is>
          <t>NIFTY MIDSMALL IT &amp; TELECOM</t>
        </is>
      </c>
      <c r="B63" s="13" t="inlineStr">
        <is>
          <t>TATATECH</t>
        </is>
      </c>
      <c r="C63" s="14" t="n">
        <v>748.35</v>
      </c>
      <c r="D63" s="14" t="n">
        <v>733.6799999999999</v>
      </c>
      <c r="E63" s="14" t="n">
        <v>684.3099999999999</v>
      </c>
      <c r="F63" s="14" t="n">
        <v>646.96</v>
      </c>
      <c r="G63" s="15">
        <f>HYPERLINK("https://www.tradingview.com/chart/?symbol=NSE:TATATECH","Chart 📈")</f>
        <v/>
      </c>
    </row>
    <row r="64" ht="16" customHeight="1">
      <c r="A64" s="16" t="inlineStr">
        <is>
          <t>NIFTY MIDSMALL IT &amp; TELECOM</t>
        </is>
      </c>
      <c r="B64" s="13" t="inlineStr">
        <is>
          <t>TEJASNET</t>
        </is>
      </c>
      <c r="C64" s="14" t="n">
        <v>622.75</v>
      </c>
      <c r="D64" s="14" t="n">
        <v>579.99</v>
      </c>
      <c r="E64" s="14" t="n">
        <v>524.22</v>
      </c>
      <c r="F64" s="14" t="n">
        <v>499.75</v>
      </c>
      <c r="G64" s="15">
        <f>HYPERLINK("https://www.tradingview.com/chart/?symbol=NSE:TEJASNET","Chart 📈")</f>
        <v/>
      </c>
    </row>
    <row r="65" ht="16" customHeight="1">
      <c r="A65" s="8" t="inlineStr">
        <is>
          <t>NIFTY CONSUMER DURABLES</t>
        </is>
      </c>
      <c r="B65" s="17" t="inlineStr">
        <is>
          <t>CERA</t>
        </is>
      </c>
      <c r="C65" s="18" t="n">
        <v>6330.5</v>
      </c>
      <c r="D65" s="18" t="n">
        <v>6089.38</v>
      </c>
      <c r="E65" s="18" t="n">
        <v>5767.14</v>
      </c>
      <c r="F65" s="18" t="n">
        <v>5635.73</v>
      </c>
      <c r="G65" s="19">
        <f>HYPERLINK("https://www.tradingview.com/chart/?symbol=NSE:CERA","Chart 📈")</f>
        <v/>
      </c>
    </row>
    <row r="66" ht="16" customHeight="1">
      <c r="A66" s="20" t="inlineStr">
        <is>
          <t>NIFTY CONSUMER DURABLES</t>
        </is>
      </c>
      <c r="B66" s="17" t="inlineStr">
        <is>
          <t>KAJARIACER</t>
        </is>
      </c>
      <c r="C66" s="18" t="n">
        <v>1196.6</v>
      </c>
      <c r="D66" s="18" t="n">
        <v>1137.12</v>
      </c>
      <c r="E66" s="18" t="n">
        <v>1104.54</v>
      </c>
      <c r="F66" s="18" t="n">
        <v>1077.53</v>
      </c>
      <c r="G66" s="19">
        <f>HYPERLINK("https://www.tradingview.com/chart/?symbol=NSE:KAJARIACER","Chart 📈")</f>
        <v/>
      </c>
    </row>
    <row r="67" ht="16" customHeight="1">
      <c r="A67" s="20" t="inlineStr">
        <is>
          <t>NIFTY CONSUMER DURABLES</t>
        </is>
      </c>
      <c r="B67" s="17" t="inlineStr">
        <is>
          <t>TITAN</t>
        </is>
      </c>
      <c r="C67" s="18" t="n">
        <v>4291.3</v>
      </c>
      <c r="D67" s="18" t="n">
        <v>4261.07</v>
      </c>
      <c r="E67" s="18" t="n">
        <v>4233.73</v>
      </c>
      <c r="F67" s="18" t="n">
        <v>4059.45</v>
      </c>
      <c r="G67" s="19">
        <f>HYPERLINK("https://www.tradingview.com/chart/?symbol=NSE:TITAN","Chart 📈")</f>
        <v/>
      </c>
    </row>
    <row r="68" ht="16" customHeight="1">
      <c r="A68" s="12" t="inlineStr">
        <is>
          <t>NIFTY ENERGY</t>
        </is>
      </c>
      <c r="B68" s="13" t="inlineStr">
        <is>
          <t>ADANIENSOL</t>
        </is>
      </c>
      <c r="C68" s="14" t="n">
        <v>1507.8</v>
      </c>
      <c r="D68" s="14" t="n">
        <v>1493.58</v>
      </c>
      <c r="E68" s="14" t="n">
        <v>1404.56</v>
      </c>
      <c r="F68" s="14" t="n">
        <v>1143.1</v>
      </c>
      <c r="G68" s="15">
        <f>HYPERLINK("https://www.tradingview.com/chart/?symbol=NSE:ADANIENSOL","Chart 📈")</f>
        <v/>
      </c>
    </row>
    <row r="69" ht="16" customHeight="1">
      <c r="A69" s="16" t="inlineStr">
        <is>
          <t>NIFTY ENERGY</t>
        </is>
      </c>
      <c r="B69" s="13" t="inlineStr">
        <is>
          <t>ADANIGREEN</t>
        </is>
      </c>
      <c r="C69" s="14" t="n">
        <v>1526.1</v>
      </c>
      <c r="D69" s="14" t="n">
        <v>1481.28</v>
      </c>
      <c r="E69" s="14" t="n">
        <v>1372.14</v>
      </c>
      <c r="F69" s="14" t="n">
        <v>1139.05</v>
      </c>
      <c r="G69" s="15">
        <f>HYPERLINK("https://www.tradingview.com/chart/?symbol=NSE:ADANIGREEN","Chart 📈")</f>
        <v/>
      </c>
    </row>
    <row r="70" ht="16" customHeight="1">
      <c r="A70" s="16" t="inlineStr">
        <is>
          <t>NIFTY ENERGY</t>
        </is>
      </c>
      <c r="B70" s="13" t="inlineStr">
        <is>
          <t>ADANIPOWER</t>
        </is>
      </c>
      <c r="C70" s="14" t="n">
        <v>229.27</v>
      </c>
      <c r="D70" s="14" t="n">
        <v>227.7</v>
      </c>
      <c r="E70" s="14" t="n">
        <v>217.11</v>
      </c>
      <c r="F70" s="14" t="n">
        <v>174.34</v>
      </c>
      <c r="G70" s="15">
        <f>HYPERLINK("https://www.tradingview.com/chart/?symbol=NSE:ADANIPOWER","Chart 📈")</f>
        <v/>
      </c>
    </row>
    <row r="71" ht="16" customHeight="1">
      <c r="A71" s="16" t="inlineStr">
        <is>
          <t>NIFTY ENERGY</t>
        </is>
      </c>
      <c r="B71" s="13" t="inlineStr">
        <is>
          <t>BHEL</t>
        </is>
      </c>
      <c r="C71" s="14" t="n">
        <v>402.7</v>
      </c>
      <c r="D71" s="14" t="n">
        <v>397.13</v>
      </c>
      <c r="E71" s="14" t="n">
        <v>376.65</v>
      </c>
      <c r="F71" s="14" t="n">
        <v>311.35</v>
      </c>
      <c r="G71" s="15">
        <f>HYPERLINK("https://www.tradingview.com/chart/?symbol=NSE:BHEL","Chart 📈")</f>
        <v/>
      </c>
    </row>
    <row r="72" ht="16" customHeight="1">
      <c r="A72" s="16" t="inlineStr">
        <is>
          <t>NIFTY ENERGY</t>
        </is>
      </c>
      <c r="B72" s="13" t="inlineStr">
        <is>
          <t>CGPOWER</t>
        </is>
      </c>
      <c r="C72" s="14" t="n">
        <v>942.1</v>
      </c>
      <c r="D72" s="14" t="n">
        <v>925.4299999999999</v>
      </c>
      <c r="E72" s="14" t="n">
        <v>873.77</v>
      </c>
      <c r="F72" s="14" t="n">
        <v>762.4299999999999</v>
      </c>
      <c r="G72" s="15">
        <f>HYPERLINK("https://www.tradingview.com/chart/?symbol=NSE:CGPOWER","Chart 📈")</f>
        <v/>
      </c>
    </row>
    <row r="73" ht="16" customHeight="1">
      <c r="A73" s="16" t="inlineStr">
        <is>
          <t>NIFTY ENERGY</t>
        </is>
      </c>
      <c r="B73" s="13" t="inlineStr">
        <is>
          <t>GVT&amp;D</t>
        </is>
      </c>
      <c r="C73" s="14" t="n">
        <v>5043</v>
      </c>
      <c r="D73" s="14" t="n">
        <v>5041.63</v>
      </c>
      <c r="E73" s="14" t="n">
        <v>4724.75</v>
      </c>
      <c r="F73" s="14" t="n">
        <v>3787.85</v>
      </c>
      <c r="G73" s="15">
        <f>HYPERLINK("https://www.tradingview.com/chart/?symbol=NSE:GVT&amp;D","Chart 📈")</f>
        <v/>
      </c>
    </row>
    <row r="74" ht="16" customHeight="1">
      <c r="A74" s="16" t="inlineStr">
        <is>
          <t>NIFTY ENERGY</t>
        </is>
      </c>
      <c r="B74" s="13" t="inlineStr">
        <is>
          <t>JSWENERGY</t>
        </is>
      </c>
      <c r="C74" s="14" t="n">
        <v>573.5</v>
      </c>
      <c r="D74" s="14" t="n">
        <v>569.49</v>
      </c>
      <c r="E74" s="14" t="n">
        <v>555.55</v>
      </c>
      <c r="F74" s="14" t="n">
        <v>523.05</v>
      </c>
      <c r="G74" s="15">
        <f>HYPERLINK("https://www.tradingview.com/chart/?symbol=NSE:JSWENERGY","Chart 📈")</f>
        <v/>
      </c>
    </row>
    <row r="75" ht="16" customHeight="1">
      <c r="A75" s="16" t="inlineStr">
        <is>
          <t>NIFTY ENERGY</t>
        </is>
      </c>
      <c r="B75" s="13" t="inlineStr">
        <is>
          <t>NHPC</t>
        </is>
      </c>
      <c r="C75" s="14" t="n">
        <v>79.40000000000001</v>
      </c>
      <c r="D75" s="14" t="n">
        <v>76.7</v>
      </c>
      <c r="E75" s="14" t="n">
        <v>77.33</v>
      </c>
      <c r="F75" s="14" t="n">
        <v>78.64</v>
      </c>
      <c r="G75" s="15">
        <f>HYPERLINK("https://www.tradingview.com/chart/?symbol=NSE:NHPC","Chart 📈")</f>
        <v/>
      </c>
    </row>
    <row r="76" ht="16" customHeight="1">
      <c r="A76" s="16" t="inlineStr">
        <is>
          <t>NIFTY ENERGY</t>
        </is>
      </c>
      <c r="B76" s="13" t="inlineStr">
        <is>
          <t>SCHNEIDER</t>
        </is>
      </c>
      <c r="C76" s="14" t="n">
        <v>1335.3</v>
      </c>
      <c r="D76" s="14" t="n">
        <v>1272.26</v>
      </c>
      <c r="E76" s="14" t="n">
        <v>1203.85</v>
      </c>
      <c r="F76" s="14" t="n">
        <v>987.3200000000001</v>
      </c>
      <c r="G76" s="15">
        <f>HYPERLINK("https://www.tradingview.com/chart/?symbol=NSE:SCHNEIDER","Chart 📈")</f>
        <v/>
      </c>
    </row>
    <row r="77" ht="16" customHeight="1">
      <c r="A77" s="16" t="inlineStr">
        <is>
          <t>NIFTY ENERGY</t>
        </is>
      </c>
      <c r="B77" s="13" t="inlineStr">
        <is>
          <t>SUZLON</t>
        </is>
      </c>
      <c r="C77" s="14" t="n">
        <v>57.14</v>
      </c>
      <c r="D77" s="14" t="n">
        <v>56.65</v>
      </c>
      <c r="E77" s="14" t="n">
        <v>54.28</v>
      </c>
      <c r="F77" s="14" t="n">
        <v>53.19</v>
      </c>
      <c r="G77" s="15">
        <f>HYPERLINK("https://www.tradingview.com/chart/?symbol=NSE:SUZLON","Chart 📈")</f>
        <v/>
      </c>
    </row>
    <row r="78" ht="16" customHeight="1">
      <c r="A78" s="16" t="inlineStr">
        <is>
          <t>NIFTY ENERGY</t>
        </is>
      </c>
      <c r="B78" s="13" t="inlineStr">
        <is>
          <t>THERMAX</t>
        </is>
      </c>
      <c r="C78" s="14" t="n">
        <v>4828.8</v>
      </c>
      <c r="D78" s="14" t="n">
        <v>4719.59</v>
      </c>
      <c r="E78" s="14" t="n">
        <v>4443.17</v>
      </c>
      <c r="F78" s="14" t="n">
        <v>3722.79</v>
      </c>
      <c r="G78" s="15">
        <f>HYPERLINK("https://www.tradingview.com/chart/?symbol=NSE:THERMAX","Chart 📈")</f>
        <v/>
      </c>
    </row>
    <row r="79" ht="16" customHeight="1">
      <c r="A79" s="8" t="inlineStr">
        <is>
          <t>NIFTY METAL</t>
        </is>
      </c>
      <c r="B79" s="17" t="inlineStr">
        <is>
          <t>ADANIENT</t>
        </is>
      </c>
      <c r="C79" s="18" t="n">
        <v>3038</v>
      </c>
      <c r="D79" s="18" t="n">
        <v>2948.65</v>
      </c>
      <c r="E79" s="18" t="n">
        <v>2738.26</v>
      </c>
      <c r="F79" s="18" t="n">
        <v>2444.14</v>
      </c>
      <c r="G79" s="19">
        <f>HYPERLINK("https://www.tradingview.com/chart/?symbol=NSE:ADANIENT","Chart 📈")</f>
        <v/>
      </c>
    </row>
    <row r="80" ht="16" customHeight="1">
      <c r="A80" s="20" t="inlineStr">
        <is>
          <t>NIFTY METAL</t>
        </is>
      </c>
      <c r="B80" s="17" t="inlineStr">
        <is>
          <t>RATNAMANI</t>
        </is>
      </c>
      <c r="C80" s="18" t="n">
        <v>2647.1</v>
      </c>
      <c r="D80" s="18" t="n">
        <v>2642.64</v>
      </c>
      <c r="E80" s="18" t="n">
        <v>2585.08</v>
      </c>
      <c r="F80" s="18" t="n">
        <v>2486.94</v>
      </c>
      <c r="G80" s="19">
        <f>HYPERLINK("https://www.tradingview.com/chart/?symbol=NSE:RATNAMANI","Chart 📈")</f>
        <v/>
      </c>
    </row>
    <row r="81" ht="16" customHeight="1">
      <c r="A81" s="20" t="inlineStr">
        <is>
          <t>NIFTY METAL</t>
        </is>
      </c>
      <c r="B81" s="17" t="inlineStr">
        <is>
          <t>WELCORP</t>
        </is>
      </c>
      <c r="C81" s="18" t="n">
        <v>1455.1</v>
      </c>
      <c r="D81" s="18" t="n">
        <v>1388.21</v>
      </c>
      <c r="E81" s="18" t="n">
        <v>1289.71</v>
      </c>
      <c r="F81" s="18" t="n">
        <v>1039.7</v>
      </c>
      <c r="G81" s="19">
        <f>HYPERLINK("https://www.tradingview.com/chart/?symbol=NSE:WELCORP","Chart 📈")</f>
        <v/>
      </c>
    </row>
    <row r="82" ht="16" customHeight="1">
      <c r="A82" s="12" t="inlineStr">
        <is>
          <t>NIFTY BANK</t>
        </is>
      </c>
      <c r="B82" s="13" t="inlineStr">
        <is>
          <t>AUBANK</t>
        </is>
      </c>
      <c r="C82" s="14" t="n">
        <v>1033.85</v>
      </c>
      <c r="D82" s="14" t="n">
        <v>1014.15</v>
      </c>
      <c r="E82" s="14" t="n">
        <v>997.87</v>
      </c>
      <c r="F82" s="14" t="n">
        <v>940.89</v>
      </c>
      <c r="G82" s="15">
        <f>HYPERLINK("https://www.tradingview.com/chart/?symbol=NSE:AUBANK","Chart 📈")</f>
        <v/>
      </c>
    </row>
    <row r="83" ht="16" customHeight="1">
      <c r="A83" s="16" t="inlineStr">
        <is>
          <t>NIFTY BANK</t>
        </is>
      </c>
      <c r="B83" s="13" t="inlineStr">
        <is>
          <t>FEDERALBNK</t>
        </is>
      </c>
      <c r="C83" s="14" t="n">
        <v>324.05</v>
      </c>
      <c r="D83" s="14" t="n">
        <v>313.1</v>
      </c>
      <c r="E83" s="14" t="n">
        <v>300.9</v>
      </c>
      <c r="F83" s="14" t="n">
        <v>269.84</v>
      </c>
      <c r="G83" s="15">
        <f>HYPERLINK("https://www.tradingview.com/chart/?symbol=NSE:FEDERALBNK","Chart 📈")</f>
        <v/>
      </c>
    </row>
    <row r="84" ht="16" customHeight="1">
      <c r="A84" s="16" t="inlineStr">
        <is>
          <t>NIFTY BANK</t>
        </is>
      </c>
      <c r="B84" s="13" t="inlineStr">
        <is>
          <t>IDFCFIRSTB</t>
        </is>
      </c>
      <c r="C84" s="14" t="n">
        <v>79.22</v>
      </c>
      <c r="D84" s="14" t="n">
        <v>75.90000000000001</v>
      </c>
      <c r="E84" s="14" t="n">
        <v>72.95999999999999</v>
      </c>
      <c r="F84" s="14" t="n">
        <v>73.43000000000001</v>
      </c>
      <c r="G84" s="15">
        <f>HYPERLINK("https://www.tradingview.com/chart/?symbol=NSE:IDFCFIRSTB","Chart 📈")</f>
        <v/>
      </c>
    </row>
    <row r="85" ht="16" customHeight="1">
      <c r="A85" s="16" t="inlineStr">
        <is>
          <t>NIFTY BANK</t>
        </is>
      </c>
      <c r="B85" s="13" t="inlineStr">
        <is>
          <t>INDUSINDBK</t>
        </is>
      </c>
      <c r="C85" s="14" t="n">
        <v>918.95</v>
      </c>
      <c r="D85" s="14" t="n">
        <v>916.63</v>
      </c>
      <c r="E85" s="14" t="n">
        <v>903.53</v>
      </c>
      <c r="F85" s="14" t="n">
        <v>868.88</v>
      </c>
      <c r="G85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2026-06-25T13:25:12Z</dcterms:created>
  <dcterms:modified xsi:type="dcterms:W3CDTF">2026-06-25T13:25:13Z</dcterms:modified>
</cp:coreProperties>
</file>