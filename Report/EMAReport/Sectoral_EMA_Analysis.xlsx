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15-Sep-2026  15:37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6</v>
      </c>
      <c r="D4" s="5" t="n">
        <v>8</v>
      </c>
      <c r="E4" s="5" t="n">
        <v>11</v>
      </c>
      <c r="F4" s="6" t="n">
        <v>0.3</v>
      </c>
      <c r="G4" s="6" t="n">
        <v>0.4</v>
      </c>
      <c r="H4" s="6" t="n">
        <v>0.55</v>
      </c>
      <c r="I4" s="7" t="n">
        <v>0.4167</v>
      </c>
    </row>
    <row r="5" ht="17" customHeight="1">
      <c r="A5" s="8" t="inlineStr">
        <is>
          <t>NIFTY MEDIA</t>
        </is>
      </c>
      <c r="B5" s="9" t="n">
        <v>10</v>
      </c>
      <c r="C5" s="9" t="n">
        <v>2</v>
      </c>
      <c r="D5" s="9" t="n">
        <v>3</v>
      </c>
      <c r="E5" s="9" t="n">
        <v>4</v>
      </c>
      <c r="F5" s="10" t="n">
        <v>0.2</v>
      </c>
      <c r="G5" s="10" t="n">
        <v>0.3</v>
      </c>
      <c r="H5" s="10" t="n">
        <v>0.4</v>
      </c>
      <c r="I5" s="11" t="n">
        <v>0.3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3</v>
      </c>
      <c r="D6" s="5" t="n">
        <v>6</v>
      </c>
      <c r="E6" s="5" t="n">
        <v>9</v>
      </c>
      <c r="F6" s="6" t="n">
        <v>0.15</v>
      </c>
      <c r="G6" s="6" t="n">
        <v>0.3</v>
      </c>
      <c r="H6" s="6" t="n">
        <v>0.45</v>
      </c>
      <c r="I6" s="7" t="n">
        <v>0.3</v>
      </c>
    </row>
    <row r="7" ht="17" customHeight="1">
      <c r="A7" s="8" t="inlineStr">
        <is>
          <t>NIFTY OIL &amp; GAS</t>
        </is>
      </c>
      <c r="B7" s="9" t="n">
        <v>15</v>
      </c>
      <c r="C7" s="9" t="n">
        <v>4</v>
      </c>
      <c r="D7" s="9" t="n">
        <v>3</v>
      </c>
      <c r="E7" s="9" t="n">
        <v>5</v>
      </c>
      <c r="F7" s="10" t="n">
        <v>0.267</v>
      </c>
      <c r="G7" s="10" t="n">
        <v>0.2</v>
      </c>
      <c r="H7" s="10" t="n">
        <v>0.333</v>
      </c>
      <c r="I7" s="11" t="n">
        <v>0.2667</v>
      </c>
    </row>
    <row r="8" ht="17" customHeight="1">
      <c r="A8" s="4" t="inlineStr">
        <is>
          <t>NIFTY METAL</t>
        </is>
      </c>
      <c r="B8" s="5" t="n">
        <v>15</v>
      </c>
      <c r="C8" s="5" t="n">
        <v>2</v>
      </c>
      <c r="D8" s="5" t="n">
        <v>3</v>
      </c>
      <c r="E8" s="5" t="n">
        <v>6</v>
      </c>
      <c r="F8" s="6" t="n">
        <v>0.133</v>
      </c>
      <c r="G8" s="6" t="n">
        <v>0.2</v>
      </c>
      <c r="H8" s="6" t="n">
        <v>0.4</v>
      </c>
      <c r="I8" s="7" t="n">
        <v>0.2443</v>
      </c>
    </row>
    <row r="9" ht="17" customHeight="1">
      <c r="A9" s="8" t="inlineStr">
        <is>
          <t>NIFTY AUTO</t>
        </is>
      </c>
      <c r="B9" s="9" t="n">
        <v>15</v>
      </c>
      <c r="C9" s="9" t="n">
        <v>0</v>
      </c>
      <c r="D9" s="9" t="n">
        <v>2</v>
      </c>
      <c r="E9" s="9" t="n">
        <v>7</v>
      </c>
      <c r="F9" s="10" t="n">
        <v>0</v>
      </c>
      <c r="G9" s="10" t="n">
        <v>0.133</v>
      </c>
      <c r="H9" s="10" t="n">
        <v>0.467</v>
      </c>
      <c r="I9" s="11" t="n">
        <v>0.2</v>
      </c>
    </row>
    <row r="10" ht="17" customHeight="1">
      <c r="A10" s="4" t="inlineStr">
        <is>
          <t>NIFTY REALTY</t>
        </is>
      </c>
      <c r="B10" s="5" t="n">
        <v>10</v>
      </c>
      <c r="C10" s="5" t="n">
        <v>1</v>
      </c>
      <c r="D10" s="5" t="n">
        <v>2</v>
      </c>
      <c r="E10" s="5" t="n">
        <v>3</v>
      </c>
      <c r="F10" s="6" t="n">
        <v>0.1</v>
      </c>
      <c r="G10" s="6" t="n">
        <v>0.2</v>
      </c>
      <c r="H10" s="6" t="n">
        <v>0.3</v>
      </c>
      <c r="I10" s="7" t="n">
        <v>0.2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2</v>
      </c>
      <c r="D11" s="9" t="n">
        <v>3</v>
      </c>
      <c r="E11" s="9" t="n">
        <v>6</v>
      </c>
      <c r="F11" s="10" t="n">
        <v>0.1</v>
      </c>
      <c r="G11" s="10" t="n">
        <v>0.15</v>
      </c>
      <c r="H11" s="10" t="n">
        <v>0.3</v>
      </c>
      <c r="I11" s="11" t="n">
        <v>0.1833</v>
      </c>
    </row>
    <row r="12" ht="17" customHeight="1">
      <c r="A12" s="4" t="inlineStr">
        <is>
          <t>NIFTY PSU BANK</t>
        </is>
      </c>
      <c r="B12" s="5" t="n">
        <v>12</v>
      </c>
      <c r="C12" s="5" t="n">
        <v>0</v>
      </c>
      <c r="D12" s="5" t="n">
        <v>1</v>
      </c>
      <c r="E12" s="5" t="n">
        <v>4</v>
      </c>
      <c r="F12" s="6" t="n">
        <v>0</v>
      </c>
      <c r="G12" s="6" t="n">
        <v>0.083</v>
      </c>
      <c r="H12" s="6" t="n">
        <v>0.333</v>
      </c>
      <c r="I12" s="7" t="n">
        <v>0.1387</v>
      </c>
    </row>
    <row r="13" ht="17" customHeight="1">
      <c r="A13" s="8" t="inlineStr">
        <is>
          <t>NIFTY BANK</t>
        </is>
      </c>
      <c r="B13" s="9" t="n">
        <v>12</v>
      </c>
      <c r="C13" s="9" t="n">
        <v>0</v>
      </c>
      <c r="D13" s="9" t="n">
        <v>1</v>
      </c>
      <c r="E13" s="9" t="n">
        <v>4</v>
      </c>
      <c r="F13" s="10" t="n">
        <v>0</v>
      </c>
      <c r="G13" s="10" t="n">
        <v>0.083</v>
      </c>
      <c r="H13" s="10" t="n">
        <v>0.333</v>
      </c>
      <c r="I13" s="11" t="n">
        <v>0.1387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1</v>
      </c>
      <c r="D14" s="5" t="n">
        <v>2</v>
      </c>
      <c r="E14" s="5" t="n">
        <v>3</v>
      </c>
      <c r="F14" s="6" t="n">
        <v>0.067</v>
      </c>
      <c r="G14" s="6" t="n">
        <v>0.133</v>
      </c>
      <c r="H14" s="6" t="n">
        <v>0.2</v>
      </c>
      <c r="I14" s="7" t="n">
        <v>0.1333</v>
      </c>
    </row>
    <row r="15" ht="17" customHeight="1">
      <c r="A15" s="8" t="inlineStr">
        <is>
          <t>NIFTY ENERGY</t>
        </is>
      </c>
      <c r="B15" s="9" t="n">
        <v>40</v>
      </c>
      <c r="C15" s="9" t="n">
        <v>2</v>
      </c>
      <c r="D15" s="9" t="n">
        <v>1</v>
      </c>
      <c r="E15" s="9" t="n">
        <v>11</v>
      </c>
      <c r="F15" s="10" t="n">
        <v>0.05</v>
      </c>
      <c r="G15" s="10" t="n">
        <v>0.025</v>
      </c>
      <c r="H15" s="10" t="n">
        <v>0.275</v>
      </c>
      <c r="I15" s="11" t="n">
        <v>0.1167</v>
      </c>
    </row>
    <row r="16" ht="17" customHeight="1">
      <c r="A16" s="4" t="inlineStr">
        <is>
          <t>NIFTY FMCG</t>
        </is>
      </c>
      <c r="B16" s="5" t="n">
        <v>15</v>
      </c>
      <c r="C16" s="5" t="n">
        <v>0</v>
      </c>
      <c r="D16" s="5" t="n">
        <v>2</v>
      </c>
      <c r="E16" s="5" t="n">
        <v>2</v>
      </c>
      <c r="F16" s="6" t="n">
        <v>0</v>
      </c>
      <c r="G16" s="6" t="n">
        <v>0.133</v>
      </c>
      <c r="H16" s="6" t="n">
        <v>0.133</v>
      </c>
      <c r="I16" s="7" t="n">
        <v>0.08869999999999999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1</v>
      </c>
      <c r="E17" s="9" t="n">
        <v>1</v>
      </c>
      <c r="F17" s="10" t="n">
        <v>0</v>
      </c>
      <c r="G17" s="10" t="n">
        <v>0.1</v>
      </c>
      <c r="H17" s="10" t="n">
        <v>0.1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AUROPHARMA</t>
        </is>
      </c>
      <c r="C3" s="14" t="n">
        <v>1660</v>
      </c>
      <c r="D3" s="14" t="n">
        <v>1652.91</v>
      </c>
      <c r="E3" s="14" t="n">
        <v>1609.46</v>
      </c>
      <c r="F3" s="14" t="n">
        <v>1429.64</v>
      </c>
      <c r="G3" s="15">
        <f>HYPERLINK("https://www.tradingview.com/chart/?symbol=NSE:AUROPHARMA","Chart 📈")</f>
        <v/>
      </c>
    </row>
    <row r="4" ht="16" customHeight="1">
      <c r="A4" s="16" t="inlineStr">
        <is>
          <t>NIFTY PHARMA</t>
        </is>
      </c>
      <c r="B4" s="13" t="inlineStr">
        <is>
          <t>DIVISLAB</t>
        </is>
      </c>
      <c r="C4" s="14" t="n">
        <v>9198</v>
      </c>
      <c r="D4" s="14" t="n">
        <v>9060.01</v>
      </c>
      <c r="E4" s="14" t="n">
        <v>8403.76</v>
      </c>
      <c r="F4" s="14" t="n">
        <v>7156.58</v>
      </c>
      <c r="G4" s="15">
        <f>HYPERLINK("https://www.tradingview.com/chart/?symbol=NSE:DIVISLAB","Chart 📈")</f>
        <v/>
      </c>
    </row>
    <row r="5" ht="16" customHeight="1">
      <c r="A5" s="16" t="inlineStr">
        <is>
          <t>NIFTY PHARMA</t>
        </is>
      </c>
      <c r="B5" s="13" t="inlineStr">
        <is>
          <t>GLAND</t>
        </is>
      </c>
      <c r="C5" s="14" t="n">
        <v>2895.5</v>
      </c>
      <c r="D5" s="14" t="n">
        <v>2880.98</v>
      </c>
      <c r="E5" s="14" t="n">
        <v>2710.44</v>
      </c>
      <c r="F5" s="14" t="n">
        <v>2254.33</v>
      </c>
      <c r="G5" s="15">
        <f>HYPERLINK("https://www.tradingview.com/chart/?symbol=NSE:GLAND","Chart 📈")</f>
        <v/>
      </c>
    </row>
    <row r="6" ht="16" customHeight="1">
      <c r="A6" s="16" t="inlineStr">
        <is>
          <t>NIFTY PHARMA</t>
        </is>
      </c>
      <c r="B6" s="13" t="inlineStr">
        <is>
          <t>GRANULES</t>
        </is>
      </c>
      <c r="C6" s="14" t="n">
        <v>872.6</v>
      </c>
      <c r="D6" s="14" t="n">
        <v>864.1900000000001</v>
      </c>
      <c r="E6" s="14" t="n">
        <v>844.76</v>
      </c>
      <c r="F6" s="14" t="n">
        <v>732.5700000000001</v>
      </c>
      <c r="G6" s="15">
        <f>HYPERLINK("https://www.tradingview.com/chart/?symbol=NSE:GRANULES","Chart 📈")</f>
        <v/>
      </c>
    </row>
    <row r="7" ht="16" customHeight="1">
      <c r="A7" s="16" t="inlineStr">
        <is>
          <t>NIFTY PHARMA</t>
        </is>
      </c>
      <c r="B7" s="13" t="inlineStr">
        <is>
          <t>IPCALAB</t>
        </is>
      </c>
      <c r="C7" s="14" t="n">
        <v>1932.4</v>
      </c>
      <c r="D7" s="14" t="n">
        <v>1928.43</v>
      </c>
      <c r="E7" s="14" t="n">
        <v>1846.68</v>
      </c>
      <c r="F7" s="14" t="n">
        <v>1633.49</v>
      </c>
      <c r="G7" s="15">
        <f>HYPERLINK("https://www.tradingview.com/chart/?symbol=NSE:IPCALAB","Chart 📈")</f>
        <v/>
      </c>
    </row>
    <row r="8" ht="16" customHeight="1">
      <c r="A8" s="16" t="inlineStr">
        <is>
          <t>NIFTY PHARMA</t>
        </is>
      </c>
      <c r="B8" s="13" t="inlineStr">
        <is>
          <t>LAURUSLABS</t>
        </is>
      </c>
      <c r="C8" s="14" t="n">
        <v>1926.9</v>
      </c>
      <c r="D8" s="14" t="n">
        <v>1881.68</v>
      </c>
      <c r="E8" s="14" t="n">
        <v>1764.03</v>
      </c>
      <c r="F8" s="14" t="n">
        <v>1389.63</v>
      </c>
      <c r="G8" s="15">
        <f>HYPERLINK("https://www.tradingview.com/chart/?symbol=NSE:LAURUSLABS","Chart 📈")</f>
        <v/>
      </c>
    </row>
    <row r="9" ht="16" customHeight="1">
      <c r="A9" s="8" t="inlineStr">
        <is>
          <t>NIFTY MEDIA</t>
        </is>
      </c>
      <c r="B9" s="17" t="inlineStr">
        <is>
          <t>PVRINOX</t>
        </is>
      </c>
      <c r="C9" s="18" t="n">
        <v>1221</v>
      </c>
      <c r="D9" s="18" t="n">
        <v>1205.48</v>
      </c>
      <c r="E9" s="18" t="n">
        <v>1152.24</v>
      </c>
      <c r="F9" s="18" t="n">
        <v>1073.35</v>
      </c>
      <c r="G9" s="19">
        <f>HYPERLINK("https://www.tradingview.com/chart/?symbol=NSE:PVRINOX","Chart 📈")</f>
        <v/>
      </c>
    </row>
    <row r="10" ht="16" customHeight="1">
      <c r="A10" s="20" t="inlineStr">
        <is>
          <t>NIFTY MEDIA</t>
        </is>
      </c>
      <c r="B10" s="17" t="inlineStr">
        <is>
          <t>TIPSMUSIC</t>
        </is>
      </c>
      <c r="C10" s="18" t="n">
        <v>659.15</v>
      </c>
      <c r="D10" s="18" t="n">
        <v>654.22</v>
      </c>
      <c r="E10" s="18" t="n">
        <v>657.3200000000001</v>
      </c>
      <c r="F10" s="18" t="n">
        <v>619.73</v>
      </c>
      <c r="G10" s="19">
        <f>HYPERLINK("https://www.tradingview.com/chart/?symbol=NSE:TIPSMUSIC","Chart 📈")</f>
        <v/>
      </c>
    </row>
    <row r="11" ht="16" customHeight="1">
      <c r="A11" s="12" t="inlineStr">
        <is>
          <t>NIFTY MIDSMALL IT &amp; TELECOM</t>
        </is>
      </c>
      <c r="B11" s="13" t="inlineStr">
        <is>
          <t>CYIENT</t>
        </is>
      </c>
      <c r="C11" s="14" t="n">
        <v>1078.9</v>
      </c>
      <c r="D11" s="14" t="n">
        <v>1040.87</v>
      </c>
      <c r="E11" s="14" t="n">
        <v>968.97</v>
      </c>
      <c r="F11" s="14" t="n">
        <v>972.54</v>
      </c>
      <c r="G11" s="15">
        <f>HYPERLINK("https://www.tradingview.com/chart/?symbol=NSE:CYIENT","Chart 📈")</f>
        <v/>
      </c>
    </row>
    <row r="12" ht="16" customHeight="1">
      <c r="A12" s="8" t="inlineStr">
        <is>
          <t>NIFTY OIL &amp; GAS</t>
        </is>
      </c>
      <c r="B12" s="17" t="inlineStr">
        <is>
          <t>AEGISLOG</t>
        </is>
      </c>
      <c r="C12" s="18" t="n">
        <v>1323.5</v>
      </c>
      <c r="D12" s="18" t="n">
        <v>1303.36</v>
      </c>
      <c r="E12" s="18" t="n">
        <v>1256.89</v>
      </c>
      <c r="F12" s="18" t="n">
        <v>987.83</v>
      </c>
      <c r="G12" s="19">
        <f>HYPERLINK("https://www.tradingview.com/chart/?symbol=NSE:AEGISLOG","Chart 📈")</f>
        <v/>
      </c>
    </row>
    <row r="13" ht="16" customHeight="1">
      <c r="A13" s="20" t="inlineStr">
        <is>
          <t>NIFTY OIL &amp; GAS</t>
        </is>
      </c>
      <c r="B13" s="17" t="inlineStr">
        <is>
          <t>CASTROLIND</t>
        </is>
      </c>
      <c r="C13" s="18" t="n">
        <v>187.82</v>
      </c>
      <c r="D13" s="18" t="n">
        <v>187.17</v>
      </c>
      <c r="E13" s="18" t="n">
        <v>184.59</v>
      </c>
      <c r="F13" s="18" t="n">
        <v>180.98</v>
      </c>
      <c r="G13" s="19">
        <f>HYPERLINK("https://www.tradingview.com/chart/?symbol=NSE:CASTROLIND","Chart 📈")</f>
        <v/>
      </c>
    </row>
    <row r="14" ht="16" customHeight="1">
      <c r="A14" s="20" t="inlineStr">
        <is>
          <t>NIFTY OIL &amp; GAS</t>
        </is>
      </c>
      <c r="B14" s="17" t="inlineStr">
        <is>
          <t>OIL</t>
        </is>
      </c>
      <c r="C14" s="18" t="n">
        <v>485.6</v>
      </c>
      <c r="D14" s="18" t="n">
        <v>483.19</v>
      </c>
      <c r="E14" s="18" t="n">
        <v>469.41</v>
      </c>
      <c r="F14" s="18" t="n">
        <v>451.16</v>
      </c>
      <c r="G14" s="19">
        <f>HYPERLINK("https://www.tradingview.com/chart/?symbol=NSE:OIL","Chart 📈")</f>
        <v/>
      </c>
    </row>
    <row r="15" ht="16" customHeight="1">
      <c r="A15" s="12" t="inlineStr">
        <is>
          <t>NIFTY METAL</t>
        </is>
      </c>
      <c r="B15" s="13" t="inlineStr">
        <is>
          <t>RATNAMANI</t>
        </is>
      </c>
      <c r="C15" s="14" t="n">
        <v>2691.4</v>
      </c>
      <c r="D15" s="14" t="n">
        <v>2643.36</v>
      </c>
      <c r="E15" s="14" t="n">
        <v>2557.39</v>
      </c>
      <c r="F15" s="14" t="n">
        <v>2470.86</v>
      </c>
      <c r="G15" s="15">
        <f>HYPERLINK("https://www.tradingview.com/chart/?symbol=NSE:RATNAMANI","Chart 📈")</f>
        <v/>
      </c>
    </row>
    <row r="16" ht="16" customHeight="1">
      <c r="A16" s="16" t="inlineStr">
        <is>
          <t>NIFTY METAL</t>
        </is>
      </c>
      <c r="B16" s="13" t="inlineStr">
        <is>
          <t>WELCORP</t>
        </is>
      </c>
      <c r="C16" s="14" t="n">
        <v>2413.3</v>
      </c>
      <c r="D16" s="14" t="n">
        <v>2413.22</v>
      </c>
      <c r="E16" s="14" t="n">
        <v>2081.33</v>
      </c>
      <c r="F16" s="14" t="n">
        <v>1450.96</v>
      </c>
      <c r="G16" s="15">
        <f>HYPERLINK("https://www.tradingview.com/chart/?symbol=NSE:WELCORP","Chart 📈")</f>
        <v/>
      </c>
    </row>
    <row r="17" ht="16" customHeight="1">
      <c r="A17" s="8" t="inlineStr">
        <is>
          <t>NIFTY REALTY</t>
        </is>
      </c>
      <c r="B17" s="17" t="inlineStr">
        <is>
          <t>RAYMOND</t>
        </is>
      </c>
      <c r="C17" s="18" t="n">
        <v>995.95</v>
      </c>
      <c r="D17" s="18" t="n">
        <v>754.62</v>
      </c>
      <c r="E17" s="18" t="n">
        <v>671.22</v>
      </c>
      <c r="F17" s="18" t="n">
        <v>563.3099999999999</v>
      </c>
      <c r="G17" s="19">
        <f>HYPERLINK("https://www.tradingview.com/chart/?symbol=NSE:RAYMOND","Chart 📈")</f>
        <v/>
      </c>
    </row>
    <row r="18" ht="16" customHeight="1">
      <c r="A18" s="12" t="inlineStr">
        <is>
          <t>NIFTY FINANCIAL SERVICES</t>
        </is>
      </c>
      <c r="B18" s="13" t="inlineStr">
        <is>
          <t>LICHSGFIN</t>
        </is>
      </c>
      <c r="C18" s="14" t="n">
        <v>542</v>
      </c>
      <c r="D18" s="14" t="n">
        <v>536.33</v>
      </c>
      <c r="E18" s="14" t="n">
        <v>528.33</v>
      </c>
      <c r="F18" s="14" t="n">
        <v>530.45</v>
      </c>
      <c r="G18" s="15">
        <f>HYPERLINK("https://www.tradingview.com/chart/?symbol=NSE:LICHSGFIN","Chart 📈")</f>
        <v/>
      </c>
    </row>
    <row r="19" ht="16" customHeight="1">
      <c r="A19" s="8" t="inlineStr">
        <is>
          <t>NIFTY CONSUMER DURABLES</t>
        </is>
      </c>
      <c r="B19" s="17" t="inlineStr">
        <is>
          <t>KALYANKJIL</t>
        </is>
      </c>
      <c r="C19" s="18" t="n">
        <v>604.2</v>
      </c>
      <c r="D19" s="18" t="n">
        <v>598.35</v>
      </c>
      <c r="E19" s="18" t="n">
        <v>561.63</v>
      </c>
      <c r="F19" s="18" t="n">
        <v>482.19</v>
      </c>
      <c r="G19" s="19">
        <f>HYPERLINK("https://www.tradingview.com/chart/?symbol=NSE:KALYANKJIL","Chart 📈")</f>
        <v/>
      </c>
    </row>
    <row r="20" ht="16" customHeight="1">
      <c r="A20" s="12" t="inlineStr">
        <is>
          <t>NIFTY ENERGY</t>
        </is>
      </c>
      <c r="B20" s="13" t="inlineStr">
        <is>
          <t>COALINDIA</t>
        </is>
      </c>
      <c r="C20" s="14" t="n">
        <v>419.25</v>
      </c>
      <c r="D20" s="14" t="n">
        <v>413.86</v>
      </c>
      <c r="E20" s="14" t="n">
        <v>414.5</v>
      </c>
      <c r="F20" s="14" t="n">
        <v>414.54</v>
      </c>
      <c r="G20" s="15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2026-09-15T15:37:15Z</dcterms:created>
  <dcterms:modified xmlns:dcterms="http://purl.org/dc/terms/" xmlns:xsi="http://www.w3.org/2001/XMLSchema-instance" xsi:type="dcterms:W3CDTF">2026-09-15T15:37:15Z</dcterms:modified>
</cp:coreProperties>
</file>