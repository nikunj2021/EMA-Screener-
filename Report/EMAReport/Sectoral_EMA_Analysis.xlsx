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09-Jun-2026  13:55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PSU BANK</t>
        </is>
      </c>
      <c r="B4" s="5" t="n">
        <v>12</v>
      </c>
      <c r="C4" s="5" t="n">
        <v>10</v>
      </c>
      <c r="D4" s="5" t="n">
        <v>8</v>
      </c>
      <c r="E4" s="5" t="n">
        <v>7</v>
      </c>
      <c r="F4" s="6" t="n">
        <v>0.833</v>
      </c>
      <c r="G4" s="6" t="n">
        <v>0.667</v>
      </c>
      <c r="H4" s="6" t="n">
        <v>0.583</v>
      </c>
      <c r="I4" s="7" t="n">
        <v>0.6943</v>
      </c>
    </row>
    <row r="5" ht="17" customHeight="1">
      <c r="A5" s="8" t="inlineStr">
        <is>
          <t>NIFTY PHARMA</t>
        </is>
      </c>
      <c r="B5" s="9" t="n">
        <v>20</v>
      </c>
      <c r="C5" s="9" t="n">
        <v>12</v>
      </c>
      <c r="D5" s="9" t="n">
        <v>13</v>
      </c>
      <c r="E5" s="9" t="n">
        <v>15</v>
      </c>
      <c r="F5" s="10" t="n">
        <v>0.6</v>
      </c>
      <c r="G5" s="10" t="n">
        <v>0.65</v>
      </c>
      <c r="H5" s="10" t="n">
        <v>0.75</v>
      </c>
      <c r="I5" s="11" t="n">
        <v>0.6667000000000001</v>
      </c>
    </row>
    <row r="6" ht="17" customHeight="1">
      <c r="A6" s="4" t="inlineStr">
        <is>
          <t>NIFTY MEDIA</t>
        </is>
      </c>
      <c r="B6" s="5" t="n">
        <v>10</v>
      </c>
      <c r="C6" s="5" t="n">
        <v>7</v>
      </c>
      <c r="D6" s="5" t="n">
        <v>5</v>
      </c>
      <c r="E6" s="5" t="n">
        <v>4</v>
      </c>
      <c r="F6" s="6" t="n">
        <v>0.7</v>
      </c>
      <c r="G6" s="6" t="n">
        <v>0.5</v>
      </c>
      <c r="H6" s="6" t="n">
        <v>0.4</v>
      </c>
      <c r="I6" s="7" t="n">
        <v>0.5333</v>
      </c>
    </row>
    <row r="7" ht="17" customHeight="1">
      <c r="A7" s="8" t="inlineStr">
        <is>
          <t>NIFTY METAL</t>
        </is>
      </c>
      <c r="B7" s="9" t="n">
        <v>15</v>
      </c>
      <c r="C7" s="9" t="n">
        <v>2</v>
      </c>
      <c r="D7" s="9" t="n">
        <v>7</v>
      </c>
      <c r="E7" s="9" t="n">
        <v>12</v>
      </c>
      <c r="F7" s="10" t="n">
        <v>0.133</v>
      </c>
      <c r="G7" s="10" t="n">
        <v>0.467</v>
      </c>
      <c r="H7" s="10" t="n">
        <v>0.8</v>
      </c>
      <c r="I7" s="11" t="n">
        <v>0.4667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10</v>
      </c>
      <c r="D8" s="5" t="n">
        <v>11</v>
      </c>
      <c r="E8" s="5" t="n">
        <v>7</v>
      </c>
      <c r="F8" s="6" t="n">
        <v>0.5</v>
      </c>
      <c r="G8" s="6" t="n">
        <v>0.55</v>
      </c>
      <c r="H8" s="6" t="n">
        <v>0.35</v>
      </c>
      <c r="I8" s="7" t="n">
        <v>0.4667</v>
      </c>
    </row>
    <row r="9" ht="17" customHeight="1">
      <c r="A9" s="8" t="inlineStr">
        <is>
          <t>NIFTY AUTO</t>
        </is>
      </c>
      <c r="B9" s="9" t="n">
        <v>15</v>
      </c>
      <c r="C9" s="9" t="n">
        <v>7</v>
      </c>
      <c r="D9" s="9" t="n">
        <v>7</v>
      </c>
      <c r="E9" s="9" t="n">
        <v>6</v>
      </c>
      <c r="F9" s="10" t="n">
        <v>0.467</v>
      </c>
      <c r="G9" s="10" t="n">
        <v>0.467</v>
      </c>
      <c r="H9" s="10" t="n">
        <v>0.4</v>
      </c>
      <c r="I9" s="11" t="n">
        <v>0.4447</v>
      </c>
    </row>
    <row r="10" ht="17" customHeight="1">
      <c r="A10" s="4" t="inlineStr">
        <is>
          <t>NIFTY ENERGY</t>
        </is>
      </c>
      <c r="B10" s="5" t="n">
        <v>40</v>
      </c>
      <c r="C10" s="5" t="n">
        <v>9</v>
      </c>
      <c r="D10" s="5" t="n">
        <v>16</v>
      </c>
      <c r="E10" s="5" t="n">
        <v>18</v>
      </c>
      <c r="F10" s="6" t="n">
        <v>0.225</v>
      </c>
      <c r="G10" s="6" t="n">
        <v>0.4</v>
      </c>
      <c r="H10" s="6" t="n">
        <v>0.45</v>
      </c>
      <c r="I10" s="7" t="n">
        <v>0.3583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5</v>
      </c>
      <c r="D11" s="9" t="n">
        <v>5</v>
      </c>
      <c r="E11" s="9" t="n">
        <v>4</v>
      </c>
      <c r="F11" s="10" t="n">
        <v>0.333</v>
      </c>
      <c r="G11" s="10" t="n">
        <v>0.333</v>
      </c>
      <c r="H11" s="10" t="n">
        <v>0.267</v>
      </c>
      <c r="I11" s="11" t="n">
        <v>0.311</v>
      </c>
    </row>
    <row r="12" ht="17" customHeight="1">
      <c r="A12" s="4" t="inlineStr">
        <is>
          <t>NIFTY FMCG</t>
        </is>
      </c>
      <c r="B12" s="5" t="n">
        <v>15</v>
      </c>
      <c r="C12" s="5" t="n">
        <v>4</v>
      </c>
      <c r="D12" s="5" t="n">
        <v>5</v>
      </c>
      <c r="E12" s="5" t="n">
        <v>5</v>
      </c>
      <c r="F12" s="6" t="n">
        <v>0.267</v>
      </c>
      <c r="G12" s="6" t="n">
        <v>0.333</v>
      </c>
      <c r="H12" s="6" t="n">
        <v>0.333</v>
      </c>
      <c r="I12" s="7" t="n">
        <v>0.311</v>
      </c>
    </row>
    <row r="13" ht="17" customHeight="1">
      <c r="A13" s="8" t="inlineStr">
        <is>
          <t>NIFTY BANK</t>
        </is>
      </c>
      <c r="B13" s="9" t="n">
        <v>12</v>
      </c>
      <c r="C13" s="9" t="n">
        <v>3</v>
      </c>
      <c r="D13" s="9" t="n">
        <v>3</v>
      </c>
      <c r="E13" s="9" t="n">
        <v>4</v>
      </c>
      <c r="F13" s="10" t="n">
        <v>0.25</v>
      </c>
      <c r="G13" s="10" t="n">
        <v>0.25</v>
      </c>
      <c r="H13" s="10" t="n">
        <v>0.333</v>
      </c>
      <c r="I13" s="11" t="n">
        <v>0.2777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4</v>
      </c>
      <c r="D14" s="5" t="n">
        <v>4</v>
      </c>
      <c r="E14" s="5" t="n">
        <v>4</v>
      </c>
      <c r="F14" s="6" t="n">
        <v>0.267</v>
      </c>
      <c r="G14" s="6" t="n">
        <v>0.267</v>
      </c>
      <c r="H14" s="6" t="n">
        <v>0.267</v>
      </c>
      <c r="I14" s="7" t="n">
        <v>0.267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6</v>
      </c>
      <c r="D15" s="9" t="n">
        <v>4</v>
      </c>
      <c r="E15" s="9" t="n">
        <v>5</v>
      </c>
      <c r="F15" s="10" t="n">
        <v>0.3</v>
      </c>
      <c r="G15" s="10" t="n">
        <v>0.2</v>
      </c>
      <c r="H15" s="10" t="n">
        <v>0.25</v>
      </c>
      <c r="I15" s="11" t="n">
        <v>0.25</v>
      </c>
    </row>
    <row r="16" ht="17" customHeight="1">
      <c r="A16" s="4" t="inlineStr">
        <is>
          <t>NIFTY REALTY</t>
        </is>
      </c>
      <c r="B16" s="5" t="n">
        <v>10</v>
      </c>
      <c r="C16" s="5" t="n">
        <v>2</v>
      </c>
      <c r="D16" s="5" t="n">
        <v>2</v>
      </c>
      <c r="E16" s="5" t="n">
        <v>2</v>
      </c>
      <c r="F16" s="6" t="n">
        <v>0.2</v>
      </c>
      <c r="G16" s="6" t="n">
        <v>0.2</v>
      </c>
      <c r="H16" s="6" t="n">
        <v>0.2</v>
      </c>
      <c r="I16" s="7" t="n">
        <v>0.2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PSU BANK</t>
        </is>
      </c>
      <c r="B3" s="13" t="inlineStr">
        <is>
          <t>BANKBARODA</t>
        </is>
      </c>
      <c r="C3" s="14" t="n">
        <v>273.75</v>
      </c>
      <c r="D3" s="14" t="n">
        <v>261.01</v>
      </c>
      <c r="E3" s="14" t="n">
        <v>263.11</v>
      </c>
      <c r="F3" s="14" t="n">
        <v>265.11</v>
      </c>
      <c r="G3" s="15">
        <f>HYPERLINK("https://www.tradingview.com/chart/?symbol=NSE:BANKBARODA","Chart 📈")</f>
        <v/>
      </c>
    </row>
    <row r="4" ht="16" customHeight="1">
      <c r="A4" s="16" t="inlineStr">
        <is>
          <t>NIFTY PSU BANK</t>
        </is>
      </c>
      <c r="B4" s="13" t="inlineStr">
        <is>
          <t>BANKINDIA</t>
        </is>
      </c>
      <c r="C4" s="14" t="n">
        <v>147.72</v>
      </c>
      <c r="D4" s="14" t="n">
        <v>139.87</v>
      </c>
      <c r="E4" s="14" t="n">
        <v>140.89</v>
      </c>
      <c r="F4" s="14" t="n">
        <v>138.38</v>
      </c>
      <c r="G4" s="15">
        <f>HYPERLINK("https://www.tradingview.com/chart/?symbol=NSE:BANKINDIA","Chart 📈")</f>
        <v/>
      </c>
    </row>
    <row r="5" ht="16" customHeight="1">
      <c r="A5" s="16" t="inlineStr">
        <is>
          <t>NIFTY PSU BANK</t>
        </is>
      </c>
      <c r="B5" s="13" t="inlineStr">
        <is>
          <t>CANBK</t>
        </is>
      </c>
      <c r="C5" s="14" t="n">
        <v>137.51</v>
      </c>
      <c r="D5" s="14" t="n">
        <v>132.54</v>
      </c>
      <c r="E5" s="14" t="n">
        <v>134.61</v>
      </c>
      <c r="F5" s="14" t="n">
        <v>134.82</v>
      </c>
      <c r="G5" s="15">
        <f>HYPERLINK("https://www.tradingview.com/chart/?symbol=NSE:CANBK","Chart 📈")</f>
        <v/>
      </c>
    </row>
    <row r="6" ht="16" customHeight="1">
      <c r="A6" s="16" t="inlineStr">
        <is>
          <t>NIFTY PSU BANK</t>
        </is>
      </c>
      <c r="B6" s="13" t="inlineStr">
        <is>
          <t>INDIANB</t>
        </is>
      </c>
      <c r="C6" s="14" t="n">
        <v>874.95</v>
      </c>
      <c r="D6" s="14" t="n">
        <v>841.61</v>
      </c>
      <c r="E6" s="14" t="n">
        <v>857.67</v>
      </c>
      <c r="F6" s="14" t="n">
        <v>826.6</v>
      </c>
      <c r="G6" s="15">
        <f>HYPERLINK("https://www.tradingview.com/chart/?symbol=NSE:INDIANB","Chart 📈")</f>
        <v/>
      </c>
    </row>
    <row r="7" ht="16" customHeight="1">
      <c r="A7" s="16" t="inlineStr">
        <is>
          <t>NIFTY PSU BANK</t>
        </is>
      </c>
      <c r="B7" s="13" t="inlineStr">
        <is>
          <t>MAHABANK</t>
        </is>
      </c>
      <c r="C7" s="14" t="n">
        <v>83.97</v>
      </c>
      <c r="D7" s="14" t="n">
        <v>78.8</v>
      </c>
      <c r="E7" s="14" t="n">
        <v>75.81</v>
      </c>
      <c r="F7" s="14" t="n">
        <v>66.13</v>
      </c>
      <c r="G7" s="15">
        <f>HYPERLINK("https://www.tradingview.com/chart/?symbol=NSE:MAHABANK","Chart 📈")</f>
        <v/>
      </c>
    </row>
    <row r="8" ht="16" customHeight="1">
      <c r="A8" s="16" t="inlineStr">
        <is>
          <t>NIFTY PSU BANK</t>
        </is>
      </c>
      <c r="B8" s="13" t="inlineStr">
        <is>
          <t>UNIONBANK</t>
        </is>
      </c>
      <c r="C8" s="14" t="n">
        <v>170.44</v>
      </c>
      <c r="D8" s="14" t="n">
        <v>166.41</v>
      </c>
      <c r="E8" s="14" t="n">
        <v>169.57</v>
      </c>
      <c r="F8" s="14" t="n">
        <v>164.56</v>
      </c>
      <c r="G8" s="15">
        <f>HYPERLINK("https://www.tradingview.com/chart/?symbol=NSE:UNIONBANK","Chart 📈")</f>
        <v/>
      </c>
    </row>
    <row r="9" ht="16" customHeight="1">
      <c r="A9" s="8" t="inlineStr">
        <is>
          <t>NIFTY PHARMA</t>
        </is>
      </c>
      <c r="B9" s="17" t="inlineStr">
        <is>
          <t>AJANTPHARM</t>
        </is>
      </c>
      <c r="C9" s="18" t="n">
        <v>3017.2</v>
      </c>
      <c r="D9" s="18" t="n">
        <v>3003.93</v>
      </c>
      <c r="E9" s="18" t="n">
        <v>2969.87</v>
      </c>
      <c r="F9" s="18" t="n">
        <v>2800.17</v>
      </c>
      <c r="G9" s="19">
        <f>HYPERLINK("https://www.tradingview.com/chart/?symbol=NSE:AJANTPHARM","Chart 📈")</f>
        <v/>
      </c>
    </row>
    <row r="10" ht="16" customHeight="1">
      <c r="A10" s="20" t="inlineStr">
        <is>
          <t>NIFTY PHARMA</t>
        </is>
      </c>
      <c r="B10" s="17" t="inlineStr">
        <is>
          <t>BIOCON</t>
        </is>
      </c>
      <c r="C10" s="18" t="n">
        <v>416.35</v>
      </c>
      <c r="D10" s="18" t="n">
        <v>414.49</v>
      </c>
      <c r="E10" s="18" t="n">
        <v>399.21</v>
      </c>
      <c r="F10" s="18" t="n">
        <v>379.74</v>
      </c>
      <c r="G10" s="19">
        <f>HYPERLINK("https://www.tradingview.com/chart/?symbol=NSE:BIOCON","Chart 📈")</f>
        <v/>
      </c>
    </row>
    <row r="11" ht="16" customHeight="1">
      <c r="A11" s="20" t="inlineStr">
        <is>
          <t>NIFTY PHARMA</t>
        </is>
      </c>
      <c r="B11" s="17" t="inlineStr">
        <is>
          <t>DIVISLAB</t>
        </is>
      </c>
      <c r="C11" s="18" t="n">
        <v>6753</v>
      </c>
      <c r="D11" s="18" t="n">
        <v>6658.59</v>
      </c>
      <c r="E11" s="18" t="n">
        <v>6544.39</v>
      </c>
      <c r="F11" s="18" t="n">
        <v>6411.08</v>
      </c>
      <c r="G11" s="19">
        <f>HYPERLINK("https://www.tradingview.com/chart/?symbol=NSE:DIVISLAB","Chart 📈")</f>
        <v/>
      </c>
    </row>
    <row r="12" ht="16" customHeight="1">
      <c r="A12" s="20" t="inlineStr">
        <is>
          <t>NIFTY PHARMA</t>
        </is>
      </c>
      <c r="B12" s="17" t="inlineStr">
        <is>
          <t>GLAND</t>
        </is>
      </c>
      <c r="C12" s="18" t="n">
        <v>2288.5</v>
      </c>
      <c r="D12" s="18" t="n">
        <v>2189.47</v>
      </c>
      <c r="E12" s="18" t="n">
        <v>2023.52</v>
      </c>
      <c r="F12" s="18" t="n">
        <v>1852.48</v>
      </c>
      <c r="G12" s="19">
        <f>HYPERLINK("https://www.tradingview.com/chart/?symbol=NSE:GLAND","Chart 📈")</f>
        <v/>
      </c>
    </row>
    <row r="13" ht="16" customHeight="1">
      <c r="A13" s="20" t="inlineStr">
        <is>
          <t>NIFTY PHARMA</t>
        </is>
      </c>
      <c r="B13" s="17" t="inlineStr">
        <is>
          <t>GRANULES</t>
        </is>
      </c>
      <c r="C13" s="18" t="n">
        <v>765.05</v>
      </c>
      <c r="D13" s="18" t="n">
        <v>762.37</v>
      </c>
      <c r="E13" s="18" t="n">
        <v>718.14</v>
      </c>
      <c r="F13" s="18" t="n">
        <v>620.92</v>
      </c>
      <c r="G13" s="19">
        <f>HYPERLINK("https://www.tradingview.com/chart/?symbol=NSE:GRANULES","Chart 📈")</f>
        <v/>
      </c>
    </row>
    <row r="14" ht="16" customHeight="1">
      <c r="A14" s="20" t="inlineStr">
        <is>
          <t>NIFTY PHARMA</t>
        </is>
      </c>
      <c r="B14" s="17" t="inlineStr">
        <is>
          <t>IPCALAB</t>
        </is>
      </c>
      <c r="C14" s="18" t="n">
        <v>1634</v>
      </c>
      <c r="D14" s="18" t="n">
        <v>1583.02</v>
      </c>
      <c r="E14" s="18" t="n">
        <v>1554.35</v>
      </c>
      <c r="F14" s="18" t="n">
        <v>1476.72</v>
      </c>
      <c r="G14" s="19">
        <f>HYPERLINK("https://www.tradingview.com/chart/?symbol=NSE:IPCALAB","Chart 📈")</f>
        <v/>
      </c>
    </row>
    <row r="15" ht="16" customHeight="1">
      <c r="A15" s="20" t="inlineStr">
        <is>
          <t>NIFTY PHARMA</t>
        </is>
      </c>
      <c r="B15" s="17" t="inlineStr">
        <is>
          <t>JBCHEPHARM</t>
        </is>
      </c>
      <c r="C15" s="18" t="n">
        <v>2210.2</v>
      </c>
      <c r="D15" s="18" t="n">
        <v>2152.75</v>
      </c>
      <c r="E15" s="18" t="n">
        <v>2102.05</v>
      </c>
      <c r="F15" s="18" t="n">
        <v>1926.68</v>
      </c>
      <c r="G15" s="19">
        <f>HYPERLINK("https://www.tradingview.com/chart/?symbol=NSE:JBCHEPHARM","Chart 📈")</f>
        <v/>
      </c>
    </row>
    <row r="16" ht="16" customHeight="1">
      <c r="A16" s="20" t="inlineStr">
        <is>
          <t>NIFTY PHARMA</t>
        </is>
      </c>
      <c r="B16" s="17" t="inlineStr">
        <is>
          <t>LAURUSLABS</t>
        </is>
      </c>
      <c r="C16" s="18" t="n">
        <v>1424.4</v>
      </c>
      <c r="D16" s="18" t="n">
        <v>1356.95</v>
      </c>
      <c r="E16" s="18" t="n">
        <v>1251.94</v>
      </c>
      <c r="F16" s="18" t="n">
        <v>1052.31</v>
      </c>
      <c r="G16" s="19">
        <f>HYPERLINK("https://www.tradingview.com/chart/?symbol=NSE:LAURUSLABS","Chart 📈")</f>
        <v/>
      </c>
    </row>
    <row r="17" ht="16" customHeight="1">
      <c r="A17" s="20" t="inlineStr">
        <is>
          <t>NIFTY PHARMA</t>
        </is>
      </c>
      <c r="B17" s="17" t="inlineStr">
        <is>
          <t>MANKIND</t>
        </is>
      </c>
      <c r="C17" s="18" t="n">
        <v>2391</v>
      </c>
      <c r="D17" s="18" t="n">
        <v>2378.3</v>
      </c>
      <c r="E17" s="18" t="n">
        <v>2315.85</v>
      </c>
      <c r="F17" s="18" t="n">
        <v>2277.11</v>
      </c>
      <c r="G17" s="19">
        <f>HYPERLINK("https://www.tradingview.com/chart/?symbol=NSE:MANKIND","Chart 📈")</f>
        <v/>
      </c>
    </row>
    <row r="18" ht="16" customHeight="1">
      <c r="A18" s="20" t="inlineStr">
        <is>
          <t>NIFTY PHARMA</t>
        </is>
      </c>
      <c r="B18" s="17" t="inlineStr">
        <is>
          <t>TORNTPHARM</t>
        </is>
      </c>
      <c r="C18" s="18" t="n">
        <v>4472.9</v>
      </c>
      <c r="D18" s="18" t="n">
        <v>4398.74</v>
      </c>
      <c r="E18" s="18" t="n">
        <v>4322.52</v>
      </c>
      <c r="F18" s="18" t="n">
        <v>3984.33</v>
      </c>
      <c r="G18" s="19">
        <f>HYPERLINK("https://www.tradingview.com/chart/?symbol=NSE:TORNTPHARM","Chart 📈")</f>
        <v/>
      </c>
    </row>
    <row r="19" ht="16" customHeight="1">
      <c r="A19" s="20" t="inlineStr">
        <is>
          <t>NIFTY PHARMA</t>
        </is>
      </c>
      <c r="B19" s="17" t="inlineStr">
        <is>
          <t>ZYDUSLIFE</t>
        </is>
      </c>
      <c r="C19" s="18" t="n">
        <v>1105.6</v>
      </c>
      <c r="D19" s="18" t="n">
        <v>1052.54</v>
      </c>
      <c r="E19" s="18" t="n">
        <v>996.1</v>
      </c>
      <c r="F19" s="18" t="n">
        <v>953.2</v>
      </c>
      <c r="G19" s="19">
        <f>HYPERLINK("https://www.tradingview.com/chart/?symbol=NSE:ZYDUSLIFE","Chart 📈")</f>
        <v/>
      </c>
    </row>
    <row r="20" ht="16" customHeight="1">
      <c r="A20" s="12" t="inlineStr">
        <is>
          <t>NIFTY MEDIA</t>
        </is>
      </c>
      <c r="B20" s="13" t="inlineStr">
        <is>
          <t>NAZARA</t>
        </is>
      </c>
      <c r="C20" s="14" t="n">
        <v>278.55</v>
      </c>
      <c r="D20" s="14" t="n">
        <v>276.65</v>
      </c>
      <c r="E20" s="14" t="n">
        <v>271.36</v>
      </c>
      <c r="F20" s="14" t="n">
        <v>273.21</v>
      </c>
      <c r="G20" s="15">
        <f>HYPERLINK("https://www.tradingview.com/chart/?symbol=NSE:NAZARA","Chart 📈")</f>
        <v/>
      </c>
    </row>
    <row r="21" ht="16" customHeight="1">
      <c r="A21" s="16" t="inlineStr">
        <is>
          <t>NIFTY MEDIA</t>
        </is>
      </c>
      <c r="B21" s="13" t="inlineStr">
        <is>
          <t>SAREGAMA</t>
        </is>
      </c>
      <c r="C21" s="14" t="n">
        <v>449.3</v>
      </c>
      <c r="D21" s="14" t="n">
        <v>423.77</v>
      </c>
      <c r="E21" s="14" t="n">
        <v>389.03</v>
      </c>
      <c r="F21" s="14" t="n">
        <v>397.04</v>
      </c>
      <c r="G21" s="15">
        <f>HYPERLINK("https://www.tradingview.com/chart/?symbol=NSE:SAREGAMA","Chart 📈")</f>
        <v/>
      </c>
    </row>
    <row r="22" ht="16" customHeight="1">
      <c r="A22" s="16" t="inlineStr">
        <is>
          <t>NIFTY MEDIA</t>
        </is>
      </c>
      <c r="B22" s="13" t="inlineStr">
        <is>
          <t>TIPSMUSIC</t>
        </is>
      </c>
      <c r="C22" s="14" t="n">
        <v>673.25</v>
      </c>
      <c r="D22" s="14" t="n">
        <v>659.45</v>
      </c>
      <c r="E22" s="14" t="n">
        <v>628.5700000000001</v>
      </c>
      <c r="F22" s="14" t="n">
        <v>587.53</v>
      </c>
      <c r="G22" s="15">
        <f>HYPERLINK("https://www.tradingview.com/chart/?symbol=NSE:TIPSMUSIC","Chart 📈")</f>
        <v/>
      </c>
    </row>
    <row r="23" ht="16" customHeight="1">
      <c r="A23" s="16" t="inlineStr">
        <is>
          <t>NIFTY MEDIA</t>
        </is>
      </c>
      <c r="B23" s="13" t="inlineStr">
        <is>
          <t>ZEEL</t>
        </is>
      </c>
      <c r="C23" s="14" t="n">
        <v>107.62</v>
      </c>
      <c r="D23" s="14" t="n">
        <v>95.92</v>
      </c>
      <c r="E23" s="14" t="n">
        <v>90.56999999999999</v>
      </c>
      <c r="F23" s="14" t="n">
        <v>95.68000000000001</v>
      </c>
      <c r="G23" s="15">
        <f>HYPERLINK("https://www.tradingview.com/chart/?symbol=NSE:ZEEL","Chart 📈")</f>
        <v/>
      </c>
    </row>
    <row r="24" ht="16" customHeight="1">
      <c r="A24" s="8" t="inlineStr">
        <is>
          <t>NIFTY METAL</t>
        </is>
      </c>
      <c r="B24" s="17" t="inlineStr">
        <is>
          <t>ADANIENT</t>
        </is>
      </c>
      <c r="C24" s="18" t="n">
        <v>2979.9</v>
      </c>
      <c r="D24" s="18" t="n">
        <v>2837.15</v>
      </c>
      <c r="E24" s="18" t="n">
        <v>2585.54</v>
      </c>
      <c r="F24" s="18" t="n">
        <v>2380.72</v>
      </c>
      <c r="G24" s="19">
        <f>HYPERLINK("https://www.tradingview.com/chart/?symbol=NSE:ADANIENT","Chart 📈")</f>
        <v/>
      </c>
    </row>
    <row r="25" ht="16" customHeight="1">
      <c r="A25" s="20" t="inlineStr">
        <is>
          <t>NIFTY METAL</t>
        </is>
      </c>
      <c r="B25" s="17" t="inlineStr">
        <is>
          <t>WELCORP</t>
        </is>
      </c>
      <c r="C25" s="18" t="n">
        <v>1411.6</v>
      </c>
      <c r="D25" s="18" t="n">
        <v>1343.96</v>
      </c>
      <c r="E25" s="18" t="n">
        <v>1219.58</v>
      </c>
      <c r="F25" s="18" t="n">
        <v>994.89</v>
      </c>
      <c r="G25" s="19">
        <f>HYPERLINK("https://www.tradingview.com/chart/?symbol=NSE:WELCORP","Chart 📈")</f>
        <v/>
      </c>
    </row>
    <row r="26" ht="16" customHeight="1">
      <c r="A26" s="12" t="inlineStr">
        <is>
          <t>NIFTY MIDSMALL IT &amp; TELECOM</t>
        </is>
      </c>
      <c r="B26" s="13" t="inlineStr">
        <is>
          <t>HFCL</t>
        </is>
      </c>
      <c r="C26" s="14" t="n">
        <v>178.01</v>
      </c>
      <c r="D26" s="14" t="n">
        <v>167.51</v>
      </c>
      <c r="E26" s="14" t="n">
        <v>137.66</v>
      </c>
      <c r="F26" s="14" t="n">
        <v>97.15000000000001</v>
      </c>
      <c r="G26" s="15">
        <f>HYPERLINK("https://www.tradingview.com/chart/?symbol=NSE:HFCL","Chart 📈")</f>
        <v/>
      </c>
    </row>
    <row r="27" ht="16" customHeight="1">
      <c r="A27" s="16" t="inlineStr">
        <is>
          <t>NIFTY MIDSMALL IT &amp; TELECOM</t>
        </is>
      </c>
      <c r="B27" s="13" t="inlineStr">
        <is>
          <t>IDEA</t>
        </is>
      </c>
      <c r="C27" s="14" t="n">
        <v>14.14</v>
      </c>
      <c r="D27" s="14" t="n">
        <v>13.69</v>
      </c>
      <c r="E27" s="14" t="n">
        <v>12.29</v>
      </c>
      <c r="F27" s="14" t="n">
        <v>10.35</v>
      </c>
      <c r="G27" s="15">
        <f>HYPERLINK("https://www.tradingview.com/chart/?symbol=NSE:IDEA","Chart 📈")</f>
        <v/>
      </c>
    </row>
    <row r="28" ht="16" customHeight="1">
      <c r="A28" s="16" t="inlineStr">
        <is>
          <t>NIFTY MIDSMALL IT &amp; TELECOM</t>
        </is>
      </c>
      <c r="B28" s="13" t="inlineStr">
        <is>
          <t>TATACOMM</t>
        </is>
      </c>
      <c r="C28" s="14" t="n">
        <v>1975.8</v>
      </c>
      <c r="D28" s="14" t="n">
        <v>1867.33</v>
      </c>
      <c r="E28" s="14" t="n">
        <v>1734.93</v>
      </c>
      <c r="F28" s="14" t="n">
        <v>1682.01</v>
      </c>
      <c r="G28" s="15">
        <f>HYPERLINK("https://www.tradingview.com/chart/?symbol=NSE:TATACOMM","Chart 📈")</f>
        <v/>
      </c>
    </row>
    <row r="29" ht="16" customHeight="1">
      <c r="A29" s="16" t="inlineStr">
        <is>
          <t>NIFTY MIDSMALL IT &amp; TELECOM</t>
        </is>
      </c>
      <c r="B29" s="13" t="inlineStr">
        <is>
          <t>TATATECH</t>
        </is>
      </c>
      <c r="C29" s="14" t="n">
        <v>745.1</v>
      </c>
      <c r="D29" s="14" t="n">
        <v>704.46</v>
      </c>
      <c r="E29" s="14" t="n">
        <v>653.4400000000001</v>
      </c>
      <c r="F29" s="14" t="n">
        <v>649.15</v>
      </c>
      <c r="G29" s="15">
        <f>HYPERLINK("https://www.tradingview.com/chart/?symbol=NSE:TATATECH","Chart 📈")</f>
        <v/>
      </c>
    </row>
    <row r="30" ht="16" customHeight="1">
      <c r="A30" s="16" t="inlineStr">
        <is>
          <t>NIFTY MIDSMALL IT &amp; TELECOM</t>
        </is>
      </c>
      <c r="B30" s="13" t="inlineStr">
        <is>
          <t>TEJASNET</t>
        </is>
      </c>
      <c r="C30" s="14" t="n">
        <v>540.55</v>
      </c>
      <c r="D30" s="14" t="n">
        <v>514.34</v>
      </c>
      <c r="E30" s="14" t="n">
        <v>474.93</v>
      </c>
      <c r="F30" s="14" t="n">
        <v>488.58</v>
      </c>
      <c r="G30" s="15">
        <f>HYPERLINK("https://www.tradingview.com/chart/?symbol=NSE:TEJASNET","Chart 📈")</f>
        <v/>
      </c>
    </row>
    <row r="31" ht="16" customHeight="1">
      <c r="A31" s="8" t="inlineStr">
        <is>
          <t>NIFTY AUTO</t>
        </is>
      </c>
      <c r="B31" s="17" t="inlineStr">
        <is>
          <t>BHARATFORG</t>
        </is>
      </c>
      <c r="C31" s="18" t="n">
        <v>1925.4</v>
      </c>
      <c r="D31" s="18" t="n">
        <v>1916.45</v>
      </c>
      <c r="E31" s="18" t="n">
        <v>1869.38</v>
      </c>
      <c r="F31" s="18" t="n">
        <v>1626.91</v>
      </c>
      <c r="G31" s="19">
        <f>HYPERLINK("https://www.tradingview.com/chart/?symbol=NSE:BHARATFORG","Chart 📈")</f>
        <v/>
      </c>
    </row>
    <row r="32" ht="16" customHeight="1">
      <c r="A32" s="20" t="inlineStr">
        <is>
          <t>NIFTY AUTO</t>
        </is>
      </c>
      <c r="B32" s="17" t="inlineStr">
        <is>
          <t>BOSCHLTD</t>
        </is>
      </c>
      <c r="C32" s="18" t="n">
        <v>37820</v>
      </c>
      <c r="D32" s="18" t="n">
        <v>36809.34</v>
      </c>
      <c r="E32" s="18" t="n">
        <v>36217.62</v>
      </c>
      <c r="F32" s="18" t="n">
        <v>35728.93</v>
      </c>
      <c r="G32" s="19">
        <f>HYPERLINK("https://www.tradingview.com/chart/?symbol=NSE:BOSCHLTD","Chart 📈")</f>
        <v/>
      </c>
    </row>
    <row r="33" ht="16" customHeight="1">
      <c r="A33" s="20" t="inlineStr">
        <is>
          <t>NIFTY AUTO</t>
        </is>
      </c>
      <c r="B33" s="17" t="inlineStr">
        <is>
          <t>EICHERMOT</t>
        </is>
      </c>
      <c r="C33" s="18" t="n">
        <v>7203</v>
      </c>
      <c r="D33" s="18" t="n">
        <v>7141.9</v>
      </c>
      <c r="E33" s="18" t="n">
        <v>7152.11</v>
      </c>
      <c r="F33" s="18" t="n">
        <v>6921.49</v>
      </c>
      <c r="G33" s="19">
        <f>HYPERLINK("https://www.tradingview.com/chart/?symbol=NSE:EICHERMOT","Chart 📈")</f>
        <v/>
      </c>
    </row>
    <row r="34" ht="16" customHeight="1">
      <c r="A34" s="20" t="inlineStr">
        <is>
          <t>NIFTY AUTO</t>
        </is>
      </c>
      <c r="B34" s="17" t="inlineStr">
        <is>
          <t>EXIDEIND</t>
        </is>
      </c>
      <c r="C34" s="18" t="n">
        <v>392.95</v>
      </c>
      <c r="D34" s="18" t="n">
        <v>377.77</v>
      </c>
      <c r="E34" s="18" t="n">
        <v>358.51</v>
      </c>
      <c r="F34" s="18" t="n">
        <v>358.16</v>
      </c>
      <c r="G34" s="19">
        <f>HYPERLINK("https://www.tradingview.com/chart/?symbol=NSE:EXIDEIND","Chart 📈")</f>
        <v/>
      </c>
    </row>
    <row r="35" ht="16" customHeight="1">
      <c r="A35" s="20" t="inlineStr">
        <is>
          <t>NIFTY AUTO</t>
        </is>
      </c>
      <c r="B35" s="17" t="inlineStr">
        <is>
          <t>MOTHERSON</t>
        </is>
      </c>
      <c r="C35" s="18" t="n">
        <v>144.06</v>
      </c>
      <c r="D35" s="18" t="n">
        <v>138.35</v>
      </c>
      <c r="E35" s="18" t="n">
        <v>131.22</v>
      </c>
      <c r="F35" s="18" t="n">
        <v>119.27</v>
      </c>
      <c r="G35" s="19">
        <f>HYPERLINK("https://www.tradingview.com/chart/?symbol=NSE:MOTHERSON","Chart 📈")</f>
        <v/>
      </c>
    </row>
    <row r="36" ht="16" customHeight="1">
      <c r="A36" s="12" t="inlineStr">
        <is>
          <t>NIFTY ENERGY</t>
        </is>
      </c>
      <c r="B36" s="13" t="inlineStr">
        <is>
          <t>ADANIENSOL</t>
        </is>
      </c>
      <c r="C36" s="14" t="n">
        <v>1579.2</v>
      </c>
      <c r="D36" s="14" t="n">
        <v>1469.31</v>
      </c>
      <c r="E36" s="14" t="n">
        <v>1343.72</v>
      </c>
      <c r="F36" s="14" t="n">
        <v>1101.56</v>
      </c>
      <c r="G36" s="15">
        <f>HYPERLINK("https://www.tradingview.com/chart/?symbol=NSE:ADANIENSOL","Chart 📈")</f>
        <v/>
      </c>
    </row>
    <row r="37" ht="16" customHeight="1">
      <c r="A37" s="16" t="inlineStr">
        <is>
          <t>NIFTY ENERGY</t>
        </is>
      </c>
      <c r="B37" s="13" t="inlineStr">
        <is>
          <t>ADANIGREEN</t>
        </is>
      </c>
      <c r="C37" s="14" t="n">
        <v>1534.5</v>
      </c>
      <c r="D37" s="14" t="n">
        <v>1425.91</v>
      </c>
      <c r="E37" s="14" t="n">
        <v>1292.82</v>
      </c>
      <c r="F37" s="14" t="n">
        <v>1097.67</v>
      </c>
      <c r="G37" s="15">
        <f>HYPERLINK("https://www.tradingview.com/chart/?symbol=NSE:ADANIGREEN","Chart 📈")</f>
        <v/>
      </c>
    </row>
    <row r="38" ht="16" customHeight="1">
      <c r="A38" s="16" t="inlineStr">
        <is>
          <t>NIFTY ENERGY</t>
        </is>
      </c>
      <c r="B38" s="13" t="inlineStr">
        <is>
          <t>CGPOWER</t>
        </is>
      </c>
      <c r="C38" s="14" t="n">
        <v>911.2</v>
      </c>
      <c r="D38" s="14" t="n">
        <v>888.53</v>
      </c>
      <c r="E38" s="14" t="n">
        <v>833.23</v>
      </c>
      <c r="F38" s="14" t="n">
        <v>741.55</v>
      </c>
      <c r="G38" s="15">
        <f>HYPERLINK("https://www.tradingview.com/chart/?symbol=NSE:CGPOWER","Chart 📈")</f>
        <v/>
      </c>
    </row>
    <row r="39" ht="16" customHeight="1">
      <c r="A39" s="16" t="inlineStr">
        <is>
          <t>NIFTY ENERGY</t>
        </is>
      </c>
      <c r="B39" s="13" t="inlineStr">
        <is>
          <t>COALINDIA</t>
        </is>
      </c>
      <c r="C39" s="14" t="n">
        <v>466.9</v>
      </c>
      <c r="D39" s="14" t="n">
        <v>465.79</v>
      </c>
      <c r="E39" s="14" t="n">
        <v>458.6</v>
      </c>
      <c r="F39" s="14" t="n">
        <v>423.29</v>
      </c>
      <c r="G39" s="15">
        <f>HYPERLINK("https://www.tradingview.com/chart/?symbol=NSE:COALINDIA","Chart 📈")</f>
        <v/>
      </c>
    </row>
    <row r="40" ht="16" customHeight="1">
      <c r="A40" s="16" t="inlineStr">
        <is>
          <t>NIFTY ENERGY</t>
        </is>
      </c>
      <c r="B40" s="13" t="inlineStr">
        <is>
          <t>GVT&amp;D</t>
        </is>
      </c>
      <c r="C40" s="14" t="n">
        <v>4931</v>
      </c>
      <c r="D40" s="14" t="n">
        <v>4801.51</v>
      </c>
      <c r="E40" s="14" t="n">
        <v>4482.73</v>
      </c>
      <c r="F40" s="14" t="n">
        <v>3612.17</v>
      </c>
      <c r="G40" s="15">
        <f>HYPERLINK("https://www.tradingview.com/chart/?symbol=NSE:GVT&amp;D","Chart 📈")</f>
        <v/>
      </c>
    </row>
    <row r="41" ht="16" customHeight="1">
      <c r="A41" s="16" t="inlineStr">
        <is>
          <t>NIFTY ENERGY</t>
        </is>
      </c>
      <c r="B41" s="13" t="inlineStr">
        <is>
          <t>JSWENERGY</t>
        </is>
      </c>
      <c r="C41" s="14" t="n">
        <v>570.4</v>
      </c>
      <c r="D41" s="14" t="n">
        <v>568.17</v>
      </c>
      <c r="E41" s="14" t="n">
        <v>547.3099999999999</v>
      </c>
      <c r="F41" s="14" t="n">
        <v>519.54</v>
      </c>
      <c r="G41" s="15">
        <f>HYPERLINK("https://www.tradingview.com/chart/?symbol=NSE:JSWENERGY","Chart 📈")</f>
        <v/>
      </c>
    </row>
    <row r="42" ht="16" customHeight="1">
      <c r="A42" s="16" t="inlineStr">
        <is>
          <t>NIFTY ENERGY</t>
        </is>
      </c>
      <c r="B42" s="13" t="inlineStr">
        <is>
          <t>SUZLON</t>
        </is>
      </c>
      <c r="C42" s="14" t="n">
        <v>55.23</v>
      </c>
      <c r="D42" s="14" t="n">
        <v>54.57</v>
      </c>
      <c r="E42" s="14" t="n">
        <v>52.42</v>
      </c>
      <c r="F42" s="14" t="n">
        <v>52.92</v>
      </c>
      <c r="G42" s="15">
        <f>HYPERLINK("https://www.tradingview.com/chart/?symbol=NSE:SUZLON","Chart 📈")</f>
        <v/>
      </c>
    </row>
    <row r="43" ht="16" customHeight="1">
      <c r="A43" s="16" t="inlineStr">
        <is>
          <t>NIFTY ENERGY</t>
        </is>
      </c>
      <c r="B43" s="13" t="inlineStr">
        <is>
          <t>THERMAX</t>
        </is>
      </c>
      <c r="C43" s="14" t="n">
        <v>4739.9</v>
      </c>
      <c r="D43" s="14" t="n">
        <v>4634.46</v>
      </c>
      <c r="E43" s="14" t="n">
        <v>4256.33</v>
      </c>
      <c r="F43" s="14" t="n">
        <v>3603.43</v>
      </c>
      <c r="G43" s="15">
        <f>HYPERLINK("https://www.tradingview.com/chart/?symbol=NSE:THERMAX","Chart 📈")</f>
        <v/>
      </c>
    </row>
    <row r="44" ht="16" customHeight="1">
      <c r="A44" s="16" t="inlineStr">
        <is>
          <t>NIFTY ENERGY</t>
        </is>
      </c>
      <c r="B44" s="13" t="inlineStr">
        <is>
          <t>TRITURBINE</t>
        </is>
      </c>
      <c r="C44" s="14" t="n">
        <v>673.2</v>
      </c>
      <c r="D44" s="14" t="n">
        <v>663.74</v>
      </c>
      <c r="E44" s="14" t="n">
        <v>607.22</v>
      </c>
      <c r="F44" s="14" t="n">
        <v>552.88</v>
      </c>
      <c r="G44" s="15">
        <f>HYPERLINK("https://www.tradingview.com/chart/?symbol=NSE:TRITURBINE","Chart 📈")</f>
        <v/>
      </c>
    </row>
    <row r="45" ht="16" customHeight="1">
      <c r="A45" s="8" t="inlineStr">
        <is>
          <t>NIFTY OIL &amp; GAS</t>
        </is>
      </c>
      <c r="B45" s="17" t="inlineStr">
        <is>
          <t>AEGISLOG</t>
        </is>
      </c>
      <c r="C45" s="18" t="n">
        <v>782.65</v>
      </c>
      <c r="D45" s="18" t="n">
        <v>737.4400000000001</v>
      </c>
      <c r="E45" s="18" t="n">
        <v>709.87</v>
      </c>
      <c r="F45" s="18" t="n">
        <v>716.49</v>
      </c>
      <c r="G45" s="19">
        <f>HYPERLINK("https://www.tradingview.com/chart/?symbol=NSE:AEGISLOG","Chart 📈")</f>
        <v/>
      </c>
    </row>
    <row r="46" ht="16" customHeight="1">
      <c r="A46" s="20" t="inlineStr">
        <is>
          <t>NIFTY OIL &amp; GAS</t>
        </is>
      </c>
      <c r="B46" s="17" t="inlineStr">
        <is>
          <t>ATGL</t>
        </is>
      </c>
      <c r="C46" s="18" t="n">
        <v>752.15</v>
      </c>
      <c r="D46" s="18" t="n">
        <v>708.77</v>
      </c>
      <c r="E46" s="18" t="n">
        <v>654.0700000000001</v>
      </c>
      <c r="F46" s="18" t="n">
        <v>611.54</v>
      </c>
      <c r="G46" s="19">
        <f>HYPERLINK("https://www.tradingview.com/chart/?symbol=NSE:ATGL","Chart 📈")</f>
        <v/>
      </c>
    </row>
    <row r="47" ht="16" customHeight="1">
      <c r="A47" s="20" t="inlineStr">
        <is>
          <t>NIFTY OIL &amp; GAS</t>
        </is>
      </c>
      <c r="B47" s="17" t="inlineStr">
        <is>
          <t>GAIL</t>
        </is>
      </c>
      <c r="C47" s="18" t="n">
        <v>167.59</v>
      </c>
      <c r="D47" s="18" t="n">
        <v>164.87</v>
      </c>
      <c r="E47" s="18" t="n">
        <v>161.96</v>
      </c>
      <c r="F47" s="18" t="n">
        <v>165.08</v>
      </c>
      <c r="G47" s="19">
        <f>HYPERLINK("https://www.tradingview.com/chart/?symbol=NSE:GAIL","Chart 📈")</f>
        <v/>
      </c>
    </row>
    <row r="48" ht="16" customHeight="1">
      <c r="A48" s="12" t="inlineStr">
        <is>
          <t>NIFTY FMCG</t>
        </is>
      </c>
      <c r="B48" s="13" t="inlineStr">
        <is>
          <t>BALRAMCHIN</t>
        </is>
      </c>
      <c r="C48" s="14" t="n">
        <v>536.95</v>
      </c>
      <c r="D48" s="14" t="n">
        <v>532.5</v>
      </c>
      <c r="E48" s="14" t="n">
        <v>518.76</v>
      </c>
      <c r="F48" s="14" t="n">
        <v>503.72</v>
      </c>
      <c r="G48" s="15">
        <f>HYPERLINK("https://www.tradingview.com/chart/?symbol=NSE:BALRAMCHIN","Chart 📈")</f>
        <v/>
      </c>
    </row>
    <row r="49" ht="16" customHeight="1">
      <c r="A49" s="16" t="inlineStr">
        <is>
          <t>NIFTY FMCG</t>
        </is>
      </c>
      <c r="B49" s="13" t="inlineStr">
        <is>
          <t>NESTLEIND</t>
        </is>
      </c>
      <c r="C49" s="14" t="n">
        <v>1410.4</v>
      </c>
      <c r="D49" s="14" t="n">
        <v>1409.37</v>
      </c>
      <c r="E49" s="14" t="n">
        <v>1381.85</v>
      </c>
      <c r="F49" s="14" t="n">
        <v>1294.64</v>
      </c>
      <c r="G49" s="15">
        <f>HYPERLINK("https://www.tradingview.com/chart/?symbol=NSE:NESTLEIND","Chart 📈")</f>
        <v/>
      </c>
    </row>
    <row r="50" ht="16" customHeight="1">
      <c r="A50" s="16" t="inlineStr">
        <is>
          <t>NIFTY FMCG</t>
        </is>
      </c>
      <c r="B50" s="13" t="inlineStr">
        <is>
          <t>RADICO</t>
        </is>
      </c>
      <c r="C50" s="14" t="n">
        <v>3500.7</v>
      </c>
      <c r="D50" s="14" t="n">
        <v>3471.58</v>
      </c>
      <c r="E50" s="14" t="n">
        <v>3314.63</v>
      </c>
      <c r="F50" s="14" t="n">
        <v>3047.16</v>
      </c>
      <c r="G50" s="15">
        <f>HYPERLINK("https://www.tradingview.com/chart/?symbol=NSE:RADICO","Chart 📈")</f>
        <v/>
      </c>
    </row>
    <row r="51" ht="16" customHeight="1">
      <c r="A51" s="16" t="inlineStr">
        <is>
          <t>NIFTY FMCG</t>
        </is>
      </c>
      <c r="B51" s="13" t="inlineStr">
        <is>
          <t>VBL</t>
        </is>
      </c>
      <c r="C51" s="14" t="n">
        <v>529.75</v>
      </c>
      <c r="D51" s="14" t="n">
        <v>521.52</v>
      </c>
      <c r="E51" s="14" t="n">
        <v>499.1</v>
      </c>
      <c r="F51" s="14" t="n">
        <v>475.16</v>
      </c>
      <c r="G51" s="15">
        <f>HYPERLINK("https://www.tradingview.com/chart/?symbol=NSE:VBL","Chart 📈")</f>
        <v/>
      </c>
    </row>
    <row r="52" ht="16" customHeight="1">
      <c r="A52" s="8" t="inlineStr">
        <is>
          <t>NIFTY BANK</t>
        </is>
      </c>
      <c r="B52" s="17" t="inlineStr">
        <is>
          <t>FEDERALBNK</t>
        </is>
      </c>
      <c r="C52" s="18" t="n">
        <v>315.1</v>
      </c>
      <c r="D52" s="18" t="n">
        <v>295.13</v>
      </c>
      <c r="E52" s="18" t="n">
        <v>289.09</v>
      </c>
      <c r="F52" s="18" t="n">
        <v>263.65</v>
      </c>
      <c r="G52" s="19">
        <f>HYPERLINK("https://www.tradingview.com/chart/?symbol=NSE:FEDERALBNK","Chart 📈")</f>
        <v/>
      </c>
    </row>
    <row r="53" ht="16" customHeight="1">
      <c r="A53" s="20" t="inlineStr">
        <is>
          <t>NIFTY BANK</t>
        </is>
      </c>
      <c r="B53" s="17" t="inlineStr">
        <is>
          <t>IDFCFIRSTB</t>
        </is>
      </c>
      <c r="C53" s="18" t="n">
        <v>73.69</v>
      </c>
      <c r="D53" s="18" t="n">
        <v>70.76000000000001</v>
      </c>
      <c r="E53" s="18" t="n">
        <v>69.98999999999999</v>
      </c>
      <c r="F53" s="18" t="n">
        <v>72.90000000000001</v>
      </c>
      <c r="G53" s="19">
        <f>HYPERLINK("https://www.tradingview.com/chart/?symbol=NSE:IDFCFIRSTB","Chart 📈")</f>
        <v/>
      </c>
    </row>
    <row r="54" ht="16" customHeight="1">
      <c r="A54" s="20" t="inlineStr">
        <is>
          <t>NIFTY BANK</t>
        </is>
      </c>
      <c r="B54" s="17" t="inlineStr">
        <is>
          <t>INDUSINDBK</t>
        </is>
      </c>
      <c r="C54" s="18" t="n">
        <v>922.8</v>
      </c>
      <c r="D54" s="18" t="n">
        <v>907.62</v>
      </c>
      <c r="E54" s="18" t="n">
        <v>894.8099999999999</v>
      </c>
      <c r="F54" s="18" t="n">
        <v>864.4400000000001</v>
      </c>
      <c r="G54" s="19">
        <f>HYPERLINK("https://www.tradingview.com/chart/?symbol=NSE:INDUSINDBK","Chart 📈")</f>
        <v/>
      </c>
    </row>
    <row r="55" ht="16" customHeight="1">
      <c r="A55" s="12" t="inlineStr">
        <is>
          <t>NIFTY CONSUMER DURABLES</t>
        </is>
      </c>
      <c r="B55" s="13" t="inlineStr">
        <is>
          <t>AMBER</t>
        </is>
      </c>
      <c r="C55" s="14" t="n">
        <v>7726</v>
      </c>
      <c r="D55" s="14" t="n">
        <v>7676.8</v>
      </c>
      <c r="E55" s="14" t="n">
        <v>7607.6</v>
      </c>
      <c r="F55" s="14" t="n">
        <v>7298.31</v>
      </c>
      <c r="G55" s="15">
        <f>HYPERLINK("https://www.tradingview.com/chart/?symbol=NSE:AMBER","Chart 📈")</f>
        <v/>
      </c>
    </row>
    <row r="56" ht="16" customHeight="1">
      <c r="A56" s="16" t="inlineStr">
        <is>
          <t>NIFTY CONSUMER DURABLES</t>
        </is>
      </c>
      <c r="B56" s="13" t="inlineStr">
        <is>
          <t>CERA</t>
        </is>
      </c>
      <c r="C56" s="14" t="n">
        <v>5835</v>
      </c>
      <c r="D56" s="14" t="n">
        <v>5618.29</v>
      </c>
      <c r="E56" s="14" t="n">
        <v>5462.63</v>
      </c>
      <c r="F56" s="14" t="n">
        <v>5582.41</v>
      </c>
      <c r="G56" s="15">
        <f>HYPERLINK("https://www.tradingview.com/chart/?symbol=NSE:CERA","Chart 📈")</f>
        <v/>
      </c>
    </row>
    <row r="57" ht="16" customHeight="1">
      <c r="A57" s="8" t="inlineStr">
        <is>
          <t>NIFTY FINANCIAL SERVICES</t>
        </is>
      </c>
      <c r="B57" s="17" t="inlineStr">
        <is>
          <t>AXISBANK</t>
        </is>
      </c>
      <c r="C57" s="18" t="n">
        <v>1292.4</v>
      </c>
      <c r="D57" s="18" t="n">
        <v>1275.36</v>
      </c>
      <c r="E57" s="18" t="n">
        <v>1281.48</v>
      </c>
      <c r="F57" s="18" t="n">
        <v>1260.94</v>
      </c>
      <c r="G57" s="19">
        <f>HYPERLINK("https://www.tradingview.com/chart/?symbol=NSE:AXISBANK","Chart 📈")</f>
        <v/>
      </c>
    </row>
    <row r="58" ht="16" customHeight="1">
      <c r="A58" s="20" t="inlineStr">
        <is>
          <t>NIFTY FINANCIAL SERVICES</t>
        </is>
      </c>
      <c r="B58" s="17" t="inlineStr">
        <is>
          <t>LICHSGFIN</t>
        </is>
      </c>
      <c r="C58" s="18" t="n">
        <v>552.75</v>
      </c>
      <c r="D58" s="18" t="n">
        <v>547.1</v>
      </c>
      <c r="E58" s="18" t="n">
        <v>543.38</v>
      </c>
      <c r="F58" s="18" t="n">
        <v>547.9299999999999</v>
      </c>
      <c r="G58" s="19">
        <f>HYPERLINK("https://www.tradingview.com/chart/?symbol=NSE:LICHSGFIN","Chart 📈")</f>
        <v/>
      </c>
    </row>
    <row r="59" ht="16" customHeight="1">
      <c r="A59" s="20" t="inlineStr">
        <is>
          <t>NIFTY FINANCIAL SERVICES</t>
        </is>
      </c>
      <c r="B59" s="17" t="inlineStr">
        <is>
          <t>PFC</t>
        </is>
      </c>
      <c r="C59" s="18" t="n">
        <v>435.6</v>
      </c>
      <c r="D59" s="18" t="n">
        <v>432.26</v>
      </c>
      <c r="E59" s="18" t="n">
        <v>431.85</v>
      </c>
      <c r="F59" s="18" t="n">
        <v>408.23</v>
      </c>
      <c r="G59" s="19">
        <f>HYPERLINK("https://www.tradingview.com/chart/?symbol=NSE:PFC","Chart 📈")</f>
        <v/>
      </c>
    </row>
    <row r="60" ht="16" customHeight="1">
      <c r="A60" s="12" t="inlineStr">
        <is>
          <t>NIFTY REALTY</t>
        </is>
      </c>
      <c r="B60" s="13" t="inlineStr">
        <is>
          <t>PHOENIXLTD</t>
        </is>
      </c>
      <c r="C60" s="14" t="n">
        <v>1754.1</v>
      </c>
      <c r="D60" s="14" t="n">
        <v>1752.45</v>
      </c>
      <c r="E60" s="14" t="n">
        <v>1740.49</v>
      </c>
      <c r="F60" s="14" t="n">
        <v>1699.15</v>
      </c>
      <c r="G60" s="15">
        <f>HYPERLINK("https://www.tradingview.com/chart/?symbol=NSE:PHOENIXLTD","Chart 📈")</f>
        <v/>
      </c>
    </row>
    <row r="61" ht="16" customHeight="1">
      <c r="A61" s="16" t="inlineStr">
        <is>
          <t>NIFTY REALTY</t>
        </is>
      </c>
      <c r="B61" s="13" t="inlineStr">
        <is>
          <t>RAYMOND</t>
        </is>
      </c>
      <c r="C61" s="14" t="n">
        <v>536</v>
      </c>
      <c r="D61" s="14" t="n">
        <v>515.99</v>
      </c>
      <c r="E61" s="14" t="n">
        <v>480.68</v>
      </c>
      <c r="F61" s="14" t="n">
        <v>484.18</v>
      </c>
      <c r="G61" s="15">
        <f>HYPERLINK("https://www.tradingview.com/chart/?symbol=NSE:RAYMOND","Chart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2026-06-09T13:55:23Z</dcterms:created>
  <dcterms:modified xsi:type="dcterms:W3CDTF">2026-06-09T13:55:23Z</dcterms:modified>
</cp:coreProperties>
</file>