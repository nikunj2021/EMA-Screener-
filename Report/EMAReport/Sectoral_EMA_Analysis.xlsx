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08-Jun-2026  03:58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11</v>
      </c>
      <c r="D4" s="5" t="n">
        <v>15</v>
      </c>
      <c r="E4" s="5" t="n">
        <v>17</v>
      </c>
      <c r="F4" s="6" t="n">
        <v>0.55</v>
      </c>
      <c r="G4" s="6" t="n">
        <v>0.75</v>
      </c>
      <c r="H4" s="6" t="n">
        <v>0.85</v>
      </c>
      <c r="I4" s="7" t="n">
        <v>0.7167</v>
      </c>
    </row>
    <row r="5" ht="17" customHeight="1">
      <c r="A5" s="8" t="inlineStr">
        <is>
          <t>NIFTY PSU BANK</t>
        </is>
      </c>
      <c r="B5" s="9" t="n">
        <v>12</v>
      </c>
      <c r="C5" s="9" t="n">
        <v>9</v>
      </c>
      <c r="D5" s="9" t="n">
        <v>4</v>
      </c>
      <c r="E5" s="9" t="n">
        <v>6</v>
      </c>
      <c r="F5" s="10" t="n">
        <v>0.75</v>
      </c>
      <c r="G5" s="10" t="n">
        <v>0.333</v>
      </c>
      <c r="H5" s="10" t="n">
        <v>0.5</v>
      </c>
      <c r="I5" s="11" t="n">
        <v>0.5277000000000001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10</v>
      </c>
      <c r="D6" s="5" t="n">
        <v>11</v>
      </c>
      <c r="E6" s="5" t="n">
        <v>7</v>
      </c>
      <c r="F6" s="6" t="n">
        <v>0.5</v>
      </c>
      <c r="G6" s="6" t="n">
        <v>0.55</v>
      </c>
      <c r="H6" s="6" t="n">
        <v>0.35</v>
      </c>
      <c r="I6" s="7" t="n">
        <v>0.4667</v>
      </c>
    </row>
    <row r="7" ht="17" customHeight="1">
      <c r="A7" s="8" t="inlineStr">
        <is>
          <t>NIFTY MEDIA</t>
        </is>
      </c>
      <c r="B7" s="9" t="n">
        <v>10</v>
      </c>
      <c r="C7" s="9" t="n">
        <v>6</v>
      </c>
      <c r="D7" s="9" t="n">
        <v>5</v>
      </c>
      <c r="E7" s="9" t="n">
        <v>3</v>
      </c>
      <c r="F7" s="10" t="n">
        <v>0.6</v>
      </c>
      <c r="G7" s="10" t="n">
        <v>0.5</v>
      </c>
      <c r="H7" s="10" t="n">
        <v>0.3</v>
      </c>
      <c r="I7" s="11" t="n">
        <v>0.4667</v>
      </c>
    </row>
    <row r="8" ht="17" customHeight="1">
      <c r="A8" s="4" t="inlineStr">
        <is>
          <t>NIFTY METAL</t>
        </is>
      </c>
      <c r="B8" s="5" t="n">
        <v>15</v>
      </c>
      <c r="C8" s="5" t="n">
        <v>2</v>
      </c>
      <c r="D8" s="5" t="n">
        <v>6</v>
      </c>
      <c r="E8" s="5" t="n">
        <v>12</v>
      </c>
      <c r="F8" s="6" t="n">
        <v>0.133</v>
      </c>
      <c r="G8" s="6" t="n">
        <v>0.4</v>
      </c>
      <c r="H8" s="6" t="n">
        <v>0.8</v>
      </c>
      <c r="I8" s="7" t="n">
        <v>0.4443</v>
      </c>
    </row>
    <row r="9" ht="17" customHeight="1">
      <c r="A9" s="8" t="inlineStr">
        <is>
          <t>NIFTY ENERGY</t>
        </is>
      </c>
      <c r="B9" s="9" t="n">
        <v>40</v>
      </c>
      <c r="C9" s="9" t="n">
        <v>12</v>
      </c>
      <c r="D9" s="9" t="n">
        <v>17</v>
      </c>
      <c r="E9" s="9" t="n">
        <v>20</v>
      </c>
      <c r="F9" s="10" t="n">
        <v>0.3</v>
      </c>
      <c r="G9" s="10" t="n">
        <v>0.425</v>
      </c>
      <c r="H9" s="10" t="n">
        <v>0.5</v>
      </c>
      <c r="I9" s="11" t="n">
        <v>0.4083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7</v>
      </c>
      <c r="E10" s="5" t="n">
        <v>5</v>
      </c>
      <c r="F10" s="6" t="n">
        <v>0.4</v>
      </c>
      <c r="G10" s="6" t="n">
        <v>0.467</v>
      </c>
      <c r="H10" s="6" t="n">
        <v>0.333</v>
      </c>
      <c r="I10" s="7" t="n">
        <v>0.4</v>
      </c>
    </row>
    <row r="11" ht="17" customHeight="1">
      <c r="A11" s="8" t="inlineStr">
        <is>
          <t>NIFTY AUTO</t>
        </is>
      </c>
      <c r="B11" s="9" t="n">
        <v>15</v>
      </c>
      <c r="C11" s="9" t="n">
        <v>4</v>
      </c>
      <c r="D11" s="9" t="n">
        <v>6</v>
      </c>
      <c r="E11" s="9" t="n">
        <v>6</v>
      </c>
      <c r="F11" s="10" t="n">
        <v>0.267</v>
      </c>
      <c r="G11" s="10" t="n">
        <v>0.4</v>
      </c>
      <c r="H11" s="10" t="n">
        <v>0.4</v>
      </c>
      <c r="I11" s="11" t="n">
        <v>0.3557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4</v>
      </c>
      <c r="D12" s="5" t="n">
        <v>5</v>
      </c>
      <c r="E12" s="5" t="n">
        <v>3</v>
      </c>
      <c r="F12" s="6" t="n">
        <v>0.267</v>
      </c>
      <c r="G12" s="6" t="n">
        <v>0.333</v>
      </c>
      <c r="H12" s="6" t="n">
        <v>0.2</v>
      </c>
      <c r="I12" s="7" t="n">
        <v>0.2667</v>
      </c>
    </row>
    <row r="13" ht="17" customHeight="1">
      <c r="A13" s="8" t="inlineStr">
        <is>
          <t>NIFTY FMCG</t>
        </is>
      </c>
      <c r="B13" s="9" t="n">
        <v>15</v>
      </c>
      <c r="C13" s="9" t="n">
        <v>2</v>
      </c>
      <c r="D13" s="9" t="n">
        <v>5</v>
      </c>
      <c r="E13" s="9" t="n">
        <v>5</v>
      </c>
      <c r="F13" s="10" t="n">
        <v>0.133</v>
      </c>
      <c r="G13" s="10" t="n">
        <v>0.333</v>
      </c>
      <c r="H13" s="10" t="n">
        <v>0.333</v>
      </c>
      <c r="I13" s="11" t="n">
        <v>0.2663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3</v>
      </c>
      <c r="E14" s="5" t="n">
        <v>3</v>
      </c>
      <c r="F14" s="6" t="n">
        <v>0.167</v>
      </c>
      <c r="G14" s="6" t="n">
        <v>0.25</v>
      </c>
      <c r="H14" s="6" t="n">
        <v>0.25</v>
      </c>
      <c r="I14" s="7" t="n">
        <v>0.2223</v>
      </c>
    </row>
    <row r="15" ht="17" customHeight="1">
      <c r="A15" s="8" t="inlineStr">
        <is>
          <t>NIFTY REALTY</t>
        </is>
      </c>
      <c r="B15" s="9" t="n">
        <v>10</v>
      </c>
      <c r="C15" s="9" t="n">
        <v>1</v>
      </c>
      <c r="D15" s="9" t="n">
        <v>2</v>
      </c>
      <c r="E15" s="9" t="n">
        <v>2</v>
      </c>
      <c r="F15" s="10" t="n">
        <v>0.1</v>
      </c>
      <c r="G15" s="10" t="n">
        <v>0.2</v>
      </c>
      <c r="H15" s="10" t="n">
        <v>0.2</v>
      </c>
      <c r="I15" s="11" t="n">
        <v>0.1667</v>
      </c>
    </row>
    <row r="16" ht="17" customHeight="1">
      <c r="A16" s="4" t="inlineStr">
        <is>
          <t>NIFTY FINANCIAL SERVICES</t>
        </is>
      </c>
      <c r="B16" s="5" t="n">
        <v>20</v>
      </c>
      <c r="C16" s="5" t="n">
        <v>3</v>
      </c>
      <c r="D16" s="5" t="n">
        <v>1</v>
      </c>
      <c r="E16" s="5" t="n">
        <v>5</v>
      </c>
      <c r="F16" s="6" t="n">
        <v>0.15</v>
      </c>
      <c r="G16" s="6" t="n">
        <v>0.05</v>
      </c>
      <c r="H16" s="6" t="n">
        <v>0.25</v>
      </c>
      <c r="I16" s="7" t="n">
        <v>0.15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1</v>
      </c>
      <c r="E17" s="9" t="n">
        <v>0</v>
      </c>
      <c r="F17" s="10" t="n">
        <v>0</v>
      </c>
      <c r="G17" s="10" t="n">
        <v>0.1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3015</v>
      </c>
      <c r="D3" s="14" t="n">
        <v>3006.94</v>
      </c>
      <c r="E3" s="14" t="n">
        <v>2969.75</v>
      </c>
      <c r="F3" s="14" t="n">
        <v>2798.45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1468.4</v>
      </c>
      <c r="D4" s="14" t="n">
        <v>1455.31</v>
      </c>
      <c r="E4" s="14" t="n">
        <v>1413.78</v>
      </c>
      <c r="F4" s="14" t="n">
        <v>1272.93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415</v>
      </c>
      <c r="D5" s="14" t="n">
        <v>414.84</v>
      </c>
      <c r="E5" s="14" t="n">
        <v>398.73</v>
      </c>
      <c r="F5" s="14" t="n">
        <v>379.43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1402</v>
      </c>
      <c r="D6" s="14" t="n">
        <v>1375.27</v>
      </c>
      <c r="E6" s="14" t="n">
        <v>1342.67</v>
      </c>
      <c r="F6" s="14" t="n">
        <v>1385.25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2334.3</v>
      </c>
      <c r="D7" s="14" t="n">
        <v>2187.29</v>
      </c>
      <c r="E7" s="14" t="n">
        <v>2016.1</v>
      </c>
      <c r="F7" s="14" t="n">
        <v>1848.96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795.35</v>
      </c>
      <c r="D8" s="14" t="n">
        <v>764.85</v>
      </c>
      <c r="E8" s="14" t="n">
        <v>717.36</v>
      </c>
      <c r="F8" s="14" t="n">
        <v>619.76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1640.1</v>
      </c>
      <c r="D9" s="14" t="n">
        <v>1576.77</v>
      </c>
      <c r="E9" s="14" t="n">
        <v>1550.73</v>
      </c>
      <c r="F9" s="14" t="n">
        <v>1475.04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2192.3</v>
      </c>
      <c r="D10" s="14" t="n">
        <v>2148.56</v>
      </c>
      <c r="E10" s="14" t="n">
        <v>2098.4</v>
      </c>
      <c r="F10" s="14" t="n">
        <v>1924.02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1451</v>
      </c>
      <c r="D11" s="14" t="n">
        <v>1354.26</v>
      </c>
      <c r="E11" s="14" t="n">
        <v>1246.71</v>
      </c>
      <c r="F11" s="14" t="n">
        <v>1049.03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4462.4</v>
      </c>
      <c r="D12" s="14" t="n">
        <v>4395.88</v>
      </c>
      <c r="E12" s="14" t="n">
        <v>4318.42</v>
      </c>
      <c r="F12" s="14" t="n">
        <v>3979.93</v>
      </c>
      <c r="G12" s="15">
        <f>HYPERLINK("https://www.tradingview.com/chart/?symbol=NSE:TORNTPHARM","Chart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1094</v>
      </c>
      <c r="D13" s="14" t="n">
        <v>1047.57</v>
      </c>
      <c r="E13" s="14" t="n">
        <v>991.89</v>
      </c>
      <c r="F13" s="14" t="n">
        <v>951.74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PSU BANK</t>
        </is>
      </c>
      <c r="B14" s="17" t="inlineStr">
        <is>
          <t>BANKINDIA</t>
        </is>
      </c>
      <c r="C14" s="18" t="n">
        <v>142.74</v>
      </c>
      <c r="D14" s="18" t="n">
        <v>139.29</v>
      </c>
      <c r="E14" s="18" t="n">
        <v>140.72</v>
      </c>
      <c r="F14" s="18" t="n">
        <v>138.31</v>
      </c>
      <c r="G14" s="19">
        <f>HYPERLINK("https://www.tradingview.com/chart/?symbol=NSE:BANKINDIA","Chart 📈")</f>
        <v/>
      </c>
    </row>
    <row r="15" ht="16" customHeight="1">
      <c r="A15" s="20" t="inlineStr">
        <is>
          <t>NIFTY PSU BANK</t>
        </is>
      </c>
      <c r="B15" s="17" t="inlineStr">
        <is>
          <t>CANBK</t>
        </is>
      </c>
      <c r="C15" s="18" t="n">
        <v>136.05</v>
      </c>
      <c r="D15" s="18" t="n">
        <v>132.41</v>
      </c>
      <c r="E15" s="18" t="n">
        <v>134.65</v>
      </c>
      <c r="F15" s="18" t="n">
        <v>134.84</v>
      </c>
      <c r="G15" s="19">
        <f>HYPERLINK("https://www.tradingview.com/chart/?symbol=NSE:CANBK","Chart 📈")</f>
        <v/>
      </c>
    </row>
    <row r="16" ht="16" customHeight="1">
      <c r="A16" s="20" t="inlineStr">
        <is>
          <t>NIFTY PSU BANK</t>
        </is>
      </c>
      <c r="B16" s="17" t="inlineStr">
        <is>
          <t>MAHABANK</t>
        </is>
      </c>
      <c r="C16" s="18" t="n">
        <v>80.90000000000001</v>
      </c>
      <c r="D16" s="18" t="n">
        <v>78.38</v>
      </c>
      <c r="E16" s="18" t="n">
        <v>75.53</v>
      </c>
      <c r="F16" s="18" t="n">
        <v>65.95999999999999</v>
      </c>
      <c r="G16" s="19">
        <f>HYPERLINK("https://www.tradingview.com/chart/?symbol=NSE:MAHABANK","Chart 📈")</f>
        <v/>
      </c>
    </row>
    <row r="17" ht="16" customHeight="1">
      <c r="A17" s="12" t="inlineStr">
        <is>
          <t>NIFTY MIDSMALL IT &amp; TELECOM</t>
        </is>
      </c>
      <c r="B17" s="13" t="inlineStr">
        <is>
          <t>HFCL</t>
        </is>
      </c>
      <c r="C17" s="14" t="n">
        <v>177.87</v>
      </c>
      <c r="D17" s="14" t="n">
        <v>166.4</v>
      </c>
      <c r="E17" s="14" t="n">
        <v>136.02</v>
      </c>
      <c r="F17" s="14" t="n">
        <v>96.34</v>
      </c>
      <c r="G17" s="15">
        <f>HYPERLINK("https://www.tradingview.com/chart/?symbol=NSE:HFCL","Chart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IDEA</t>
        </is>
      </c>
      <c r="C18" s="14" t="n">
        <v>14.93</v>
      </c>
      <c r="D18" s="14" t="n">
        <v>13.69</v>
      </c>
      <c r="E18" s="14" t="n">
        <v>12.23</v>
      </c>
      <c r="F18" s="14" t="n">
        <v>10.32</v>
      </c>
      <c r="G18" s="15">
        <f>HYPERLINK("https://www.tradingview.com/chart/?symbol=NSE:IDEA","Chart 📈")</f>
        <v/>
      </c>
    </row>
    <row r="19" ht="16" customHeight="1">
      <c r="A19" s="16" t="inlineStr">
        <is>
          <t>NIFTY MIDSMALL IT &amp; TELECOM</t>
        </is>
      </c>
      <c r="B19" s="13" t="inlineStr">
        <is>
          <t>INDUSTOWER</t>
        </is>
      </c>
      <c r="C19" s="14" t="n">
        <v>428.25</v>
      </c>
      <c r="D19" s="14" t="n">
        <v>428.2</v>
      </c>
      <c r="E19" s="14" t="n">
        <v>426</v>
      </c>
      <c r="F19" s="14" t="n">
        <v>415.38</v>
      </c>
      <c r="G19" s="15">
        <f>HYPERLINK("https://www.tradingview.com/chart/?symbol=NSE:INDUSTOWER","Chart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OFSS</t>
        </is>
      </c>
      <c r="C20" s="14" t="n">
        <v>9837</v>
      </c>
      <c r="D20" s="14" t="n">
        <v>9738.690000000001</v>
      </c>
      <c r="E20" s="14" t="n">
        <v>8962.74</v>
      </c>
      <c r="F20" s="14" t="n">
        <v>8161.73</v>
      </c>
      <c r="G20" s="15">
        <f>HYPERLINK("https://www.tradingview.com/chart/?symbol=NSE:OFSS","Chart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TATACOMM</t>
        </is>
      </c>
      <c r="C21" s="14" t="n">
        <v>1972.8</v>
      </c>
      <c r="D21" s="14" t="n">
        <v>1862.29</v>
      </c>
      <c r="E21" s="14" t="n">
        <v>1727.73</v>
      </c>
      <c r="F21" s="14" t="n">
        <v>1679.73</v>
      </c>
      <c r="G21" s="15">
        <f>HYPERLINK("https://www.tradingview.com/chart/?symbol=NSE:TATACOMM","Chart 📈")</f>
        <v/>
      </c>
    </row>
    <row r="22" ht="16" customHeight="1">
      <c r="A22" s="16" t="inlineStr">
        <is>
          <t>NIFTY MIDSMALL IT &amp; TELECOM</t>
        </is>
      </c>
      <c r="B22" s="13" t="inlineStr">
        <is>
          <t>TATATECH</t>
        </is>
      </c>
      <c r="C22" s="14" t="n">
        <v>772</v>
      </c>
      <c r="D22" s="14" t="n">
        <v>699.46</v>
      </c>
      <c r="E22" s="14" t="n">
        <v>649.4</v>
      </c>
      <c r="F22" s="14" t="n">
        <v>648.11</v>
      </c>
      <c r="G22" s="15">
        <f>HYPERLINK("https://www.tradingview.com/chart/?symbol=NSE:TATATECH","Chart 📈")</f>
        <v/>
      </c>
    </row>
    <row r="23" ht="16" customHeight="1">
      <c r="A23" s="16" t="inlineStr">
        <is>
          <t>NIFTY MIDSMALL IT &amp; TELECOM</t>
        </is>
      </c>
      <c r="B23" s="13" t="inlineStr">
        <is>
          <t>TEJASNET</t>
        </is>
      </c>
      <c r="C23" s="14" t="n">
        <v>566</v>
      </c>
      <c r="D23" s="14" t="n">
        <v>513.8200000000001</v>
      </c>
      <c r="E23" s="14" t="n">
        <v>473.18</v>
      </c>
      <c r="F23" s="14" t="n">
        <v>488.29</v>
      </c>
      <c r="G23" s="15">
        <f>HYPERLINK("https://www.tradingview.com/chart/?symbol=NSE:TEJASNET","Chart 📈")</f>
        <v/>
      </c>
    </row>
    <row r="24" ht="16" customHeight="1">
      <c r="A24" s="8" t="inlineStr">
        <is>
          <t>NIFTY MEDIA</t>
        </is>
      </c>
      <c r="B24" s="17" t="inlineStr">
        <is>
          <t>SAREGAMA</t>
        </is>
      </c>
      <c r="C24" s="18" t="n">
        <v>476.85</v>
      </c>
      <c r="D24" s="18" t="n">
        <v>422.98</v>
      </c>
      <c r="E24" s="18" t="n">
        <v>387.35</v>
      </c>
      <c r="F24" s="18" t="n">
        <v>396.72</v>
      </c>
      <c r="G24" s="19">
        <f>HYPERLINK("https://www.tradingview.com/chart/?symbol=NSE:SAREGAMA","Chart 📈")</f>
        <v/>
      </c>
    </row>
    <row r="25" ht="16" customHeight="1">
      <c r="A25" s="20" t="inlineStr">
        <is>
          <t>NIFTY MEDIA</t>
        </is>
      </c>
      <c r="B25" s="17" t="inlineStr">
        <is>
          <t>TIPSMUSIC</t>
        </is>
      </c>
      <c r="C25" s="18" t="n">
        <v>674.25</v>
      </c>
      <c r="D25" s="18" t="n">
        <v>659.71</v>
      </c>
      <c r="E25" s="18" t="n">
        <v>627.45</v>
      </c>
      <c r="F25" s="18" t="n">
        <v>586.85</v>
      </c>
      <c r="G25" s="19">
        <f>HYPERLINK("https://www.tradingview.com/chart/?symbol=NSE:TIPSMUSIC","Chart 📈")</f>
        <v/>
      </c>
    </row>
    <row r="26" ht="16" customHeight="1">
      <c r="A26" s="20" t="inlineStr">
        <is>
          <t>NIFTY MEDIA</t>
        </is>
      </c>
      <c r="B26" s="17" t="inlineStr">
        <is>
          <t>ZEEL</t>
        </is>
      </c>
      <c r="C26" s="18" t="n">
        <v>113.75</v>
      </c>
      <c r="D26" s="18" t="n">
        <v>94.95</v>
      </c>
      <c r="E26" s="18" t="n">
        <v>89.97</v>
      </c>
      <c r="F26" s="18" t="n">
        <v>95.59</v>
      </c>
      <c r="G26" s="19">
        <f>HYPERLINK("https://www.tradingview.com/chart/?symbol=NSE:ZEEL","Chart 📈")</f>
        <v/>
      </c>
    </row>
    <row r="27" ht="16" customHeight="1">
      <c r="A27" s="12" t="inlineStr">
        <is>
          <t>NIFTY METAL</t>
        </is>
      </c>
      <c r="B27" s="13" t="inlineStr">
        <is>
          <t>ADANIENT</t>
        </is>
      </c>
      <c r="C27" s="14" t="n">
        <v>3015.4</v>
      </c>
      <c r="D27" s="14" t="n">
        <v>2826.44</v>
      </c>
      <c r="E27" s="14" t="n">
        <v>2571.23</v>
      </c>
      <c r="F27" s="14" t="n">
        <v>2375.15</v>
      </c>
      <c r="G27" s="15">
        <f>HYPERLINK("https://www.tradingview.com/chart/?symbol=NSE:ADANIENT","Chart 📈")</f>
        <v/>
      </c>
    </row>
    <row r="28" ht="16" customHeight="1">
      <c r="A28" s="16" t="inlineStr">
        <is>
          <t>NIFTY METAL</t>
        </is>
      </c>
      <c r="B28" s="13" t="inlineStr">
        <is>
          <t>WELCORP</t>
        </is>
      </c>
      <c r="C28" s="14" t="n">
        <v>1366.8</v>
      </c>
      <c r="D28" s="14" t="n">
        <v>1338.76</v>
      </c>
      <c r="E28" s="14" t="n">
        <v>1212.54</v>
      </c>
      <c r="F28" s="14" t="n">
        <v>990.91</v>
      </c>
      <c r="G28" s="15">
        <f>HYPERLINK("https://www.tradingview.com/chart/?symbol=NSE:WELCORP","Chart 📈")</f>
        <v/>
      </c>
    </row>
    <row r="29" ht="16" customHeight="1">
      <c r="A29" s="8" t="inlineStr">
        <is>
          <t>NIFTY ENERGY</t>
        </is>
      </c>
      <c r="B29" s="17" t="inlineStr">
        <is>
          <t>ABB</t>
        </is>
      </c>
      <c r="C29" s="18" t="n">
        <v>7058</v>
      </c>
      <c r="D29" s="18" t="n">
        <v>6971.59</v>
      </c>
      <c r="E29" s="18" t="n">
        <v>6759.42</v>
      </c>
      <c r="F29" s="18" t="n">
        <v>6072.55</v>
      </c>
      <c r="G29" s="19">
        <f>HYPERLINK("https://www.tradingview.com/chart/?symbol=NSE:ABB","Chart 📈")</f>
        <v/>
      </c>
    </row>
    <row r="30" ht="16" customHeight="1">
      <c r="A30" s="20" t="inlineStr">
        <is>
          <t>NIFTY ENERGY</t>
        </is>
      </c>
      <c r="B30" s="17" t="inlineStr">
        <is>
          <t>ADANIENSOL</t>
        </is>
      </c>
      <c r="C30" s="18" t="n">
        <v>1581.5</v>
      </c>
      <c r="D30" s="18" t="n">
        <v>1458.8</v>
      </c>
      <c r="E30" s="18" t="n">
        <v>1334.54</v>
      </c>
      <c r="F30" s="18" t="n">
        <v>1096.87</v>
      </c>
      <c r="G30" s="19">
        <f>HYPERLINK("https://www.tradingview.com/chart/?symbol=NSE:ADANIENSOL","Chart 📈")</f>
        <v/>
      </c>
    </row>
    <row r="31" ht="16" customHeight="1">
      <c r="A31" s="20" t="inlineStr">
        <is>
          <t>NIFTY ENERGY</t>
        </is>
      </c>
      <c r="B31" s="17" t="inlineStr">
        <is>
          <t>ADANIGREEN</t>
        </is>
      </c>
      <c r="C31" s="18" t="n">
        <v>1514</v>
      </c>
      <c r="D31" s="18" t="n">
        <v>1416.72</v>
      </c>
      <c r="E31" s="18" t="n">
        <v>1283.88</v>
      </c>
      <c r="F31" s="18" t="n">
        <v>1093.51</v>
      </c>
      <c r="G31" s="19">
        <f>HYPERLINK("https://www.tradingview.com/chart/?symbol=NSE:ADANIGREEN","Chart 📈")</f>
        <v/>
      </c>
    </row>
    <row r="32" ht="16" customHeight="1">
      <c r="A32" s="20" t="inlineStr">
        <is>
          <t>NIFTY ENERGY</t>
        </is>
      </c>
      <c r="B32" s="17" t="inlineStr">
        <is>
          <t>ADANIPOWER</t>
        </is>
      </c>
      <c r="C32" s="18" t="n">
        <v>230.76</v>
      </c>
      <c r="D32" s="18" t="n">
        <v>229.4</v>
      </c>
      <c r="E32" s="18" t="n">
        <v>210.98</v>
      </c>
      <c r="F32" s="18" t="n">
        <v>167.33</v>
      </c>
      <c r="G32" s="19">
        <f>HYPERLINK("https://www.tradingview.com/chart/?symbol=NSE:ADANIPOWER","Chart 📈")</f>
        <v/>
      </c>
    </row>
    <row r="33" ht="16" customHeight="1">
      <c r="A33" s="20" t="inlineStr">
        <is>
          <t>NIFTY ENERGY</t>
        </is>
      </c>
      <c r="B33" s="17" t="inlineStr">
        <is>
          <t>CGPOWER</t>
        </is>
      </c>
      <c r="C33" s="18" t="n">
        <v>925.5</v>
      </c>
      <c r="D33" s="18" t="n">
        <v>888.25</v>
      </c>
      <c r="E33" s="18" t="n">
        <v>830.91</v>
      </c>
      <c r="F33" s="18" t="n">
        <v>740.0599999999999</v>
      </c>
      <c r="G33" s="19">
        <f>HYPERLINK("https://www.tradingview.com/chart/?symbol=NSE:CGPOWER","Chart 📈")</f>
        <v/>
      </c>
    </row>
    <row r="34" ht="16" customHeight="1">
      <c r="A34" s="20" t="inlineStr">
        <is>
          <t>NIFTY ENERGY</t>
        </is>
      </c>
      <c r="B34" s="17" t="inlineStr">
        <is>
          <t>COALINDIA</t>
        </is>
      </c>
      <c r="C34" s="18" t="n">
        <v>467.3</v>
      </c>
      <c r="D34" s="18" t="n">
        <v>465.91</v>
      </c>
      <c r="E34" s="18" t="n">
        <v>458.36</v>
      </c>
      <c r="F34" s="18" t="n">
        <v>422.88</v>
      </c>
      <c r="G34" s="19">
        <f>HYPERLINK("https://www.tradingview.com/chart/?symbol=NSE:COALINDIA","Chart 📈")</f>
        <v/>
      </c>
    </row>
    <row r="35" ht="16" customHeight="1">
      <c r="A35" s="20" t="inlineStr">
        <is>
          <t>NIFTY ENERGY</t>
        </is>
      </c>
      <c r="B35" s="17" t="inlineStr">
        <is>
          <t>GVT&amp;D</t>
        </is>
      </c>
      <c r="C35" s="18" t="n">
        <v>4862</v>
      </c>
      <c r="D35" s="18" t="n">
        <v>4799.11</v>
      </c>
      <c r="E35" s="18" t="n">
        <v>4469.06</v>
      </c>
      <c r="F35" s="18" t="n">
        <v>3600.09</v>
      </c>
      <c r="G35" s="19">
        <f>HYPERLINK("https://www.tradingview.com/chart/?symbol=NSE:GVT&amp;D","Chart 📈")</f>
        <v/>
      </c>
    </row>
    <row r="36" ht="16" customHeight="1">
      <c r="A36" s="20" t="inlineStr">
        <is>
          <t>NIFTY ENERGY</t>
        </is>
      </c>
      <c r="B36" s="17" t="inlineStr">
        <is>
          <t>JSWENERGY</t>
        </is>
      </c>
      <c r="C36" s="18" t="n">
        <v>575</v>
      </c>
      <c r="D36" s="18" t="n">
        <v>568.3200000000001</v>
      </c>
      <c r="E36" s="18" t="n">
        <v>546.53</v>
      </c>
      <c r="F36" s="18" t="n">
        <v>519.0599999999999</v>
      </c>
      <c r="G36" s="19">
        <f>HYPERLINK("https://www.tradingview.com/chart/?symbol=NSE:JSWENERGY","Chart 📈")</f>
        <v/>
      </c>
    </row>
    <row r="37" ht="16" customHeight="1">
      <c r="A37" s="20" t="inlineStr">
        <is>
          <t>NIFTY ENERGY</t>
        </is>
      </c>
      <c r="B37" s="17" t="inlineStr">
        <is>
          <t>POWERINDIA</t>
        </is>
      </c>
      <c r="C37" s="18" t="n">
        <v>35895</v>
      </c>
      <c r="D37" s="18" t="n">
        <v>35304.72</v>
      </c>
      <c r="E37" s="18" t="n">
        <v>32325.88</v>
      </c>
      <c r="F37" s="18" t="n">
        <v>25104.66</v>
      </c>
      <c r="G37" s="19">
        <f>HYPERLINK("https://www.tradingview.com/chart/?symbol=NSE:POWERINDIA","Chart 📈")</f>
        <v/>
      </c>
    </row>
    <row r="38" ht="16" customHeight="1">
      <c r="A38" s="20" t="inlineStr">
        <is>
          <t>NIFTY ENERGY</t>
        </is>
      </c>
      <c r="B38" s="17" t="inlineStr">
        <is>
          <t>SUZLON</t>
        </is>
      </c>
      <c r="C38" s="18" t="n">
        <v>55.15</v>
      </c>
      <c r="D38" s="18" t="n">
        <v>54.57</v>
      </c>
      <c r="E38" s="18" t="n">
        <v>52.33</v>
      </c>
      <c r="F38" s="18" t="n">
        <v>52.9</v>
      </c>
      <c r="G38" s="19">
        <f>HYPERLINK("https://www.tradingview.com/chart/?symbol=NSE:SUZLON","Chart 📈")</f>
        <v/>
      </c>
    </row>
    <row r="39" ht="16" customHeight="1">
      <c r="A39" s="20" t="inlineStr">
        <is>
          <t>NIFTY ENERGY</t>
        </is>
      </c>
      <c r="B39" s="17" t="inlineStr">
        <is>
          <t>THERMAX</t>
        </is>
      </c>
      <c r="C39" s="18" t="n">
        <v>4853.8</v>
      </c>
      <c r="D39" s="18" t="n">
        <v>4638.35</v>
      </c>
      <c r="E39" s="18" t="n">
        <v>4242.76</v>
      </c>
      <c r="F39" s="18" t="n">
        <v>3593.58</v>
      </c>
      <c r="G39" s="19">
        <f>HYPERLINK("https://www.tradingview.com/chart/?symbol=NSE:THERMAX","Chart 📈")</f>
        <v/>
      </c>
    </row>
    <row r="40" ht="16" customHeight="1">
      <c r="A40" s="20" t="inlineStr">
        <is>
          <t>NIFTY ENERGY</t>
        </is>
      </c>
      <c r="B40" s="17" t="inlineStr">
        <is>
          <t>TRITURBINE</t>
        </is>
      </c>
      <c r="C40" s="18" t="n">
        <v>677.15</v>
      </c>
      <c r="D40" s="18" t="n">
        <v>664.03</v>
      </c>
      <c r="E40" s="18" t="n">
        <v>605.0599999999999</v>
      </c>
      <c r="F40" s="18" t="n">
        <v>551.8</v>
      </c>
      <c r="G40" s="19">
        <f>HYPERLINK("https://www.tradingview.com/chart/?symbol=NSE:TRITURBINE","Chart 📈")</f>
        <v/>
      </c>
    </row>
    <row r="41" ht="16" customHeight="1">
      <c r="A41" s="12" t="inlineStr">
        <is>
          <t>NIFTY OIL &amp; GAS</t>
        </is>
      </c>
      <c r="B41" s="13" t="inlineStr">
        <is>
          <t>AEGISLOG</t>
        </is>
      </c>
      <c r="C41" s="14" t="n">
        <v>779.95</v>
      </c>
      <c r="D41" s="14" t="n">
        <v>735</v>
      </c>
      <c r="E41" s="14" t="n">
        <v>707.86</v>
      </c>
      <c r="F41" s="14" t="n">
        <v>716.0700000000001</v>
      </c>
      <c r="G41" s="15">
        <f>HYPERLINK("https://www.tradingview.com/chart/?symbol=NSE:AEGISLOG","Chart 📈")</f>
        <v/>
      </c>
    </row>
    <row r="42" ht="16" customHeight="1">
      <c r="A42" s="16" t="inlineStr">
        <is>
          <t>NIFTY OIL &amp; GAS</t>
        </is>
      </c>
      <c r="B42" s="13" t="inlineStr">
        <is>
          <t>ATGL</t>
        </is>
      </c>
      <c r="C42" s="14" t="n">
        <v>756.55</v>
      </c>
      <c r="D42" s="14" t="n">
        <v>706.33</v>
      </c>
      <c r="E42" s="14" t="n">
        <v>650.95</v>
      </c>
      <c r="F42" s="14" t="n">
        <v>610.35</v>
      </c>
      <c r="G42" s="15">
        <f>HYPERLINK("https://www.tradingview.com/chart/?symbol=NSE:ATGL","Chart 📈")</f>
        <v/>
      </c>
    </row>
    <row r="43" ht="16" customHeight="1">
      <c r="A43" s="16" t="inlineStr">
        <is>
          <t>NIFTY OIL &amp; GAS</t>
        </is>
      </c>
      <c r="B43" s="13" t="inlineStr">
        <is>
          <t>GAIL</t>
        </is>
      </c>
      <c r="C43" s="14" t="n">
        <v>166.52</v>
      </c>
      <c r="D43" s="14" t="n">
        <v>164.38</v>
      </c>
      <c r="E43" s="14" t="n">
        <v>161.64</v>
      </c>
      <c r="F43" s="14" t="n">
        <v>165.04</v>
      </c>
      <c r="G43" s="15">
        <f>HYPERLINK("https://www.tradingview.com/chart/?symbol=NSE:GAIL","Chart 📈")</f>
        <v/>
      </c>
    </row>
    <row r="44" ht="16" customHeight="1">
      <c r="A44" s="8" t="inlineStr">
        <is>
          <t>NIFTY AUTO</t>
        </is>
      </c>
      <c r="B44" s="17" t="inlineStr">
        <is>
          <t>BOSCHLTD</t>
        </is>
      </c>
      <c r="C44" s="18" t="n">
        <v>36805</v>
      </c>
      <c r="D44" s="18" t="n">
        <v>36721.53</v>
      </c>
      <c r="E44" s="18" t="n">
        <v>36159.86</v>
      </c>
      <c r="F44" s="18" t="n">
        <v>35709.85</v>
      </c>
      <c r="G44" s="19">
        <f>HYPERLINK("https://www.tradingview.com/chart/?symbol=NSE:BOSCHLTD","Chart 📈")</f>
        <v/>
      </c>
    </row>
    <row r="45" ht="16" customHeight="1">
      <c r="A45" s="20" t="inlineStr">
        <is>
          <t>NIFTY AUTO</t>
        </is>
      </c>
      <c r="B45" s="17" t="inlineStr">
        <is>
          <t>EXIDEIND</t>
        </is>
      </c>
      <c r="C45" s="18" t="n">
        <v>391.9</v>
      </c>
      <c r="D45" s="18" t="n">
        <v>376.74</v>
      </c>
      <c r="E45" s="18" t="n">
        <v>357.34</v>
      </c>
      <c r="F45" s="18" t="n">
        <v>357.87</v>
      </c>
      <c r="G45" s="19">
        <f>HYPERLINK("https://www.tradingview.com/chart/?symbol=NSE:EXIDEIND","Chart 📈")</f>
        <v/>
      </c>
    </row>
    <row r="46" ht="16" customHeight="1">
      <c r="A46" s="20" t="inlineStr">
        <is>
          <t>NIFTY AUTO</t>
        </is>
      </c>
      <c r="B46" s="17" t="inlineStr">
        <is>
          <t>MOTHERSON</t>
        </is>
      </c>
      <c r="C46" s="18" t="n">
        <v>142.16</v>
      </c>
      <c r="D46" s="18" t="n">
        <v>138.05</v>
      </c>
      <c r="E46" s="18" t="n">
        <v>130.82</v>
      </c>
      <c r="F46" s="18" t="n">
        <v>119.05</v>
      </c>
      <c r="G46" s="19">
        <f>HYPERLINK("https://www.tradingview.com/chart/?symbol=NSE:MOTHERSON","Chart 📈")</f>
        <v/>
      </c>
    </row>
    <row r="47" ht="16" customHeight="1">
      <c r="A47" s="12" t="inlineStr">
        <is>
          <t>NIFTY CONSUMER DURABLES</t>
        </is>
      </c>
      <c r="B47" s="13" t="inlineStr">
        <is>
          <t>AMBER</t>
        </is>
      </c>
      <c r="C47" s="14" t="n">
        <v>7682</v>
      </c>
      <c r="D47" s="14" t="n">
        <v>7665.14</v>
      </c>
      <c r="E47" s="14" t="n">
        <v>7600.1</v>
      </c>
      <c r="F47" s="14" t="n">
        <v>7293.34</v>
      </c>
      <c r="G47" s="15">
        <f>HYPERLINK("https://www.tradingview.com/chart/?symbol=NSE:AMBER","Chart 📈")</f>
        <v/>
      </c>
    </row>
    <row r="48" ht="16" customHeight="1">
      <c r="A48" s="16" t="inlineStr">
        <is>
          <t>NIFTY CONSUMER DURABLES</t>
        </is>
      </c>
      <c r="B48" s="13" t="inlineStr">
        <is>
          <t>TITAN</t>
        </is>
      </c>
      <c r="C48" s="14" t="n">
        <v>4215.3</v>
      </c>
      <c r="D48" s="14" t="n">
        <v>4170.56</v>
      </c>
      <c r="E48" s="14" t="n">
        <v>4203.56</v>
      </c>
      <c r="F48" s="14" t="n">
        <v>4019</v>
      </c>
      <c r="G48" s="15">
        <f>HYPERLINK("https://www.tradingview.com/chart/?symbol=NSE:TITAN","Chart 📈")</f>
        <v/>
      </c>
    </row>
    <row r="49" ht="16" customHeight="1">
      <c r="A49" s="8" t="inlineStr">
        <is>
          <t>NIFTY FMCG</t>
        </is>
      </c>
      <c r="B49" s="17" t="inlineStr">
        <is>
          <t>BALRAMCHIN</t>
        </is>
      </c>
      <c r="C49" s="18" t="n">
        <v>537.1</v>
      </c>
      <c r="D49" s="18" t="n">
        <v>530.76</v>
      </c>
      <c r="E49" s="18" t="n">
        <v>517.49</v>
      </c>
      <c r="F49" s="18" t="n">
        <v>503.25</v>
      </c>
      <c r="G49" s="19">
        <f>HYPERLINK("https://www.tradingview.com/chart/?symbol=NSE:BALRAMCHIN","Chart 📈")</f>
        <v/>
      </c>
    </row>
    <row r="50" ht="16" customHeight="1">
      <c r="A50" s="20" t="inlineStr">
        <is>
          <t>NIFTY FMCG</t>
        </is>
      </c>
      <c r="B50" s="17" t="inlineStr">
        <is>
          <t>RADICO</t>
        </is>
      </c>
      <c r="C50" s="18" t="n">
        <v>3508.2</v>
      </c>
      <c r="D50" s="18" t="n">
        <v>3470.73</v>
      </c>
      <c r="E50" s="18" t="n">
        <v>3307.95</v>
      </c>
      <c r="F50" s="18" t="n">
        <v>3042.83</v>
      </c>
      <c r="G50" s="19">
        <f>HYPERLINK("https://www.tradingview.com/chart/?symbol=NSE:RADICO","Chart 📈")</f>
        <v/>
      </c>
    </row>
    <row r="51" ht="16" customHeight="1">
      <c r="A51" s="12" t="inlineStr">
        <is>
          <t>NIFTY BANK</t>
        </is>
      </c>
      <c r="B51" s="13" t="inlineStr">
        <is>
          <t>FEDERALBNK</t>
        </is>
      </c>
      <c r="C51" s="14" t="n">
        <v>304.45</v>
      </c>
      <c r="D51" s="14" t="n">
        <v>293.02</v>
      </c>
      <c r="E51" s="14" t="n">
        <v>288.02</v>
      </c>
      <c r="F51" s="14" t="n">
        <v>263.13</v>
      </c>
      <c r="G51" s="15">
        <f>HYPERLINK("https://www.tradingview.com/chart/?symbol=NSE:FEDERALBNK","Chart 📈")</f>
        <v/>
      </c>
    </row>
    <row r="52" ht="16" customHeight="1">
      <c r="A52" s="8" t="inlineStr">
        <is>
          <t>NIFTY FINANCIAL SERVICES</t>
        </is>
      </c>
      <c r="B52" s="17" t="inlineStr">
        <is>
          <t>LICHSGFIN</t>
        </is>
      </c>
      <c r="C52" s="18" t="n">
        <v>548</v>
      </c>
      <c r="D52" s="18" t="n">
        <v>547.17</v>
      </c>
      <c r="E52" s="18" t="n">
        <v>543.27</v>
      </c>
      <c r="F52" s="18" t="n">
        <v>547.95</v>
      </c>
      <c r="G52" s="19">
        <f>HYPERLINK("https://www.tradingview.com/chart/?symbol=NSE:LICHSGFIN","Chart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2026-06-08T03:58:20Z</dcterms:created>
  <dcterms:modified xsi:type="dcterms:W3CDTF">2026-06-08T03:58:20Z</dcterms:modified>
</cp:coreProperties>
</file>