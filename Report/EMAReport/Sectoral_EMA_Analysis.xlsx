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25-Aug-2026  11:34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13</v>
      </c>
      <c r="D4" s="5" t="n">
        <v>12</v>
      </c>
      <c r="E4" s="5" t="n">
        <v>12</v>
      </c>
      <c r="F4" s="6" t="n">
        <v>0.867</v>
      </c>
      <c r="G4" s="6" t="n">
        <v>0.8</v>
      </c>
      <c r="H4" s="6" t="n">
        <v>0.8</v>
      </c>
      <c r="I4" s="7" t="n">
        <v>0.8223</v>
      </c>
    </row>
    <row r="5" ht="17" customHeight="1">
      <c r="A5" s="8" t="inlineStr">
        <is>
          <t>NIFTY REALTY</t>
        </is>
      </c>
      <c r="B5" s="9" t="n">
        <v>10</v>
      </c>
      <c r="C5" s="9" t="n">
        <v>7</v>
      </c>
      <c r="D5" s="9" t="n">
        <v>8</v>
      </c>
      <c r="E5" s="9" t="n">
        <v>9</v>
      </c>
      <c r="F5" s="10" t="n">
        <v>0.7</v>
      </c>
      <c r="G5" s="10" t="n">
        <v>0.8</v>
      </c>
      <c r="H5" s="10" t="n">
        <v>0.9</v>
      </c>
      <c r="I5" s="11" t="n">
        <v>0.8</v>
      </c>
    </row>
    <row r="6" ht="17" customHeight="1">
      <c r="A6" s="4" t="inlineStr">
        <is>
          <t>NIFTY AUTO</t>
        </is>
      </c>
      <c r="B6" s="5" t="n">
        <v>15</v>
      </c>
      <c r="C6" s="5" t="n">
        <v>10</v>
      </c>
      <c r="D6" s="5" t="n">
        <v>12</v>
      </c>
      <c r="E6" s="5" t="n">
        <v>12</v>
      </c>
      <c r="F6" s="6" t="n">
        <v>0.667</v>
      </c>
      <c r="G6" s="6" t="n">
        <v>0.8</v>
      </c>
      <c r="H6" s="6" t="n">
        <v>0.8</v>
      </c>
      <c r="I6" s="7" t="n">
        <v>0.7556999999999999</v>
      </c>
    </row>
    <row r="7" ht="17" customHeight="1">
      <c r="A7" s="8" t="inlineStr">
        <is>
          <t>NIFTY PHARMA</t>
        </is>
      </c>
      <c r="B7" s="9" t="n">
        <v>20</v>
      </c>
      <c r="C7" s="9" t="n">
        <v>9</v>
      </c>
      <c r="D7" s="9" t="n">
        <v>12</v>
      </c>
      <c r="E7" s="9" t="n">
        <v>14</v>
      </c>
      <c r="F7" s="10" t="n">
        <v>0.45</v>
      </c>
      <c r="G7" s="10" t="n">
        <v>0.6</v>
      </c>
      <c r="H7" s="10" t="n">
        <v>0.7</v>
      </c>
      <c r="I7" s="11" t="n">
        <v>0.5832999999999999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13</v>
      </c>
      <c r="D8" s="5" t="n">
        <v>11</v>
      </c>
      <c r="E8" s="5" t="n">
        <v>9</v>
      </c>
      <c r="F8" s="6" t="n">
        <v>0.65</v>
      </c>
      <c r="G8" s="6" t="n">
        <v>0.55</v>
      </c>
      <c r="H8" s="6" t="n">
        <v>0.45</v>
      </c>
      <c r="I8" s="7" t="n">
        <v>0.55</v>
      </c>
    </row>
    <row r="9" ht="17" customHeight="1">
      <c r="A9" s="8" t="inlineStr">
        <is>
          <t>NIFTY MEDIA</t>
        </is>
      </c>
      <c r="B9" s="9" t="n">
        <v>10</v>
      </c>
      <c r="C9" s="9" t="n">
        <v>5</v>
      </c>
      <c r="D9" s="9" t="n">
        <v>6</v>
      </c>
      <c r="E9" s="9" t="n">
        <v>5</v>
      </c>
      <c r="F9" s="10" t="n">
        <v>0.5</v>
      </c>
      <c r="G9" s="10" t="n">
        <v>0.6</v>
      </c>
      <c r="H9" s="10" t="n">
        <v>0.5</v>
      </c>
      <c r="I9" s="11" t="n">
        <v>0.5333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8</v>
      </c>
      <c r="D10" s="5" t="n">
        <v>8</v>
      </c>
      <c r="E10" s="5" t="n">
        <v>7</v>
      </c>
      <c r="F10" s="6" t="n">
        <v>0.5329999999999999</v>
      </c>
      <c r="G10" s="6" t="n">
        <v>0.5329999999999999</v>
      </c>
      <c r="H10" s="6" t="n">
        <v>0.467</v>
      </c>
      <c r="I10" s="7" t="n">
        <v>0.511</v>
      </c>
    </row>
    <row r="11" ht="17" customHeight="1">
      <c r="A11" s="8" t="inlineStr">
        <is>
          <t>NIFTY PSU BANK</t>
        </is>
      </c>
      <c r="B11" s="9" t="n">
        <v>12</v>
      </c>
      <c r="C11" s="9" t="n">
        <v>5</v>
      </c>
      <c r="D11" s="9" t="n">
        <v>7</v>
      </c>
      <c r="E11" s="9" t="n">
        <v>6</v>
      </c>
      <c r="F11" s="10" t="n">
        <v>0.417</v>
      </c>
      <c r="G11" s="10" t="n">
        <v>0.583</v>
      </c>
      <c r="H11" s="10" t="n">
        <v>0.5</v>
      </c>
      <c r="I11" s="11" t="n">
        <v>0.5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9</v>
      </c>
      <c r="D12" s="5" t="n">
        <v>11</v>
      </c>
      <c r="E12" s="5" t="n">
        <v>10</v>
      </c>
      <c r="F12" s="6" t="n">
        <v>0.45</v>
      </c>
      <c r="G12" s="6" t="n">
        <v>0.55</v>
      </c>
      <c r="H12" s="6" t="n">
        <v>0.5</v>
      </c>
      <c r="I12" s="7" t="n">
        <v>0.5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6</v>
      </c>
      <c r="D13" s="9" t="n">
        <v>7</v>
      </c>
      <c r="E13" s="9" t="n">
        <v>7</v>
      </c>
      <c r="F13" s="10" t="n">
        <v>0.4</v>
      </c>
      <c r="G13" s="10" t="n">
        <v>0.467</v>
      </c>
      <c r="H13" s="10" t="n">
        <v>0.467</v>
      </c>
      <c r="I13" s="11" t="n">
        <v>0.4447</v>
      </c>
    </row>
    <row r="14" ht="17" customHeight="1">
      <c r="A14" s="4" t="inlineStr">
        <is>
          <t>NIFTY BANK</t>
        </is>
      </c>
      <c r="B14" s="5" t="n">
        <v>12</v>
      </c>
      <c r="C14" s="5" t="n">
        <v>3</v>
      </c>
      <c r="D14" s="5" t="n">
        <v>4</v>
      </c>
      <c r="E14" s="5" t="n">
        <v>4</v>
      </c>
      <c r="F14" s="6" t="n">
        <v>0.25</v>
      </c>
      <c r="G14" s="6" t="n">
        <v>0.333</v>
      </c>
      <c r="H14" s="6" t="n">
        <v>0.333</v>
      </c>
      <c r="I14" s="7" t="n">
        <v>0.3053</v>
      </c>
    </row>
    <row r="15" ht="17" customHeight="1">
      <c r="A15" s="8" t="inlineStr">
        <is>
          <t>NIFTY FMCG</t>
        </is>
      </c>
      <c r="B15" s="9" t="n">
        <v>15</v>
      </c>
      <c r="C15" s="9" t="n">
        <v>3</v>
      </c>
      <c r="D15" s="9" t="n">
        <v>5</v>
      </c>
      <c r="E15" s="9" t="n">
        <v>5</v>
      </c>
      <c r="F15" s="10" t="n">
        <v>0.2</v>
      </c>
      <c r="G15" s="10" t="n">
        <v>0.333</v>
      </c>
      <c r="H15" s="10" t="n">
        <v>0.333</v>
      </c>
      <c r="I15" s="11" t="n">
        <v>0.2887</v>
      </c>
    </row>
    <row r="16" ht="17" customHeight="1">
      <c r="A16" s="4" t="inlineStr">
        <is>
          <t>NIFTY IT</t>
        </is>
      </c>
      <c r="B16" s="5" t="n">
        <v>10</v>
      </c>
      <c r="C16" s="5" t="n">
        <v>1</v>
      </c>
      <c r="D16" s="5" t="n">
        <v>4</v>
      </c>
      <c r="E16" s="5" t="n">
        <v>2</v>
      </c>
      <c r="F16" s="6" t="n">
        <v>0.1</v>
      </c>
      <c r="G16" s="6" t="n">
        <v>0.4</v>
      </c>
      <c r="H16" s="6" t="n">
        <v>0.2</v>
      </c>
      <c r="I16" s="7" t="n">
        <v>0.2333</v>
      </c>
    </row>
    <row r="17" ht="17" customHeight="1">
      <c r="A17" s="8" t="inlineStr">
        <is>
          <t>NIFTY ENERGY</t>
        </is>
      </c>
      <c r="B17" s="9" t="n">
        <v>40</v>
      </c>
      <c r="C17" s="9" t="n">
        <v>3</v>
      </c>
      <c r="D17" s="9" t="n">
        <v>4</v>
      </c>
      <c r="E17" s="9" t="n">
        <v>12</v>
      </c>
      <c r="F17" s="10" t="n">
        <v>0.075</v>
      </c>
      <c r="G17" s="10" t="n">
        <v>0.1</v>
      </c>
      <c r="H17" s="10" t="n">
        <v>0.3</v>
      </c>
      <c r="I17" s="11" t="n">
        <v>0.1583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3110</v>
      </c>
      <c r="D3" s="14" t="n">
        <v>3027.08</v>
      </c>
      <c r="E3" s="14" t="n">
        <v>2992.85</v>
      </c>
      <c r="F3" s="14" t="n">
        <v>2644.02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APLAPOLLO</t>
        </is>
      </c>
      <c r="C4" s="14" t="n">
        <v>2139.3</v>
      </c>
      <c r="D4" s="14" t="n">
        <v>2024.17</v>
      </c>
      <c r="E4" s="14" t="n">
        <v>1942.02</v>
      </c>
      <c r="F4" s="14" t="n">
        <v>1892.11</v>
      </c>
      <c r="G4" s="15">
        <f>HYPERLINK("https://www.tradingview.com/chart/?symbol=NSE:APLAPOLLO","Chart 📈")</f>
        <v/>
      </c>
    </row>
    <row r="5" ht="16" customHeight="1">
      <c r="A5" s="16" t="inlineStr">
        <is>
          <t>NIFTY METAL</t>
        </is>
      </c>
      <c r="B5" s="13" t="inlineStr">
        <is>
          <t>HINDALCO</t>
        </is>
      </c>
      <c r="C5" s="14" t="n">
        <v>1051.05</v>
      </c>
      <c r="D5" s="14" t="n">
        <v>1028.63</v>
      </c>
      <c r="E5" s="14" t="n">
        <v>1011.55</v>
      </c>
      <c r="F5" s="14" t="n">
        <v>950.76</v>
      </c>
      <c r="G5" s="15">
        <f>HYPERLINK("https://www.tradingview.com/chart/?symbol=NSE:HINDALCO","Chart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592.6</v>
      </c>
      <c r="D6" s="14" t="n">
        <v>572.58</v>
      </c>
      <c r="E6" s="14" t="n">
        <v>564.79</v>
      </c>
      <c r="F6" s="14" t="n">
        <v>552.58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1154.1</v>
      </c>
      <c r="D7" s="14" t="n">
        <v>1108.45</v>
      </c>
      <c r="E7" s="14" t="n">
        <v>1103.89</v>
      </c>
      <c r="F7" s="14" t="n">
        <v>1110.4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JSWSTEEL</t>
        </is>
      </c>
      <c r="C8" s="14" t="n">
        <v>1320.3</v>
      </c>
      <c r="D8" s="14" t="n">
        <v>1287.57</v>
      </c>
      <c r="E8" s="14" t="n">
        <v>1271.59</v>
      </c>
      <c r="F8" s="14" t="n">
        <v>1218.34</v>
      </c>
      <c r="G8" s="15">
        <f>HYPERLINK("https://www.tradingview.com/chart/?symbol=NSE:JSWSTEEL","Chart 📈")</f>
        <v/>
      </c>
    </row>
    <row r="9" ht="16" customHeight="1">
      <c r="A9" s="16" t="inlineStr">
        <is>
          <t>NIFTY METAL</t>
        </is>
      </c>
      <c r="B9" s="13" t="inlineStr">
        <is>
          <t>NATIONALUM</t>
        </is>
      </c>
      <c r="C9" s="14" t="n">
        <v>397.8</v>
      </c>
      <c r="D9" s="14" t="n">
        <v>382.29</v>
      </c>
      <c r="E9" s="14" t="n">
        <v>374.28</v>
      </c>
      <c r="F9" s="14" t="n">
        <v>345.62</v>
      </c>
      <c r="G9" s="15">
        <f>HYPERLINK("https://www.tradingview.com/chart/?symbol=NSE:NATIONALUM","Chart 📈")</f>
        <v/>
      </c>
    </row>
    <row r="10" ht="16" customHeight="1">
      <c r="A10" s="16" t="inlineStr">
        <is>
          <t>NIFTY METAL</t>
        </is>
      </c>
      <c r="B10" s="13" t="inlineStr">
        <is>
          <t>NMDC</t>
        </is>
      </c>
      <c r="C10" s="14" t="n">
        <v>85.94</v>
      </c>
      <c r="D10" s="14" t="n">
        <v>84.91</v>
      </c>
      <c r="E10" s="14" t="n">
        <v>85.34</v>
      </c>
      <c r="F10" s="14" t="n">
        <v>82.51000000000001</v>
      </c>
      <c r="G10" s="15">
        <f>HYPERLINK("https://www.tradingview.com/chart/?symbol=NSE:NMDC","Chart 📈")</f>
        <v/>
      </c>
    </row>
    <row r="11" ht="16" customHeight="1">
      <c r="A11" s="16" t="inlineStr">
        <is>
          <t>NIFTY METAL</t>
        </is>
      </c>
      <c r="B11" s="13" t="inlineStr">
        <is>
          <t>RATNAMANI</t>
        </is>
      </c>
      <c r="C11" s="14" t="n">
        <v>2711.5</v>
      </c>
      <c r="D11" s="14" t="n">
        <v>2385.49</v>
      </c>
      <c r="E11" s="14" t="n">
        <v>2439.33</v>
      </c>
      <c r="F11" s="14" t="n">
        <v>2437.3</v>
      </c>
      <c r="G11" s="15">
        <f>HYPERLINK("https://www.tradingview.com/chart/?symbol=NSE:RATNAMANI","Chart 📈")</f>
        <v/>
      </c>
    </row>
    <row r="12" ht="16" customHeight="1">
      <c r="A12" s="16" t="inlineStr">
        <is>
          <t>NIFTY METAL</t>
        </is>
      </c>
      <c r="B12" s="13" t="inlineStr">
        <is>
          <t>SAIL</t>
        </is>
      </c>
      <c r="C12" s="14" t="n">
        <v>184.59</v>
      </c>
      <c r="D12" s="14" t="n">
        <v>173.41</v>
      </c>
      <c r="E12" s="14" t="n">
        <v>172.97</v>
      </c>
      <c r="F12" s="14" t="n">
        <v>163.37</v>
      </c>
      <c r="G12" s="15">
        <f>HYPERLINK("https://www.tradingview.com/chart/?symbol=NSE:SAIL","Chart 📈")</f>
        <v/>
      </c>
    </row>
    <row r="13" ht="16" customHeight="1">
      <c r="A13" s="16" t="inlineStr">
        <is>
          <t>NIFTY METAL</t>
        </is>
      </c>
      <c r="B13" s="13" t="inlineStr">
        <is>
          <t>WELCORP</t>
        </is>
      </c>
      <c r="C13" s="14" t="n">
        <v>2345.5</v>
      </c>
      <c r="D13" s="14" t="n">
        <v>1956.11</v>
      </c>
      <c r="E13" s="14" t="n">
        <v>1732.32</v>
      </c>
      <c r="F13" s="14" t="n">
        <v>1284.24</v>
      </c>
      <c r="G13" s="15">
        <f>HYPERLINK("https://www.tradingview.com/chart/?symbol=NSE:WELCORP","Chart 📈")</f>
        <v/>
      </c>
    </row>
    <row r="14" ht="16" customHeight="1">
      <c r="A14" s="8" t="inlineStr">
        <is>
          <t>NIFTY REALTY</t>
        </is>
      </c>
      <c r="B14" s="17" t="inlineStr">
        <is>
          <t>BRIGADE</t>
        </is>
      </c>
      <c r="C14" s="18" t="n">
        <v>660.9</v>
      </c>
      <c r="D14" s="18" t="n">
        <v>600.63</v>
      </c>
      <c r="E14" s="18" t="n">
        <v>571.11</v>
      </c>
      <c r="F14" s="18" t="n">
        <v>581.2</v>
      </c>
      <c r="G14" s="19">
        <f>HYPERLINK("https://www.tradingview.com/chart/?symbol=NSE:BRIGADE","Chart 📈")</f>
        <v/>
      </c>
    </row>
    <row r="15" ht="16" customHeight="1">
      <c r="A15" s="20" t="inlineStr">
        <is>
          <t>NIFTY REALTY</t>
        </is>
      </c>
      <c r="B15" s="17" t="inlineStr">
        <is>
          <t>DLF</t>
        </is>
      </c>
      <c r="C15" s="18" t="n">
        <v>682.95</v>
      </c>
      <c r="D15" s="18" t="n">
        <v>665.5599999999999</v>
      </c>
      <c r="E15" s="18" t="n">
        <v>647.22</v>
      </c>
      <c r="F15" s="18" t="n">
        <v>642.04</v>
      </c>
      <c r="G15" s="19">
        <f>HYPERLINK("https://www.tradingview.com/chart/?symbol=NSE:DLF","Chart 📈")</f>
        <v/>
      </c>
    </row>
    <row r="16" ht="16" customHeight="1">
      <c r="A16" s="20" t="inlineStr">
        <is>
          <t>NIFTY REALTY</t>
        </is>
      </c>
      <c r="B16" s="17" t="inlineStr">
        <is>
          <t>GODREJPROP</t>
        </is>
      </c>
      <c r="C16" s="18" t="n">
        <v>2049</v>
      </c>
      <c r="D16" s="18" t="n">
        <v>2040.82</v>
      </c>
      <c r="E16" s="18" t="n">
        <v>1994.17</v>
      </c>
      <c r="F16" s="18" t="n">
        <v>1908.5</v>
      </c>
      <c r="G16" s="19">
        <f>HYPERLINK("https://www.tradingview.com/chart/?symbol=NSE:GODREJPROP","Chart 📈")</f>
        <v/>
      </c>
    </row>
    <row r="17" ht="16" customHeight="1">
      <c r="A17" s="20" t="inlineStr">
        <is>
          <t>NIFTY REALTY</t>
        </is>
      </c>
      <c r="B17" s="17" t="inlineStr">
        <is>
          <t>LODHA</t>
        </is>
      </c>
      <c r="C17" s="18" t="n">
        <v>1281.1</v>
      </c>
      <c r="D17" s="18" t="n">
        <v>1225.82</v>
      </c>
      <c r="E17" s="18" t="n">
        <v>1150.77</v>
      </c>
      <c r="F17" s="18" t="n">
        <v>1060.43</v>
      </c>
      <c r="G17" s="19">
        <f>HYPERLINK("https://www.tradingview.com/chart/?symbol=NSE:LODHA","Chart 📈")</f>
        <v/>
      </c>
    </row>
    <row r="18" ht="16" customHeight="1">
      <c r="A18" s="20" t="inlineStr">
        <is>
          <t>NIFTY REALTY</t>
        </is>
      </c>
      <c r="B18" s="17" t="inlineStr">
        <is>
          <t>OBEROIRLTY</t>
        </is>
      </c>
      <c r="C18" s="18" t="n">
        <v>1880</v>
      </c>
      <c r="D18" s="18" t="n">
        <v>1850.39</v>
      </c>
      <c r="E18" s="18" t="n">
        <v>1811.99</v>
      </c>
      <c r="F18" s="18" t="n">
        <v>1702.45</v>
      </c>
      <c r="G18" s="19">
        <f>HYPERLINK("https://www.tradingview.com/chart/?symbol=NSE:OBEROIRLTY","Chart 📈")</f>
        <v/>
      </c>
    </row>
    <row r="19" ht="16" customHeight="1">
      <c r="A19" s="20" t="inlineStr">
        <is>
          <t>NIFTY REALTY</t>
        </is>
      </c>
      <c r="B19" s="17" t="inlineStr">
        <is>
          <t>PRESTIGE</t>
        </is>
      </c>
      <c r="C19" s="18" t="n">
        <v>1623</v>
      </c>
      <c r="D19" s="18" t="n">
        <v>1607.09</v>
      </c>
      <c r="E19" s="18" t="n">
        <v>1582.92</v>
      </c>
      <c r="F19" s="18" t="n">
        <v>1527.41</v>
      </c>
      <c r="G19" s="19">
        <f>HYPERLINK("https://www.tradingview.com/chart/?symbol=NSE:PRESTIGE","Chart 📈")</f>
        <v/>
      </c>
    </row>
    <row r="20" ht="16" customHeight="1">
      <c r="A20" s="20" t="inlineStr">
        <is>
          <t>NIFTY REALTY</t>
        </is>
      </c>
      <c r="B20" s="17" t="inlineStr">
        <is>
          <t>RAYMOND</t>
        </is>
      </c>
      <c r="C20" s="18" t="n">
        <v>627.2</v>
      </c>
      <c r="D20" s="18" t="n">
        <v>625.59</v>
      </c>
      <c r="E20" s="18" t="n">
        <v>601.0599999999999</v>
      </c>
      <c r="F20" s="18" t="n">
        <v>536.4</v>
      </c>
      <c r="G20" s="19">
        <f>HYPERLINK("https://www.tradingview.com/chart/?symbol=NSE:RAYMOND","Chart 📈")</f>
        <v/>
      </c>
    </row>
    <row r="21" ht="16" customHeight="1">
      <c r="A21" s="12" t="inlineStr">
        <is>
          <t>NIFTY AUTO</t>
        </is>
      </c>
      <c r="B21" s="13" t="inlineStr">
        <is>
          <t>APOLLOTYRE</t>
        </is>
      </c>
      <c r="C21" s="14" t="n">
        <v>441.4</v>
      </c>
      <c r="D21" s="14" t="n">
        <v>436.59</v>
      </c>
      <c r="E21" s="14" t="n">
        <v>430.82</v>
      </c>
      <c r="F21" s="14" t="n">
        <v>440.12</v>
      </c>
      <c r="G21" s="15">
        <f>HYPERLINK("https://www.tradingview.com/chart/?symbol=NSE:APOLLOTYRE","Chart 📈")</f>
        <v/>
      </c>
    </row>
    <row r="22" ht="16" customHeight="1">
      <c r="A22" s="16" t="inlineStr">
        <is>
          <t>NIFTY AUTO</t>
        </is>
      </c>
      <c r="B22" s="13" t="inlineStr">
        <is>
          <t>ASHOKLEY</t>
        </is>
      </c>
      <c r="C22" s="14" t="n">
        <v>174.69</v>
      </c>
      <c r="D22" s="14" t="n">
        <v>171.39</v>
      </c>
      <c r="E22" s="14" t="n">
        <v>165.96</v>
      </c>
      <c r="F22" s="14" t="n">
        <v>161.21</v>
      </c>
      <c r="G22" s="15">
        <f>HYPERLINK("https://www.tradingview.com/chart/?symbol=NSE:ASHOKLEY","Chart 📈")</f>
        <v/>
      </c>
    </row>
    <row r="23" ht="16" customHeight="1">
      <c r="A23" s="16" t="inlineStr">
        <is>
          <t>NIFTY AUTO</t>
        </is>
      </c>
      <c r="B23" s="13" t="inlineStr">
        <is>
          <t>BAJAJ-AUTO</t>
        </is>
      </c>
      <c r="C23" s="14" t="n">
        <v>11927</v>
      </c>
      <c r="D23" s="14" t="n">
        <v>11562.68</v>
      </c>
      <c r="E23" s="14" t="n">
        <v>11057.41</v>
      </c>
      <c r="F23" s="14" t="n">
        <v>10017.59</v>
      </c>
      <c r="G23" s="15">
        <f>HYPERLINK("https://www.tradingview.com/chart/?symbol=NSE:BAJAJ-AUTO","Chart 📈")</f>
        <v/>
      </c>
    </row>
    <row r="24" ht="16" customHeight="1">
      <c r="A24" s="16" t="inlineStr">
        <is>
          <t>NIFTY AUTO</t>
        </is>
      </c>
      <c r="B24" s="13" t="inlineStr">
        <is>
          <t>BALKRISIND</t>
        </is>
      </c>
      <c r="C24" s="14" t="n">
        <v>2366.3</v>
      </c>
      <c r="D24" s="14" t="n">
        <v>2357.95</v>
      </c>
      <c r="E24" s="14" t="n">
        <v>2285.54</v>
      </c>
      <c r="F24" s="14" t="n">
        <v>2272.9</v>
      </c>
      <c r="G24" s="15">
        <f>HYPERLINK("https://www.tradingview.com/chart/?symbol=NSE:BALKRISIND","Chart 📈")</f>
        <v/>
      </c>
    </row>
    <row r="25" ht="16" customHeight="1">
      <c r="A25" s="16" t="inlineStr">
        <is>
          <t>NIFTY AUTO</t>
        </is>
      </c>
      <c r="B25" s="13" t="inlineStr">
        <is>
          <t>BOSCHLTD</t>
        </is>
      </c>
      <c r="C25" s="14" t="n">
        <v>48680</v>
      </c>
      <c r="D25" s="14" t="n">
        <v>45522</v>
      </c>
      <c r="E25" s="14" t="n">
        <v>42709.74</v>
      </c>
      <c r="F25" s="14" t="n">
        <v>38830.59</v>
      </c>
      <c r="G25" s="15">
        <f>HYPERLINK("https://www.tradingview.com/chart/?symbol=NSE:BOSCHLTD","Chart 📈")</f>
        <v/>
      </c>
    </row>
    <row r="26" ht="16" customHeight="1">
      <c r="A26" s="16" t="inlineStr">
        <is>
          <t>NIFTY AUTO</t>
        </is>
      </c>
      <c r="B26" s="13" t="inlineStr">
        <is>
          <t>EICHERMOT</t>
        </is>
      </c>
      <c r="C26" s="14" t="n">
        <v>8055</v>
      </c>
      <c r="D26" s="14" t="n">
        <v>7931.41</v>
      </c>
      <c r="E26" s="14" t="n">
        <v>7691.42</v>
      </c>
      <c r="F26" s="14" t="n">
        <v>7229.01</v>
      </c>
      <c r="G26" s="15">
        <f>HYPERLINK("https://www.tradingview.com/chart/?symbol=NSE:EICHERMOT","Chart 📈")</f>
        <v/>
      </c>
    </row>
    <row r="27" ht="16" customHeight="1">
      <c r="A27" s="16" t="inlineStr">
        <is>
          <t>NIFTY AUTO</t>
        </is>
      </c>
      <c r="B27" s="13" t="inlineStr">
        <is>
          <t>HEROMOTOCO</t>
        </is>
      </c>
      <c r="C27" s="14" t="n">
        <v>5624.5</v>
      </c>
      <c r="D27" s="14" t="n">
        <v>5590.14</v>
      </c>
      <c r="E27" s="14" t="n">
        <v>5327.36</v>
      </c>
      <c r="F27" s="14" t="n">
        <v>5200.06</v>
      </c>
      <c r="G27" s="15">
        <f>HYPERLINK("https://www.tradingview.com/chart/?symbol=NSE:HEROMOTOCO","Chart 📈")</f>
        <v/>
      </c>
    </row>
    <row r="28" ht="16" customHeight="1">
      <c r="A28" s="16" t="inlineStr">
        <is>
          <t>NIFTY AUTO</t>
        </is>
      </c>
      <c r="B28" s="13" t="inlineStr">
        <is>
          <t>M&amp;M</t>
        </is>
      </c>
      <c r="C28" s="14" t="n">
        <v>3443</v>
      </c>
      <c r="D28" s="14" t="n">
        <v>3387.25</v>
      </c>
      <c r="E28" s="14" t="n">
        <v>3288.19</v>
      </c>
      <c r="F28" s="14" t="n">
        <v>3275.8</v>
      </c>
      <c r="G28" s="15">
        <f>HYPERLINK("https://www.tradingview.com/chart/?symbol=NSE:M&amp;M","Chart 📈")</f>
        <v/>
      </c>
    </row>
    <row r="29" ht="16" customHeight="1">
      <c r="A29" s="16" t="inlineStr">
        <is>
          <t>NIFTY AUTO</t>
        </is>
      </c>
      <c r="B29" s="13" t="inlineStr">
        <is>
          <t>MOTHERSON</t>
        </is>
      </c>
      <c r="C29" s="14" t="n">
        <v>166.45</v>
      </c>
      <c r="D29" s="14" t="n">
        <v>163.23</v>
      </c>
      <c r="E29" s="14" t="n">
        <v>154.08</v>
      </c>
      <c r="F29" s="14" t="n">
        <v>132.62</v>
      </c>
      <c r="G29" s="15">
        <f>HYPERLINK("https://www.tradingview.com/chart/?symbol=NSE:MOTHERSON","Chart 📈")</f>
        <v/>
      </c>
    </row>
    <row r="30" ht="16" customHeight="1">
      <c r="A30" s="16" t="inlineStr">
        <is>
          <t>NIFTY AUTO</t>
        </is>
      </c>
      <c r="B30" s="13" t="inlineStr">
        <is>
          <t>TVSMOTOR</t>
        </is>
      </c>
      <c r="C30" s="14" t="n">
        <v>4420</v>
      </c>
      <c r="D30" s="14" t="n">
        <v>4277.29</v>
      </c>
      <c r="E30" s="14" t="n">
        <v>4013.26</v>
      </c>
      <c r="F30" s="14" t="n">
        <v>3687.97</v>
      </c>
      <c r="G30" s="15">
        <f>HYPERLINK("https://www.tradingview.com/chart/?symbol=NSE:TVSMOTOR","Chart 📈")</f>
        <v/>
      </c>
    </row>
    <row r="31" ht="16" customHeight="1">
      <c r="A31" s="8" t="inlineStr">
        <is>
          <t>NIFTY PHARMA</t>
        </is>
      </c>
      <c r="B31" s="17" t="inlineStr">
        <is>
          <t>AJANTPHARM</t>
        </is>
      </c>
      <c r="C31" s="18" t="n">
        <v>3554.9</v>
      </c>
      <c r="D31" s="18" t="n">
        <v>3554.18</v>
      </c>
      <c r="E31" s="18" t="n">
        <v>3404.38</v>
      </c>
      <c r="F31" s="18" t="n">
        <v>3032.05</v>
      </c>
      <c r="G31" s="19">
        <f>HYPERLINK("https://www.tradingview.com/chart/?symbol=NSE:AJANTPHARM","Chart 📈")</f>
        <v/>
      </c>
    </row>
    <row r="32" ht="16" customHeight="1">
      <c r="A32" s="20" t="inlineStr">
        <is>
          <t>NIFTY PHARMA</t>
        </is>
      </c>
      <c r="B32" s="17" t="inlineStr">
        <is>
          <t>AUROPHARMA</t>
        </is>
      </c>
      <c r="C32" s="18" t="n">
        <v>1617.8</v>
      </c>
      <c r="D32" s="18" t="n">
        <v>1612.27</v>
      </c>
      <c r="E32" s="18" t="n">
        <v>1570.68</v>
      </c>
      <c r="F32" s="18" t="n">
        <v>1393.6</v>
      </c>
      <c r="G32" s="19">
        <f>HYPERLINK("https://www.tradingview.com/chart/?symbol=NSE:AUROPHARMA","Chart 📈")</f>
        <v/>
      </c>
    </row>
    <row r="33" ht="16" customHeight="1">
      <c r="A33" s="20" t="inlineStr">
        <is>
          <t>NIFTY PHARMA</t>
        </is>
      </c>
      <c r="B33" s="17" t="inlineStr">
        <is>
          <t>DIVISLAB</t>
        </is>
      </c>
      <c r="C33" s="18" t="n">
        <v>8744.5</v>
      </c>
      <c r="D33" s="18" t="n">
        <v>8291.280000000001</v>
      </c>
      <c r="E33" s="18" t="n">
        <v>7708.26</v>
      </c>
      <c r="F33" s="18" t="n">
        <v>6837.17</v>
      </c>
      <c r="G33" s="19">
        <f>HYPERLINK("https://www.tradingview.com/chart/?symbol=NSE:DIVISLAB","Chart 📈")</f>
        <v/>
      </c>
    </row>
    <row r="34" ht="16" customHeight="1">
      <c r="A34" s="20" t="inlineStr">
        <is>
          <t>NIFTY PHARMA</t>
        </is>
      </c>
      <c r="B34" s="17" t="inlineStr">
        <is>
          <t>GLAND</t>
        </is>
      </c>
      <c r="C34" s="18" t="n">
        <v>2824.6</v>
      </c>
      <c r="D34" s="18" t="n">
        <v>2733.6</v>
      </c>
      <c r="E34" s="18" t="n">
        <v>2541.2</v>
      </c>
      <c r="F34" s="18" t="n">
        <v>2140.26</v>
      </c>
      <c r="G34" s="19">
        <f>HYPERLINK("https://www.tradingview.com/chart/?symbol=NSE:GLAND","Chart 📈")</f>
        <v/>
      </c>
    </row>
    <row r="35" ht="16" customHeight="1">
      <c r="A35" s="20" t="inlineStr">
        <is>
          <t>NIFTY PHARMA</t>
        </is>
      </c>
      <c r="B35" s="17" t="inlineStr">
        <is>
          <t>GLENMARK</t>
        </is>
      </c>
      <c r="C35" s="18" t="n">
        <v>2400</v>
      </c>
      <c r="D35" s="18" t="n">
        <v>2299.51</v>
      </c>
      <c r="E35" s="18" t="n">
        <v>2265.3</v>
      </c>
      <c r="F35" s="18" t="n">
        <v>2166.16</v>
      </c>
      <c r="G35" s="19">
        <f>HYPERLINK("https://www.tradingview.com/chart/?symbol=NSE:GLENMARK","Chart 📈")</f>
        <v/>
      </c>
    </row>
    <row r="36" ht="16" customHeight="1">
      <c r="A36" s="20" t="inlineStr">
        <is>
          <t>NIFTY PHARMA</t>
        </is>
      </c>
      <c r="B36" s="17" t="inlineStr">
        <is>
          <t>IPCALAB</t>
        </is>
      </c>
      <c r="C36" s="18" t="n">
        <v>1928.5</v>
      </c>
      <c r="D36" s="18" t="n">
        <v>1829.23</v>
      </c>
      <c r="E36" s="18" t="n">
        <v>1760.48</v>
      </c>
      <c r="F36" s="18" t="n">
        <v>1592.04</v>
      </c>
      <c r="G36" s="19">
        <f>HYPERLINK("https://www.tradingview.com/chart/?symbol=NSE:IPCALAB","Chart 📈")</f>
        <v/>
      </c>
    </row>
    <row r="37" ht="16" customHeight="1">
      <c r="A37" s="20" t="inlineStr">
        <is>
          <t>NIFTY PHARMA</t>
        </is>
      </c>
      <c r="B37" s="17" t="inlineStr">
        <is>
          <t>JBCHEPHARM</t>
        </is>
      </c>
      <c r="C37" s="18" t="n">
        <v>2408.9</v>
      </c>
      <c r="D37" s="18" t="n">
        <v>2383.66</v>
      </c>
      <c r="E37" s="18" t="n">
        <v>2287.69</v>
      </c>
      <c r="F37" s="18" t="n">
        <v>2045.54</v>
      </c>
      <c r="G37" s="19">
        <f>HYPERLINK("https://www.tradingview.com/chart/?symbol=NSE:JBCHEPHARM","Chart 📈")</f>
        <v/>
      </c>
    </row>
    <row r="38" ht="16" customHeight="1">
      <c r="A38" s="20" t="inlineStr">
        <is>
          <t>NIFTY PHARMA</t>
        </is>
      </c>
      <c r="B38" s="17" t="inlineStr">
        <is>
          <t>LAURUSLABS</t>
        </is>
      </c>
      <c r="C38" s="18" t="n">
        <v>1866.2</v>
      </c>
      <c r="D38" s="18" t="n">
        <v>1788.07</v>
      </c>
      <c r="E38" s="18" t="n">
        <v>1657.25</v>
      </c>
      <c r="F38" s="18" t="n">
        <v>1310.47</v>
      </c>
      <c r="G38" s="19">
        <f>HYPERLINK("https://www.tradingview.com/chart/?symbol=NSE:LAURUSLABS","Chart 📈")</f>
        <v/>
      </c>
    </row>
    <row r="39" ht="16" customHeight="1">
      <c r="A39" s="12" t="inlineStr">
        <is>
          <t>NIFTY FINANCIAL SERVICES</t>
        </is>
      </c>
      <c r="B39" s="13" t="inlineStr">
        <is>
          <t>BAJAJFINSV</t>
        </is>
      </c>
      <c r="C39" s="14" t="n">
        <v>2004</v>
      </c>
      <c r="D39" s="14" t="n">
        <v>1998.49</v>
      </c>
      <c r="E39" s="14" t="n">
        <v>1934.62</v>
      </c>
      <c r="F39" s="14" t="n">
        <v>1900.41</v>
      </c>
      <c r="G39" s="15">
        <f>HYPERLINK("https://www.tradingview.com/chart/?symbol=NSE:BAJAJFINSV","Chart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BAJFINANCE</t>
        </is>
      </c>
      <c r="C40" s="14" t="n">
        <v>1087.4</v>
      </c>
      <c r="D40" s="14" t="n">
        <v>1085.86</v>
      </c>
      <c r="E40" s="14" t="n">
        <v>1048.75</v>
      </c>
      <c r="F40" s="14" t="n">
        <v>979.61</v>
      </c>
      <c r="G40" s="15">
        <f>HYPERLINK("https://www.tradingview.com/chart/?symbol=NSE:BAJFINANCE","Chart 📈")</f>
        <v/>
      </c>
    </row>
    <row r="41" ht="16" customHeight="1">
      <c r="A41" s="16" t="inlineStr">
        <is>
          <t>NIFTY FINANCIAL SERVICES</t>
        </is>
      </c>
      <c r="B41" s="13" t="inlineStr">
        <is>
          <t>CHOLAFIN</t>
        </is>
      </c>
      <c r="C41" s="14" t="n">
        <v>1873</v>
      </c>
      <c r="D41" s="14" t="n">
        <v>1864.49</v>
      </c>
      <c r="E41" s="14" t="n">
        <v>1799.53</v>
      </c>
      <c r="F41" s="14" t="n">
        <v>1676.28</v>
      </c>
      <c r="G41" s="15">
        <f>HYPERLINK("https://www.tradingview.com/chart/?symbol=NSE:CHOLAFIN","Chart 📈")</f>
        <v/>
      </c>
    </row>
    <row r="42" ht="16" customHeight="1">
      <c r="A42" s="16" t="inlineStr">
        <is>
          <t>NIFTY FINANCIAL SERVICES</t>
        </is>
      </c>
      <c r="B42" s="13" t="inlineStr">
        <is>
          <t>HDFCAMC</t>
        </is>
      </c>
      <c r="C42" s="14" t="n">
        <v>2698</v>
      </c>
      <c r="D42" s="14" t="n">
        <v>2574.53</v>
      </c>
      <c r="E42" s="14" t="n">
        <v>2590.72</v>
      </c>
      <c r="F42" s="14" t="n">
        <v>2621.35</v>
      </c>
      <c r="G42" s="15">
        <f>HYPERLINK("https://www.tradingview.com/chart/?symbol=NSE:HDFCAMC","Chart 📈")</f>
        <v/>
      </c>
    </row>
    <row r="43" ht="16" customHeight="1">
      <c r="A43" s="16" t="inlineStr">
        <is>
          <t>NIFTY FINANCIAL SERVICES</t>
        </is>
      </c>
      <c r="B43" s="13" t="inlineStr">
        <is>
          <t>ICICIBANK</t>
        </is>
      </c>
      <c r="C43" s="14" t="n">
        <v>1422.7</v>
      </c>
      <c r="D43" s="14" t="n">
        <v>1419.19</v>
      </c>
      <c r="E43" s="14" t="n">
        <v>1396.28</v>
      </c>
      <c r="F43" s="14" t="n">
        <v>1358.18</v>
      </c>
      <c r="G43" s="15">
        <f>HYPERLINK("https://www.tradingview.com/chart/?symbol=NSE:ICICIBANK","Chart 📈")</f>
        <v/>
      </c>
    </row>
    <row r="44" ht="16" customHeight="1">
      <c r="A44" s="16" t="inlineStr">
        <is>
          <t>NIFTY FINANCIAL SERVICES</t>
        </is>
      </c>
      <c r="B44" s="13" t="inlineStr">
        <is>
          <t>KOTAKBANK</t>
        </is>
      </c>
      <c r="C44" s="14" t="n">
        <v>401.6</v>
      </c>
      <c r="D44" s="14" t="n">
        <v>393.23</v>
      </c>
      <c r="E44" s="14" t="n">
        <v>390.63</v>
      </c>
      <c r="F44" s="14" t="n">
        <v>394.62</v>
      </c>
      <c r="G44" s="15">
        <f>HYPERLINK("https://www.tradingview.com/chart/?symbol=NSE:KOTAKBANK","Chart 📈")</f>
        <v/>
      </c>
    </row>
    <row r="45" ht="16" customHeight="1">
      <c r="A45" s="16" t="inlineStr">
        <is>
          <t>NIFTY FINANCIAL SERVICES</t>
        </is>
      </c>
      <c r="B45" s="13" t="inlineStr">
        <is>
          <t>MCX</t>
        </is>
      </c>
      <c r="C45" s="14" t="n">
        <v>3280</v>
      </c>
      <c r="D45" s="14" t="n">
        <v>2966.98</v>
      </c>
      <c r="E45" s="14" t="n">
        <v>2883.84</v>
      </c>
      <c r="F45" s="14" t="n">
        <v>2593.45</v>
      </c>
      <c r="G45" s="15">
        <f>HYPERLINK("https://www.tradingview.com/chart/?symbol=NSE:MCX","Chart 📈")</f>
        <v/>
      </c>
    </row>
    <row r="46" ht="16" customHeight="1">
      <c r="A46" s="16" t="inlineStr">
        <is>
          <t>NIFTY FINANCIAL SERVICES</t>
        </is>
      </c>
      <c r="B46" s="13" t="inlineStr">
        <is>
          <t>MUTHOOTFIN</t>
        </is>
      </c>
      <c r="C46" s="14" t="n">
        <v>3201</v>
      </c>
      <c r="D46" s="14" t="n">
        <v>2986.71</v>
      </c>
      <c r="E46" s="14" t="n">
        <v>3031</v>
      </c>
      <c r="F46" s="14" t="n">
        <v>3189.82</v>
      </c>
      <c r="G46" s="15">
        <f>HYPERLINK("https://www.tradingview.com/chart/?symbol=NSE:MUTHOOTFIN","Chart 📈")</f>
        <v/>
      </c>
    </row>
    <row r="47" ht="16" customHeight="1">
      <c r="A47" s="16" t="inlineStr">
        <is>
          <t>NIFTY FINANCIAL SERVICES</t>
        </is>
      </c>
      <c r="B47" s="13" t="inlineStr">
        <is>
          <t>SHRIRAMFIN</t>
        </is>
      </c>
      <c r="C47" s="14" t="n">
        <v>1138.5</v>
      </c>
      <c r="D47" s="14" t="n">
        <v>1106.27</v>
      </c>
      <c r="E47" s="14" t="n">
        <v>1065.54</v>
      </c>
      <c r="F47" s="14" t="n">
        <v>956.87</v>
      </c>
      <c r="G47" s="15">
        <f>HYPERLINK("https://www.tradingview.com/chart/?symbol=NSE:SHRIRAMFIN","Chart 📈")</f>
        <v/>
      </c>
    </row>
    <row r="48" ht="16" customHeight="1">
      <c r="A48" s="8" t="inlineStr">
        <is>
          <t>NIFTY MEDIA</t>
        </is>
      </c>
      <c r="B48" s="17" t="inlineStr">
        <is>
          <t>NAZARA</t>
        </is>
      </c>
      <c r="C48" s="18" t="n">
        <v>358</v>
      </c>
      <c r="D48" s="18" t="n">
        <v>344.84</v>
      </c>
      <c r="E48" s="18" t="n">
        <v>323.93</v>
      </c>
      <c r="F48" s="18" t="n">
        <v>289.35</v>
      </c>
      <c r="G48" s="19">
        <f>HYPERLINK("https://www.tradingview.com/chart/?symbol=NSE:NAZARA","Chart 📈")</f>
        <v/>
      </c>
    </row>
    <row r="49" ht="16" customHeight="1">
      <c r="A49" s="20" t="inlineStr">
        <is>
          <t>NIFTY MEDIA</t>
        </is>
      </c>
      <c r="B49" s="17" t="inlineStr">
        <is>
          <t>PVRINOX</t>
        </is>
      </c>
      <c r="C49" s="18" t="n">
        <v>1231</v>
      </c>
      <c r="D49" s="18" t="n">
        <v>1163.98</v>
      </c>
      <c r="E49" s="18" t="n">
        <v>1097.51</v>
      </c>
      <c r="F49" s="18" t="n">
        <v>1049.41</v>
      </c>
      <c r="G49" s="19">
        <f>HYPERLINK("https://www.tradingview.com/chart/?symbol=NSE:PVRINOX","Chart 📈")</f>
        <v/>
      </c>
    </row>
    <row r="50" ht="16" customHeight="1">
      <c r="A50" s="20" t="inlineStr">
        <is>
          <t>NIFTY MEDIA</t>
        </is>
      </c>
      <c r="B50" s="17" t="inlineStr">
        <is>
          <t>ZEEL</t>
        </is>
      </c>
      <c r="C50" s="18" t="n">
        <v>104.82</v>
      </c>
      <c r="D50" s="18" t="n">
        <v>102.88</v>
      </c>
      <c r="E50" s="18" t="n">
        <v>102.12</v>
      </c>
      <c r="F50" s="18" t="n">
        <v>98.84</v>
      </c>
      <c r="G50" s="19">
        <f>HYPERLINK("https://www.tradingview.com/chart/?symbol=NSE:ZEEL","Chart 📈")</f>
        <v/>
      </c>
    </row>
    <row r="51" ht="16" customHeight="1">
      <c r="A51" s="12" t="inlineStr">
        <is>
          <t>NIFTY OIL &amp; GAS</t>
        </is>
      </c>
      <c r="B51" s="13" t="inlineStr">
        <is>
          <t>BPCL</t>
        </is>
      </c>
      <c r="C51" s="14" t="n">
        <v>318.1</v>
      </c>
      <c r="D51" s="14" t="n">
        <v>315.17</v>
      </c>
      <c r="E51" s="14" t="n">
        <v>313.09</v>
      </c>
      <c r="F51" s="14" t="n">
        <v>316.9</v>
      </c>
      <c r="G51" s="15">
        <f>HYPERLINK("https://www.tradingview.com/chart/?symbol=NSE:BPCL","Chart 📈")</f>
        <v/>
      </c>
    </row>
    <row r="52" ht="16" customHeight="1">
      <c r="A52" s="16" t="inlineStr">
        <is>
          <t>NIFTY OIL &amp; GAS</t>
        </is>
      </c>
      <c r="B52" s="13" t="inlineStr">
        <is>
          <t>CASTROLIND</t>
        </is>
      </c>
      <c r="C52" s="14" t="n">
        <v>186.88</v>
      </c>
      <c r="D52" s="14" t="n">
        <v>185.51</v>
      </c>
      <c r="E52" s="14" t="n">
        <v>182.42</v>
      </c>
      <c r="F52" s="14" t="n">
        <v>180.63</v>
      </c>
      <c r="G52" s="15">
        <f>HYPERLINK("https://www.tradingview.com/chart/?symbol=NSE:CASTROLIND","Chart 📈")</f>
        <v/>
      </c>
    </row>
    <row r="53" ht="16" customHeight="1">
      <c r="A53" s="16" t="inlineStr">
        <is>
          <t>NIFTY OIL &amp; GAS</t>
        </is>
      </c>
      <c r="B53" s="13" t="inlineStr">
        <is>
          <t>GAIL</t>
        </is>
      </c>
      <c r="C53" s="14" t="n">
        <v>175.5</v>
      </c>
      <c r="D53" s="14" t="n">
        <v>174.02</v>
      </c>
      <c r="E53" s="14" t="n">
        <v>172.61</v>
      </c>
      <c r="F53" s="14" t="n">
        <v>167.79</v>
      </c>
      <c r="G53" s="15">
        <f>HYPERLINK("https://www.tradingview.com/chart/?symbol=NSE:GAIL","Chart 📈")</f>
        <v/>
      </c>
    </row>
    <row r="54" ht="16" customHeight="1">
      <c r="A54" s="16" t="inlineStr">
        <is>
          <t>NIFTY OIL &amp; GAS</t>
        </is>
      </c>
      <c r="B54" s="13" t="inlineStr">
        <is>
          <t>OIL</t>
        </is>
      </c>
      <c r="C54" s="14" t="n">
        <v>467.5</v>
      </c>
      <c r="D54" s="14" t="n">
        <v>464.93</v>
      </c>
      <c r="E54" s="14" t="n">
        <v>456.2</v>
      </c>
      <c r="F54" s="14" t="n">
        <v>447.64</v>
      </c>
      <c r="G54" s="15">
        <f>HYPERLINK("https://www.tradingview.com/chart/?symbol=NSE:OIL","Chart 📈")</f>
        <v/>
      </c>
    </row>
    <row r="55" ht="16" customHeight="1">
      <c r="A55" s="16" t="inlineStr">
        <is>
          <t>NIFTY OIL &amp; GAS</t>
        </is>
      </c>
      <c r="B55" s="13" t="inlineStr">
        <is>
          <t>PETRONET</t>
        </is>
      </c>
      <c r="C55" s="14" t="n">
        <v>292.5</v>
      </c>
      <c r="D55" s="14" t="n">
        <v>284.95</v>
      </c>
      <c r="E55" s="14" t="n">
        <v>280.76</v>
      </c>
      <c r="F55" s="14" t="n">
        <v>275.98</v>
      </c>
      <c r="G55" s="15">
        <f>HYPERLINK("https://www.tradingview.com/chart/?symbol=NSE:PETRONET","Chart 📈")</f>
        <v/>
      </c>
    </row>
    <row r="56" ht="16" customHeight="1">
      <c r="A56" s="8" t="inlineStr">
        <is>
          <t>NIFTY PSU BANK</t>
        </is>
      </c>
      <c r="B56" s="17" t="inlineStr">
        <is>
          <t>BANKINDIA</t>
        </is>
      </c>
      <c r="C56" s="18" t="n">
        <v>143.99</v>
      </c>
      <c r="D56" s="18" t="n">
        <v>142.59</v>
      </c>
      <c r="E56" s="18" t="n">
        <v>142.37</v>
      </c>
      <c r="F56" s="18" t="n">
        <v>139.79</v>
      </c>
      <c r="G56" s="19">
        <f>HYPERLINK("https://www.tradingview.com/chart/?symbol=NSE:BANKINDIA","Chart 📈")</f>
        <v/>
      </c>
    </row>
    <row r="57" ht="16" customHeight="1">
      <c r="A57" s="20" t="inlineStr">
        <is>
          <t>NIFTY PSU BANK</t>
        </is>
      </c>
      <c r="B57" s="17" t="inlineStr">
        <is>
          <t>INDIANB</t>
        </is>
      </c>
      <c r="C57" s="18" t="n">
        <v>878</v>
      </c>
      <c r="D57" s="18" t="n">
        <v>868.66</v>
      </c>
      <c r="E57" s="18" t="n">
        <v>854.3200000000001</v>
      </c>
      <c r="F57" s="18" t="n">
        <v>828.15</v>
      </c>
      <c r="G57" s="19">
        <f>HYPERLINK("https://www.tradingview.com/chart/?symbol=NSE:INDIANB","Chart 📈")</f>
        <v/>
      </c>
    </row>
    <row r="58" ht="16" customHeight="1">
      <c r="A58" s="20" t="inlineStr">
        <is>
          <t>NIFTY PSU BANK</t>
        </is>
      </c>
      <c r="B58" s="17" t="inlineStr">
        <is>
          <t>MAHABANK</t>
        </is>
      </c>
      <c r="C58" s="18" t="n">
        <v>81.7</v>
      </c>
      <c r="D58" s="18" t="n">
        <v>80.51000000000001</v>
      </c>
      <c r="E58" s="18" t="n">
        <v>80.87</v>
      </c>
      <c r="F58" s="18" t="n">
        <v>73</v>
      </c>
      <c r="G58" s="19">
        <f>HYPERLINK("https://www.tradingview.com/chart/?symbol=NSE:MAHABANK","Chart 📈")</f>
        <v/>
      </c>
    </row>
    <row r="59" ht="16" customHeight="1">
      <c r="A59" s="20" t="inlineStr">
        <is>
          <t>NIFTY PSU BANK</t>
        </is>
      </c>
      <c r="B59" s="17" t="inlineStr">
        <is>
          <t>PNB</t>
        </is>
      </c>
      <c r="C59" s="18" t="n">
        <v>115.93</v>
      </c>
      <c r="D59" s="18" t="n">
        <v>115.02</v>
      </c>
      <c r="E59" s="18" t="n">
        <v>111.79</v>
      </c>
      <c r="F59" s="18" t="n">
        <v>110.1</v>
      </c>
      <c r="G59" s="19">
        <f>HYPERLINK("https://www.tradingview.com/chart/?symbol=NSE:PNB","Chart 📈")</f>
        <v/>
      </c>
    </row>
    <row r="60" ht="16" customHeight="1">
      <c r="A60" s="20" t="inlineStr">
        <is>
          <t>NIFTY PSU BANK</t>
        </is>
      </c>
      <c r="B60" s="17" t="inlineStr">
        <is>
          <t>UNIONBANK</t>
        </is>
      </c>
      <c r="C60" s="18" t="n">
        <v>186.98</v>
      </c>
      <c r="D60" s="18" t="n">
        <v>181.69</v>
      </c>
      <c r="E60" s="18" t="n">
        <v>175.65</v>
      </c>
      <c r="F60" s="18" t="n">
        <v>164.74</v>
      </c>
      <c r="G60" s="19">
        <f>HYPERLINK("https://www.tradingview.com/chart/?symbol=NSE:UNIONBANK","Chart 📈")</f>
        <v/>
      </c>
    </row>
    <row r="61" ht="16" customHeight="1">
      <c r="A61" s="12" t="inlineStr">
        <is>
          <t>NIFTY MIDSMALL IT &amp; TELECOM</t>
        </is>
      </c>
      <c r="B61" s="13" t="inlineStr">
        <is>
          <t>AFFLE</t>
        </is>
      </c>
      <c r="C61" s="14" t="n">
        <v>1710.8</v>
      </c>
      <c r="D61" s="14" t="n">
        <v>1657.16</v>
      </c>
      <c r="E61" s="14" t="n">
        <v>1585.87</v>
      </c>
      <c r="F61" s="14" t="n">
        <v>1591.28</v>
      </c>
      <c r="G61" s="15">
        <f>HYPERLINK("https://www.tradingview.com/chart/?symbol=NSE:AFFLE","Chart 📈")</f>
        <v/>
      </c>
    </row>
    <row r="62" ht="16" customHeight="1">
      <c r="A62" s="16" t="inlineStr">
        <is>
          <t>NIFTY MIDSMALL IT &amp; TELECOM</t>
        </is>
      </c>
      <c r="B62" s="13" t="inlineStr">
        <is>
          <t>COFORGE</t>
        </is>
      </c>
      <c r="C62" s="14" t="n">
        <v>1892.8</v>
      </c>
      <c r="D62" s="14" t="n">
        <v>1782.59</v>
      </c>
      <c r="E62" s="14" t="n">
        <v>1649.11</v>
      </c>
      <c r="F62" s="14" t="n">
        <v>1537.93</v>
      </c>
      <c r="G62" s="15">
        <f>HYPERLINK("https://www.tradingview.com/chart/?symbol=NSE:COFORGE","Chart 📈")</f>
        <v/>
      </c>
    </row>
    <row r="63" ht="16" customHeight="1">
      <c r="A63" s="16" t="inlineStr">
        <is>
          <t>NIFTY MIDSMALL IT &amp; TELECOM</t>
        </is>
      </c>
      <c r="B63" s="13" t="inlineStr">
        <is>
          <t>CYIENT</t>
        </is>
      </c>
      <c r="C63" s="14" t="n">
        <v>979.05</v>
      </c>
      <c r="D63" s="14" t="n">
        <v>882.0700000000001</v>
      </c>
      <c r="E63" s="14" t="n">
        <v>873.72</v>
      </c>
      <c r="F63" s="14" t="n">
        <v>955.3</v>
      </c>
      <c r="G63" s="15">
        <f>HYPERLINK("https://www.tradingview.com/chart/?symbol=NSE:CYIENT","Chart 📈")</f>
        <v/>
      </c>
    </row>
    <row r="64" ht="16" customHeight="1">
      <c r="A64" s="16" t="inlineStr">
        <is>
          <t>NIFTY MIDSMALL IT &amp; TELECOM</t>
        </is>
      </c>
      <c r="B64" s="13" t="inlineStr">
        <is>
          <t>HFCL</t>
        </is>
      </c>
      <c r="C64" s="14" t="n">
        <v>238.01</v>
      </c>
      <c r="D64" s="14" t="n">
        <v>220.42</v>
      </c>
      <c r="E64" s="14" t="n">
        <v>205.82</v>
      </c>
      <c r="F64" s="14" t="n">
        <v>144.04</v>
      </c>
      <c r="G64" s="15">
        <f>HYPERLINK("https://www.tradingview.com/chart/?symbol=NSE:HFCL","Chart 📈")</f>
        <v/>
      </c>
    </row>
    <row r="65" ht="16" customHeight="1">
      <c r="A65" s="16" t="inlineStr">
        <is>
          <t>NIFTY MIDSMALL IT &amp; TELECOM</t>
        </is>
      </c>
      <c r="B65" s="13" t="inlineStr">
        <is>
          <t>IDEA</t>
        </is>
      </c>
      <c r="C65" s="14" t="n">
        <v>15.19</v>
      </c>
      <c r="D65" s="14" t="n">
        <v>13.76</v>
      </c>
      <c r="E65" s="14" t="n">
        <v>13.55</v>
      </c>
      <c r="F65" s="14" t="n">
        <v>11.84</v>
      </c>
      <c r="G65" s="15">
        <f>HYPERLINK("https://www.tradingview.com/chart/?symbol=NSE:IDEA","Chart 📈")</f>
        <v/>
      </c>
    </row>
    <row r="66" ht="16" customHeight="1">
      <c r="A66" s="16" t="inlineStr">
        <is>
          <t>NIFTY MIDSMALL IT &amp; TELECOM</t>
        </is>
      </c>
      <c r="B66" s="13" t="inlineStr">
        <is>
          <t>OFSS</t>
        </is>
      </c>
      <c r="C66" s="14" t="n">
        <v>11729</v>
      </c>
      <c r="D66" s="14" t="n">
        <v>11602.42</v>
      </c>
      <c r="E66" s="14" t="n">
        <v>11120.03</v>
      </c>
      <c r="F66" s="14" t="n">
        <v>9409.35</v>
      </c>
      <c r="G66" s="15">
        <f>HYPERLINK("https://www.tradingview.com/chart/?symbol=NSE:OFSS","Chart 📈")</f>
        <v/>
      </c>
    </row>
    <row r="67" ht="16" customHeight="1">
      <c r="A67" s="16" t="inlineStr">
        <is>
          <t>NIFTY MIDSMALL IT &amp; TELECOM</t>
        </is>
      </c>
      <c r="B67" s="13" t="inlineStr">
        <is>
          <t>PERSISTENT</t>
        </is>
      </c>
      <c r="C67" s="14" t="n">
        <v>5655</v>
      </c>
      <c r="D67" s="14" t="n">
        <v>5503.21</v>
      </c>
      <c r="E67" s="14" t="n">
        <v>5300.95</v>
      </c>
      <c r="F67" s="14" t="n">
        <v>5289.09</v>
      </c>
      <c r="G67" s="15">
        <f>HYPERLINK("https://www.tradingview.com/chart/?symbol=NSE:PERSISTENT","Chart 📈")</f>
        <v/>
      </c>
    </row>
    <row r="68" ht="16" customHeight="1">
      <c r="A68" s="8" t="inlineStr">
        <is>
          <t>NIFTY CONSUMER DURABLES</t>
        </is>
      </c>
      <c r="B68" s="17" t="inlineStr">
        <is>
          <t>DIXON</t>
        </is>
      </c>
      <c r="C68" s="18" t="n">
        <v>14990</v>
      </c>
      <c r="D68" s="18" t="n">
        <v>14274.15</v>
      </c>
      <c r="E68" s="18" t="n">
        <v>13594.69</v>
      </c>
      <c r="F68" s="18" t="n">
        <v>13043.74</v>
      </c>
      <c r="G68" s="19">
        <f>HYPERLINK("https://www.tradingview.com/chart/?symbol=NSE:DIXON","Chart 📈")</f>
        <v/>
      </c>
    </row>
    <row r="69" ht="16" customHeight="1">
      <c r="A69" s="20" t="inlineStr">
        <is>
          <t>NIFTY CONSUMER DURABLES</t>
        </is>
      </c>
      <c r="B69" s="17" t="inlineStr">
        <is>
          <t>KALYANKJIL</t>
        </is>
      </c>
      <c r="C69" s="18" t="n">
        <v>612.6</v>
      </c>
      <c r="D69" s="18" t="n">
        <v>592.51</v>
      </c>
      <c r="E69" s="18" t="n">
        <v>536.76</v>
      </c>
      <c r="F69" s="18" t="n">
        <v>467.95</v>
      </c>
      <c r="G69" s="19">
        <f>HYPERLINK("https://www.tradingview.com/chart/?symbol=NSE:KALYANKJIL","Chart 📈")</f>
        <v/>
      </c>
    </row>
    <row r="70" ht="16" customHeight="1">
      <c r="A70" s="20" t="inlineStr">
        <is>
          <t>NIFTY CONSUMER DURABLES</t>
        </is>
      </c>
      <c r="B70" s="17" t="inlineStr">
        <is>
          <t>TITAN</t>
        </is>
      </c>
      <c r="C70" s="18" t="n">
        <v>5124.8</v>
      </c>
      <c r="D70" s="18" t="n">
        <v>4982.87</v>
      </c>
      <c r="E70" s="18" t="n">
        <v>4758.06</v>
      </c>
      <c r="F70" s="18" t="n">
        <v>4309.21</v>
      </c>
      <c r="G70" s="19">
        <f>HYPERLINK("https://www.tradingview.com/chart/?symbol=NSE:TITAN","Chart 📈")</f>
        <v/>
      </c>
    </row>
    <row r="71" ht="16" customHeight="1">
      <c r="A71" s="20" t="inlineStr">
        <is>
          <t>NIFTY CONSUMER DURABLES</t>
        </is>
      </c>
      <c r="B71" s="17" t="inlineStr">
        <is>
          <t>VGUARD</t>
        </is>
      </c>
      <c r="C71" s="18" t="n">
        <v>332.7</v>
      </c>
      <c r="D71" s="18" t="n">
        <v>324.13</v>
      </c>
      <c r="E71" s="18" t="n">
        <v>315.71</v>
      </c>
      <c r="F71" s="18" t="n">
        <v>323.05</v>
      </c>
      <c r="G71" s="19">
        <f>HYPERLINK("https://www.tradingview.com/chart/?symbol=NSE:VGUARD","Chart 📈")</f>
        <v/>
      </c>
    </row>
    <row r="72" ht="16" customHeight="1">
      <c r="A72" s="12" t="inlineStr">
        <is>
          <t>NIFTY BANK</t>
        </is>
      </c>
      <c r="B72" s="13" t="inlineStr">
        <is>
          <t>AUBANK</t>
        </is>
      </c>
      <c r="C72" s="14" t="n">
        <v>1128.6</v>
      </c>
      <c r="D72" s="14" t="n">
        <v>1078.96</v>
      </c>
      <c r="E72" s="14" t="n">
        <v>1052.24</v>
      </c>
      <c r="F72" s="14" t="n">
        <v>977.02</v>
      </c>
      <c r="G72" s="15">
        <f>HYPERLINK("https://www.tradingview.com/chart/?symbol=NSE:AUBANK","Chart 📈")</f>
        <v/>
      </c>
    </row>
    <row r="73" ht="16" customHeight="1">
      <c r="A73" s="16" t="inlineStr">
        <is>
          <t>NIFTY BANK</t>
        </is>
      </c>
      <c r="B73" s="13" t="inlineStr">
        <is>
          <t>IDFCFIRSTB</t>
        </is>
      </c>
      <c r="C73" s="14" t="n">
        <v>85</v>
      </c>
      <c r="D73" s="14" t="n">
        <v>84.8</v>
      </c>
      <c r="E73" s="14" t="n">
        <v>81.8</v>
      </c>
      <c r="F73" s="14" t="n">
        <v>76.45999999999999</v>
      </c>
      <c r="G73" s="15">
        <f>HYPERLINK("https://www.tradingview.com/chart/?symbol=NSE:IDFCFIRSTB","Chart 📈")</f>
        <v/>
      </c>
    </row>
    <row r="74" ht="16" customHeight="1">
      <c r="A74" s="16" t="inlineStr">
        <is>
          <t>NIFTY BANK</t>
        </is>
      </c>
      <c r="B74" s="13" t="inlineStr">
        <is>
          <t>INDUSINDBK</t>
        </is>
      </c>
      <c r="C74" s="14" t="n">
        <v>1015</v>
      </c>
      <c r="D74" s="14" t="n">
        <v>1013.14</v>
      </c>
      <c r="E74" s="14" t="n">
        <v>991.4400000000001</v>
      </c>
      <c r="F74" s="14" t="n">
        <v>911.71</v>
      </c>
      <c r="G74" s="15">
        <f>HYPERLINK("https://www.tradingview.com/chart/?symbol=NSE:INDUSINDBK","Chart 📈")</f>
        <v/>
      </c>
    </row>
    <row r="75" ht="16" customHeight="1">
      <c r="A75" s="8" t="inlineStr">
        <is>
          <t>NIFTY FMCG</t>
        </is>
      </c>
      <c r="B75" s="17" t="inlineStr">
        <is>
          <t>BALRAMCHIN</t>
        </is>
      </c>
      <c r="C75" s="18" t="n">
        <v>668.1</v>
      </c>
      <c r="D75" s="18" t="n">
        <v>653.98</v>
      </c>
      <c r="E75" s="18" t="n">
        <v>613.65</v>
      </c>
      <c r="F75" s="18" t="n">
        <v>545.14</v>
      </c>
      <c r="G75" s="19">
        <f>HYPERLINK("https://www.tradingview.com/chart/?symbol=NSE:BALRAMCHIN","Chart 📈")</f>
        <v/>
      </c>
    </row>
    <row r="76" ht="16" customHeight="1">
      <c r="A76" s="20" t="inlineStr">
        <is>
          <t>NIFTY FMCG</t>
        </is>
      </c>
      <c r="B76" s="17" t="inlineStr">
        <is>
          <t>RADICO</t>
        </is>
      </c>
      <c r="C76" s="18" t="n">
        <v>4630</v>
      </c>
      <c r="D76" s="18" t="n">
        <v>4524.15</v>
      </c>
      <c r="E76" s="18" t="n">
        <v>4222.79</v>
      </c>
      <c r="F76" s="18" t="n">
        <v>3539.54</v>
      </c>
      <c r="G76" s="19">
        <f>HYPERLINK("https://www.tradingview.com/chart/?symbol=NSE:RADICO","Chart 📈")</f>
        <v/>
      </c>
    </row>
    <row r="77" ht="16" customHeight="1">
      <c r="A77" s="20" t="inlineStr">
        <is>
          <t>NIFTY FMCG</t>
        </is>
      </c>
      <c r="B77" s="17" t="inlineStr">
        <is>
          <t>UNITDSPR</t>
        </is>
      </c>
      <c r="C77" s="18" t="n">
        <v>1550</v>
      </c>
      <c r="D77" s="18" t="n">
        <v>1515.11</v>
      </c>
      <c r="E77" s="18" t="n">
        <v>1451.38</v>
      </c>
      <c r="F77" s="18" t="n">
        <v>1367.16</v>
      </c>
      <c r="G77" s="19">
        <f>HYPERLINK("https://www.tradingview.com/chart/?symbol=NSE:UNITDSPR","Chart 📈")</f>
        <v/>
      </c>
    </row>
    <row r="78" ht="16" customHeight="1">
      <c r="A78" s="12" t="inlineStr">
        <is>
          <t>NIFTY ENERGY</t>
        </is>
      </c>
      <c r="B78" s="13" t="inlineStr">
        <is>
          <t>ABB</t>
        </is>
      </c>
      <c r="C78" s="14" t="n">
        <v>7627</v>
      </c>
      <c r="D78" s="14" t="n">
        <v>7494.34</v>
      </c>
      <c r="E78" s="14" t="n">
        <v>7282.79</v>
      </c>
      <c r="F78" s="14" t="n">
        <v>6456.74</v>
      </c>
      <c r="G78" s="15">
        <f>HYPERLINK("https://www.tradingview.com/chart/?symbol=NSE:ABB","Chart 📈")</f>
        <v/>
      </c>
    </row>
    <row r="79" ht="16" customHeight="1">
      <c r="A79" s="16" t="inlineStr">
        <is>
          <t>NIFTY ENERGY</t>
        </is>
      </c>
      <c r="B79" s="13" t="inlineStr">
        <is>
          <t>BHEL</t>
        </is>
      </c>
      <c r="C79" s="14" t="n">
        <v>417</v>
      </c>
      <c r="D79" s="14" t="n">
        <v>414.63</v>
      </c>
      <c r="E79" s="14" t="n">
        <v>405.47</v>
      </c>
      <c r="F79" s="14" t="n">
        <v>342.01</v>
      </c>
      <c r="G79" s="15">
        <f>HYPERLINK("https://www.tradingview.com/chart/?symbol=NSE:BHEL","Chart 📈")</f>
        <v/>
      </c>
    </row>
    <row r="80" ht="16" customHeight="1">
      <c r="A80" s="16" t="inlineStr">
        <is>
          <t>NIFTY ENERGY</t>
        </is>
      </c>
      <c r="B80" s="13" t="inlineStr">
        <is>
          <t>SIEMENS</t>
        </is>
      </c>
      <c r="C80" s="14" t="n">
        <v>4090.5</v>
      </c>
      <c r="D80" s="14" t="n">
        <v>3914.85</v>
      </c>
      <c r="E80" s="14" t="n">
        <v>3786.14</v>
      </c>
      <c r="F80" s="14" t="n">
        <v>3500.18</v>
      </c>
      <c r="G80" s="15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2026-08-25T11:34:33Z</dcterms:created>
  <dcterms:modified xmlns:dcterms="http://purl.org/dc/terms/" xmlns:xsi="http://www.w3.org/2001/XMLSchema-instance" xsi:type="dcterms:W3CDTF">2026-08-25T11:34:33Z</dcterms:modified>
</cp:coreProperties>
</file>