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ctor EMA Summary" sheetId="1" state="visible" r:id="rId1"/>
    <sheet xmlns:r="http://schemas.openxmlformats.org/officeDocument/2006/relationships"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20-Aug-2026  11:33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AUTO</t>
        </is>
      </c>
      <c r="B4" s="5" t="n">
        <v>15</v>
      </c>
      <c r="C4" s="5" t="n">
        <v>12</v>
      </c>
      <c r="D4" s="5" t="n">
        <v>12</v>
      </c>
      <c r="E4" s="5" t="n">
        <v>11</v>
      </c>
      <c r="F4" s="6" t="n">
        <v>0.8</v>
      </c>
      <c r="G4" s="6" t="n">
        <v>0.8</v>
      </c>
      <c r="H4" s="6" t="n">
        <v>0.733</v>
      </c>
      <c r="I4" s="7" t="n">
        <v>0.7776999999999999</v>
      </c>
    </row>
    <row r="5" ht="17" customHeight="1">
      <c r="A5" s="8" t="inlineStr">
        <is>
          <t>NIFTY REALTY</t>
        </is>
      </c>
      <c r="B5" s="9" t="n">
        <v>10</v>
      </c>
      <c r="C5" s="9" t="n">
        <v>5</v>
      </c>
      <c r="D5" s="9" t="n">
        <v>8</v>
      </c>
      <c r="E5" s="9" t="n">
        <v>9</v>
      </c>
      <c r="F5" s="10" t="n">
        <v>0.5</v>
      </c>
      <c r="G5" s="10" t="n">
        <v>0.8</v>
      </c>
      <c r="H5" s="10" t="n">
        <v>0.9</v>
      </c>
      <c r="I5" s="11" t="n">
        <v>0.7333</v>
      </c>
    </row>
    <row r="6" ht="17" customHeight="1">
      <c r="A6" s="4" t="inlineStr">
        <is>
          <t>NIFTY METAL</t>
        </is>
      </c>
      <c r="B6" s="5" t="n">
        <v>15</v>
      </c>
      <c r="C6" s="5" t="n">
        <v>9</v>
      </c>
      <c r="D6" s="5" t="n">
        <v>10</v>
      </c>
      <c r="E6" s="5" t="n">
        <v>11</v>
      </c>
      <c r="F6" s="6" t="n">
        <v>0.6</v>
      </c>
      <c r="G6" s="6" t="n">
        <v>0.667</v>
      </c>
      <c r="H6" s="6" t="n">
        <v>0.733</v>
      </c>
      <c r="I6" s="7" t="n">
        <v>0.6667000000000001</v>
      </c>
    </row>
    <row r="7" ht="17" customHeight="1">
      <c r="A7" s="8" t="inlineStr">
        <is>
          <t>NIFTY MIDSMALL IT &amp; TELECOM</t>
        </is>
      </c>
      <c r="B7" s="9" t="n">
        <v>20</v>
      </c>
      <c r="C7" s="9" t="n">
        <v>10</v>
      </c>
      <c r="D7" s="9" t="n">
        <v>13</v>
      </c>
      <c r="E7" s="9" t="n">
        <v>11</v>
      </c>
      <c r="F7" s="10" t="n">
        <v>0.5</v>
      </c>
      <c r="G7" s="10" t="n">
        <v>0.65</v>
      </c>
      <c r="H7" s="10" t="n">
        <v>0.55</v>
      </c>
      <c r="I7" s="11" t="n">
        <v>0.5667</v>
      </c>
    </row>
    <row r="8" ht="17" customHeight="1">
      <c r="A8" s="4" t="inlineStr">
        <is>
          <t>NIFTY PHARMA</t>
        </is>
      </c>
      <c r="B8" s="5" t="n">
        <v>20</v>
      </c>
      <c r="C8" s="5" t="n">
        <v>8</v>
      </c>
      <c r="D8" s="5" t="n">
        <v>11</v>
      </c>
      <c r="E8" s="5" t="n">
        <v>15</v>
      </c>
      <c r="F8" s="6" t="n">
        <v>0.4</v>
      </c>
      <c r="G8" s="6" t="n">
        <v>0.55</v>
      </c>
      <c r="H8" s="6" t="n">
        <v>0.75</v>
      </c>
      <c r="I8" s="7" t="n">
        <v>0.5667</v>
      </c>
    </row>
    <row r="9" ht="17" customHeight="1">
      <c r="A9" s="8" t="inlineStr">
        <is>
          <t>NIFTY MEDIA</t>
        </is>
      </c>
      <c r="B9" s="9" t="n">
        <v>10</v>
      </c>
      <c r="C9" s="9" t="n">
        <v>6</v>
      </c>
      <c r="D9" s="9" t="n">
        <v>5</v>
      </c>
      <c r="E9" s="9" t="n">
        <v>5</v>
      </c>
      <c r="F9" s="10" t="n">
        <v>0.6</v>
      </c>
      <c r="G9" s="10" t="n">
        <v>0.5</v>
      </c>
      <c r="H9" s="10" t="n">
        <v>0.5</v>
      </c>
      <c r="I9" s="11" t="n">
        <v>0.5333</v>
      </c>
    </row>
    <row r="10" ht="17" customHeight="1">
      <c r="A10" s="4" t="inlineStr">
        <is>
          <t>NIFTY CONSUMER DURABLES</t>
        </is>
      </c>
      <c r="B10" s="5" t="n">
        <v>15</v>
      </c>
      <c r="C10" s="5" t="n">
        <v>8</v>
      </c>
      <c r="D10" s="5" t="n">
        <v>8</v>
      </c>
      <c r="E10" s="5" t="n">
        <v>7</v>
      </c>
      <c r="F10" s="6" t="n">
        <v>0.5329999999999999</v>
      </c>
      <c r="G10" s="6" t="n">
        <v>0.5329999999999999</v>
      </c>
      <c r="H10" s="6" t="n">
        <v>0.467</v>
      </c>
      <c r="I10" s="7" t="n">
        <v>0.511</v>
      </c>
    </row>
    <row r="11" ht="17" customHeight="1">
      <c r="A11" s="8" t="inlineStr">
        <is>
          <t>NIFTY PSU BANK</t>
        </is>
      </c>
      <c r="B11" s="9" t="n">
        <v>12</v>
      </c>
      <c r="C11" s="9" t="n">
        <v>5</v>
      </c>
      <c r="D11" s="9" t="n">
        <v>6</v>
      </c>
      <c r="E11" s="9" t="n">
        <v>6</v>
      </c>
      <c r="F11" s="10" t="n">
        <v>0.417</v>
      </c>
      <c r="G11" s="10" t="n">
        <v>0.5</v>
      </c>
      <c r="H11" s="10" t="n">
        <v>0.5</v>
      </c>
      <c r="I11" s="11" t="n">
        <v>0.4722999999999999</v>
      </c>
    </row>
    <row r="12" ht="17" customHeight="1">
      <c r="A12" s="4" t="inlineStr">
        <is>
          <t>NIFTY FINANCIAL SERVICES</t>
        </is>
      </c>
      <c r="B12" s="5" t="n">
        <v>20</v>
      </c>
      <c r="C12" s="5" t="n">
        <v>10</v>
      </c>
      <c r="D12" s="5" t="n">
        <v>9</v>
      </c>
      <c r="E12" s="5" t="n">
        <v>8</v>
      </c>
      <c r="F12" s="6" t="n">
        <v>0.5</v>
      </c>
      <c r="G12" s="6" t="n">
        <v>0.45</v>
      </c>
      <c r="H12" s="6" t="n">
        <v>0.4</v>
      </c>
      <c r="I12" s="7" t="n">
        <v>0.45</v>
      </c>
    </row>
    <row r="13" ht="17" customHeight="1">
      <c r="A13" s="8" t="inlineStr">
        <is>
          <t>NIFTY OIL &amp; GAS</t>
        </is>
      </c>
      <c r="B13" s="9" t="n">
        <v>15</v>
      </c>
      <c r="C13" s="9" t="n">
        <v>6</v>
      </c>
      <c r="D13" s="9" t="n">
        <v>7</v>
      </c>
      <c r="E13" s="9" t="n">
        <v>7</v>
      </c>
      <c r="F13" s="10" t="n">
        <v>0.4</v>
      </c>
      <c r="G13" s="10" t="n">
        <v>0.467</v>
      </c>
      <c r="H13" s="10" t="n">
        <v>0.467</v>
      </c>
      <c r="I13" s="11" t="n">
        <v>0.4447</v>
      </c>
    </row>
    <row r="14" ht="17" customHeight="1">
      <c r="A14" s="4" t="inlineStr">
        <is>
          <t>NIFTY FMCG</t>
        </is>
      </c>
      <c r="B14" s="5" t="n">
        <v>15</v>
      </c>
      <c r="C14" s="5" t="n">
        <v>5</v>
      </c>
      <c r="D14" s="5" t="n">
        <v>5</v>
      </c>
      <c r="E14" s="5" t="n">
        <v>6</v>
      </c>
      <c r="F14" s="6" t="n">
        <v>0.333</v>
      </c>
      <c r="G14" s="6" t="n">
        <v>0.333</v>
      </c>
      <c r="H14" s="6" t="n">
        <v>0.4</v>
      </c>
      <c r="I14" s="7" t="n">
        <v>0.3553</v>
      </c>
    </row>
    <row r="15" ht="17" customHeight="1">
      <c r="A15" s="8" t="inlineStr">
        <is>
          <t>NIFTY BANK</t>
        </is>
      </c>
      <c r="B15" s="9" t="n">
        <v>12</v>
      </c>
      <c r="C15" s="9" t="n">
        <v>3</v>
      </c>
      <c r="D15" s="9" t="n">
        <v>4</v>
      </c>
      <c r="E15" s="9" t="n">
        <v>4</v>
      </c>
      <c r="F15" s="10" t="n">
        <v>0.25</v>
      </c>
      <c r="G15" s="10" t="n">
        <v>0.333</v>
      </c>
      <c r="H15" s="10" t="n">
        <v>0.333</v>
      </c>
      <c r="I15" s="11" t="n">
        <v>0.3053</v>
      </c>
    </row>
    <row r="16" ht="17" customHeight="1">
      <c r="A16" s="4" t="inlineStr">
        <is>
          <t>NIFTY IT</t>
        </is>
      </c>
      <c r="B16" s="5" t="n">
        <v>10</v>
      </c>
      <c r="C16" s="5" t="n">
        <v>1</v>
      </c>
      <c r="D16" s="5" t="n">
        <v>4</v>
      </c>
      <c r="E16" s="5" t="n">
        <v>2</v>
      </c>
      <c r="F16" s="6" t="n">
        <v>0.1</v>
      </c>
      <c r="G16" s="6" t="n">
        <v>0.4</v>
      </c>
      <c r="H16" s="6" t="n">
        <v>0.2</v>
      </c>
      <c r="I16" s="7" t="n">
        <v>0.2333</v>
      </c>
    </row>
    <row r="17" ht="17" customHeight="1">
      <c r="A17" s="8" t="inlineStr">
        <is>
          <t>NIFTY ENERGY</t>
        </is>
      </c>
      <c r="B17" s="9" t="n">
        <v>40</v>
      </c>
      <c r="C17" s="9" t="n">
        <v>1</v>
      </c>
      <c r="D17" s="9" t="n">
        <v>4</v>
      </c>
      <c r="E17" s="9" t="n">
        <v>13</v>
      </c>
      <c r="F17" s="10" t="n">
        <v>0.025</v>
      </c>
      <c r="G17" s="10" t="n">
        <v>0.1</v>
      </c>
      <c r="H17" s="10" t="n">
        <v>0.325</v>
      </c>
      <c r="I17" s="11" t="n">
        <v>0.15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AUTO</t>
        </is>
      </c>
      <c r="B3" s="13" t="inlineStr">
        <is>
          <t>ASHOKLEY</t>
        </is>
      </c>
      <c r="C3" s="14" t="n">
        <v>173.8</v>
      </c>
      <c r="D3" s="14" t="n">
        <v>170.58</v>
      </c>
      <c r="E3" s="14" t="n">
        <v>164.97</v>
      </c>
      <c r="F3" s="14" t="n">
        <v>161</v>
      </c>
      <c r="G3" s="15">
        <f>HYPERLINK("https://www.tradingview.com/chart/?symbol=NSE:ASHOKLEY","Chart 📈")</f>
        <v/>
      </c>
    </row>
    <row r="4" ht="16" customHeight="1">
      <c r="A4" s="16" t="inlineStr">
        <is>
          <t>NIFTY AUTO</t>
        </is>
      </c>
      <c r="B4" s="13" t="inlineStr">
        <is>
          <t>BAJAJ-AUTO</t>
        </is>
      </c>
      <c r="C4" s="14" t="n">
        <v>11793</v>
      </c>
      <c r="D4" s="14" t="n">
        <v>11455.45</v>
      </c>
      <c r="E4" s="14" t="n">
        <v>10935.38</v>
      </c>
      <c r="F4" s="14" t="n">
        <v>9953.309999999999</v>
      </c>
      <c r="G4" s="15">
        <f>HYPERLINK("https://www.tradingview.com/chart/?symbol=NSE:BAJAJ-AUTO","Chart 📈")</f>
        <v/>
      </c>
    </row>
    <row r="5" ht="16" customHeight="1">
      <c r="A5" s="16" t="inlineStr">
        <is>
          <t>NIFTY AUTO</t>
        </is>
      </c>
      <c r="B5" s="13" t="inlineStr">
        <is>
          <t>BALKRISIND</t>
        </is>
      </c>
      <c r="C5" s="14" t="n">
        <v>2378</v>
      </c>
      <c r="D5" s="14" t="n">
        <v>2357.73</v>
      </c>
      <c r="E5" s="14" t="n">
        <v>2279.45</v>
      </c>
      <c r="F5" s="14" t="n">
        <v>2275.68</v>
      </c>
      <c r="G5" s="15">
        <f>HYPERLINK("https://www.tradingview.com/chart/?symbol=NSE:BALKRISIND","Chart 📈")</f>
        <v/>
      </c>
    </row>
    <row r="6" ht="16" customHeight="1">
      <c r="A6" s="16" t="inlineStr">
        <is>
          <t>NIFTY AUTO</t>
        </is>
      </c>
      <c r="B6" s="13" t="inlineStr">
        <is>
          <t>BOSCHLTD</t>
        </is>
      </c>
      <c r="C6" s="14" t="n">
        <v>48750</v>
      </c>
      <c r="D6" s="14" t="n">
        <v>44875.11</v>
      </c>
      <c r="E6" s="14" t="n">
        <v>42206.67</v>
      </c>
      <c r="F6" s="14" t="n">
        <v>38679.95</v>
      </c>
      <c r="G6" s="15">
        <f>HYPERLINK("https://www.tradingview.com/chart/?symbol=NSE:BOSCHLTD","Chart 📈")</f>
        <v/>
      </c>
    </row>
    <row r="7" ht="16" customHeight="1">
      <c r="A7" s="16" t="inlineStr">
        <is>
          <t>NIFTY AUTO</t>
        </is>
      </c>
      <c r="B7" s="13" t="inlineStr">
        <is>
          <t>EICHERMOT</t>
        </is>
      </c>
      <c r="C7" s="14" t="n">
        <v>8042</v>
      </c>
      <c r="D7" s="14" t="n">
        <v>7908.76</v>
      </c>
      <c r="E7" s="14" t="n">
        <v>7662.97</v>
      </c>
      <c r="F7" s="14" t="n">
        <v>7208.4</v>
      </c>
      <c r="G7" s="15">
        <f>HYPERLINK("https://www.tradingview.com/chart/?symbol=NSE:EICHERMOT","Chart 📈")</f>
        <v/>
      </c>
    </row>
    <row r="8" ht="16" customHeight="1">
      <c r="A8" s="16" t="inlineStr">
        <is>
          <t>NIFTY AUTO</t>
        </is>
      </c>
      <c r="B8" s="13" t="inlineStr">
        <is>
          <t>EXIDEIND</t>
        </is>
      </c>
      <c r="C8" s="14" t="n">
        <v>464.1</v>
      </c>
      <c r="D8" s="14" t="n">
        <v>461.56</v>
      </c>
      <c r="E8" s="14" t="n">
        <v>434.04</v>
      </c>
      <c r="F8" s="14" t="n">
        <v>387.02</v>
      </c>
      <c r="G8" s="15">
        <f>HYPERLINK("https://www.tradingview.com/chart/?symbol=NSE:EXIDEIND","Chart 📈")</f>
        <v/>
      </c>
    </row>
    <row r="9" ht="16" customHeight="1">
      <c r="A9" s="16" t="inlineStr">
        <is>
          <t>NIFTY AUTO</t>
        </is>
      </c>
      <c r="B9" s="13" t="inlineStr">
        <is>
          <t>HEROMOTOCO</t>
        </is>
      </c>
      <c r="C9" s="14" t="n">
        <v>5740.5</v>
      </c>
      <c r="D9" s="14" t="n">
        <v>5570.9</v>
      </c>
      <c r="E9" s="14" t="n">
        <v>5298.1</v>
      </c>
      <c r="F9" s="14" t="n">
        <v>5196.08</v>
      </c>
      <c r="G9" s="15">
        <f>HYPERLINK("https://www.tradingview.com/chart/?symbol=NSE:HEROMOTOCO","Chart 📈")</f>
        <v/>
      </c>
    </row>
    <row r="10" ht="16" customHeight="1">
      <c r="A10" s="16" t="inlineStr">
        <is>
          <t>NIFTY AUTO</t>
        </is>
      </c>
      <c r="B10" s="13" t="inlineStr">
        <is>
          <t>M&amp;M</t>
        </is>
      </c>
      <c r="C10" s="14" t="n">
        <v>3424.8</v>
      </c>
      <c r="D10" s="14" t="n">
        <v>3374.34</v>
      </c>
      <c r="E10" s="14" t="n">
        <v>3270.93</v>
      </c>
      <c r="F10" s="14" t="n">
        <v>3271.03</v>
      </c>
      <c r="G10" s="15">
        <f>HYPERLINK("https://www.tradingview.com/chart/?symbol=NSE:M&amp;M","Chart 📈")</f>
        <v/>
      </c>
    </row>
    <row r="11" ht="16" customHeight="1">
      <c r="A11" s="16" t="inlineStr">
        <is>
          <t>NIFTY AUTO</t>
        </is>
      </c>
      <c r="B11" s="13" t="inlineStr">
        <is>
          <t>MOTHERSON</t>
        </is>
      </c>
      <c r="C11" s="14" t="n">
        <v>169.58</v>
      </c>
      <c r="D11" s="14" t="n">
        <v>161.49</v>
      </c>
      <c r="E11" s="14" t="n">
        <v>152.27</v>
      </c>
      <c r="F11" s="14" t="n">
        <v>131.78</v>
      </c>
      <c r="G11" s="15">
        <f>HYPERLINK("https://www.tradingview.com/chart/?symbol=NSE:MOTHERSON","Chart 📈")</f>
        <v/>
      </c>
    </row>
    <row r="12" ht="16" customHeight="1">
      <c r="A12" s="16" t="inlineStr">
        <is>
          <t>NIFTY AUTO</t>
        </is>
      </c>
      <c r="B12" s="13" t="inlineStr">
        <is>
          <t>TVSMOTOR</t>
        </is>
      </c>
      <c r="C12" s="14" t="n">
        <v>4390</v>
      </c>
      <c r="D12" s="14" t="n">
        <v>4236.79</v>
      </c>
      <c r="E12" s="14" t="n">
        <v>3965.79</v>
      </c>
      <c r="F12" s="14" t="n">
        <v>3662.43</v>
      </c>
      <c r="G12" s="15">
        <f>HYPERLINK("https://www.tradingview.com/chart/?symbol=NSE:TVSMOTOR","Chart 📈")</f>
        <v/>
      </c>
    </row>
    <row r="13" ht="16" customHeight="1">
      <c r="A13" s="8" t="inlineStr">
        <is>
          <t>NIFTY REALTY</t>
        </is>
      </c>
      <c r="B13" s="17" t="inlineStr">
        <is>
          <t>BRIGADE</t>
        </is>
      </c>
      <c r="C13" s="18" t="n">
        <v>625.75</v>
      </c>
      <c r="D13" s="18" t="n">
        <v>581.8099999999999</v>
      </c>
      <c r="E13" s="18" t="n">
        <v>559.88</v>
      </c>
      <c r="F13" s="18" t="n">
        <v>578.29</v>
      </c>
      <c r="G13" s="19">
        <f>HYPERLINK("https://www.tradingview.com/chart/?symbol=NSE:BRIGADE","Chart 📈")</f>
        <v/>
      </c>
    </row>
    <row r="14" ht="16" customHeight="1">
      <c r="A14" s="20" t="inlineStr">
        <is>
          <t>NIFTY REALTY</t>
        </is>
      </c>
      <c r="B14" s="17" t="inlineStr">
        <is>
          <t>DLF</t>
        </is>
      </c>
      <c r="C14" s="18" t="n">
        <v>676.15</v>
      </c>
      <c r="D14" s="18" t="n">
        <v>659.27</v>
      </c>
      <c r="E14" s="18" t="n">
        <v>642.61</v>
      </c>
      <c r="F14" s="18" t="n">
        <v>640.65</v>
      </c>
      <c r="G14" s="19">
        <f>HYPERLINK("https://www.tradingview.com/chart/?symbol=NSE:DLF","Chart 📈")</f>
        <v/>
      </c>
    </row>
    <row r="15" ht="16" customHeight="1">
      <c r="A15" s="20" t="inlineStr">
        <is>
          <t>NIFTY REALTY</t>
        </is>
      </c>
      <c r="B15" s="17" t="inlineStr">
        <is>
          <t>LODHA</t>
        </is>
      </c>
      <c r="C15" s="18" t="n">
        <v>1240</v>
      </c>
      <c r="D15" s="18" t="n">
        <v>1213.21</v>
      </c>
      <c r="E15" s="18" t="n">
        <v>1136.71</v>
      </c>
      <c r="F15" s="18" t="n">
        <v>1056.92</v>
      </c>
      <c r="G15" s="19">
        <f>HYPERLINK("https://www.tradingview.com/chart/?symbol=NSE:LODHA","Chart 📈")</f>
        <v/>
      </c>
    </row>
    <row r="16" ht="16" customHeight="1">
      <c r="A16" s="20" t="inlineStr">
        <is>
          <t>NIFTY REALTY</t>
        </is>
      </c>
      <c r="B16" s="17" t="inlineStr">
        <is>
          <t>OBEROIRLTY</t>
        </is>
      </c>
      <c r="C16" s="18" t="n">
        <v>1904.7</v>
      </c>
      <c r="D16" s="18" t="n">
        <v>1843.43</v>
      </c>
      <c r="E16" s="18" t="n">
        <v>1805.04</v>
      </c>
      <c r="F16" s="18" t="n">
        <v>1696.16</v>
      </c>
      <c r="G16" s="19">
        <f>HYPERLINK("https://www.tradingview.com/chart/?symbol=NSE:OBEROIRLTY","Chart 📈")</f>
        <v/>
      </c>
    </row>
    <row r="17" ht="16" customHeight="1">
      <c r="A17" s="20" t="inlineStr">
        <is>
          <t>NIFTY REALTY</t>
        </is>
      </c>
      <c r="B17" s="17" t="inlineStr">
        <is>
          <t>RAYMOND</t>
        </is>
      </c>
      <c r="C17" s="18" t="n">
        <v>656.65</v>
      </c>
      <c r="D17" s="18" t="n">
        <v>622.77</v>
      </c>
      <c r="E17" s="18" t="n">
        <v>596.87</v>
      </c>
      <c r="F17" s="18" t="n">
        <v>535.41</v>
      </c>
      <c r="G17" s="19">
        <f>HYPERLINK("https://www.tradingview.com/chart/?symbol=NSE:RAYMOND","Chart 📈")</f>
        <v/>
      </c>
    </row>
    <row r="18" ht="16" customHeight="1">
      <c r="A18" s="12" t="inlineStr">
        <is>
          <t>NIFTY METAL</t>
        </is>
      </c>
      <c r="B18" s="13" t="inlineStr">
        <is>
          <t>APLAPOLLO</t>
        </is>
      </c>
      <c r="C18" s="14" t="n">
        <v>2140</v>
      </c>
      <c r="D18" s="14" t="n">
        <v>1998.69</v>
      </c>
      <c r="E18" s="14" t="n">
        <v>1925.59</v>
      </c>
      <c r="F18" s="14" t="n">
        <v>1885.28</v>
      </c>
      <c r="G18" s="15">
        <f>HYPERLINK("https://www.tradingview.com/chart/?symbol=NSE:APLAPOLLO","Chart 📈")</f>
        <v/>
      </c>
    </row>
    <row r="19" ht="16" customHeight="1">
      <c r="A19" s="16" t="inlineStr">
        <is>
          <t>NIFTY METAL</t>
        </is>
      </c>
      <c r="B19" s="13" t="inlineStr">
        <is>
          <t>HINDALCO</t>
        </is>
      </c>
      <c r="C19" s="14" t="n">
        <v>1029.85</v>
      </c>
      <c r="D19" s="14" t="n">
        <v>1021.37</v>
      </c>
      <c r="E19" s="14" t="n">
        <v>1007.05</v>
      </c>
      <c r="F19" s="14" t="n">
        <v>946.1900000000001</v>
      </c>
      <c r="G19" s="15">
        <f>HYPERLINK("https://www.tradingview.com/chart/?symbol=NSE:HINDALCO","Chart 📈")</f>
        <v/>
      </c>
    </row>
    <row r="20" ht="16" customHeight="1">
      <c r="A20" s="16" t="inlineStr">
        <is>
          <t>NIFTY METAL</t>
        </is>
      </c>
      <c r="B20" s="13" t="inlineStr">
        <is>
          <t>HINDCOPPER</t>
        </is>
      </c>
      <c r="C20" s="14" t="n">
        <v>560.1</v>
      </c>
      <c r="D20" s="14" t="n">
        <v>531.4</v>
      </c>
      <c r="E20" s="14" t="n">
        <v>519.42</v>
      </c>
      <c r="F20" s="14" t="n">
        <v>482.27</v>
      </c>
      <c r="G20" s="15">
        <f>HYPERLINK("https://www.tradingview.com/chart/?symbol=NSE:HINDCOPPER","Chart 📈")</f>
        <v/>
      </c>
    </row>
    <row r="21" ht="16" customHeight="1">
      <c r="A21" s="16" t="inlineStr">
        <is>
          <t>NIFTY METAL</t>
        </is>
      </c>
      <c r="B21" s="13" t="inlineStr">
        <is>
          <t>HINDZINC</t>
        </is>
      </c>
      <c r="C21" s="14" t="n">
        <v>573.9</v>
      </c>
      <c r="D21" s="14" t="n">
        <v>564</v>
      </c>
      <c r="E21" s="14" t="n">
        <v>560.66</v>
      </c>
      <c r="F21" s="14" t="n">
        <v>550.83</v>
      </c>
      <c r="G21" s="15">
        <f>HYPERLINK("https://www.tradingview.com/chart/?symbol=NSE:HINDZINC","Chart 📈")</f>
        <v/>
      </c>
    </row>
    <row r="22" ht="16" customHeight="1">
      <c r="A22" s="16" t="inlineStr">
        <is>
          <t>NIFTY METAL</t>
        </is>
      </c>
      <c r="B22" s="13" t="inlineStr">
        <is>
          <t>JINDALSTEL</t>
        </is>
      </c>
      <c r="C22" s="14" t="n">
        <v>1118.9</v>
      </c>
      <c r="D22" s="14" t="n">
        <v>1096.8</v>
      </c>
      <c r="E22" s="14" t="n">
        <v>1100.57</v>
      </c>
      <c r="F22" s="14" t="n">
        <v>1112.96</v>
      </c>
      <c r="G22" s="15">
        <f>HYPERLINK("https://www.tradingview.com/chart/?symbol=NSE:JINDALSTEL","Chart 📈")</f>
        <v/>
      </c>
    </row>
    <row r="23" ht="16" customHeight="1">
      <c r="A23" s="16" t="inlineStr">
        <is>
          <t>NIFTY METAL</t>
        </is>
      </c>
      <c r="B23" s="13" t="inlineStr">
        <is>
          <t>JSWSTEEL</t>
        </is>
      </c>
      <c r="C23" s="14" t="n">
        <v>1299.7</v>
      </c>
      <c r="D23" s="14" t="n">
        <v>1278.12</v>
      </c>
      <c r="E23" s="14" t="n">
        <v>1266.18</v>
      </c>
      <c r="F23" s="14" t="n">
        <v>1217.47</v>
      </c>
      <c r="G23" s="15">
        <f>HYPERLINK("https://www.tradingview.com/chart/?symbol=NSE:JSWSTEEL","Chart 📈")</f>
        <v/>
      </c>
    </row>
    <row r="24" ht="16" customHeight="1">
      <c r="A24" s="16" t="inlineStr">
        <is>
          <t>NIFTY METAL</t>
        </is>
      </c>
      <c r="B24" s="13" t="inlineStr">
        <is>
          <t>NATIONALUM</t>
        </is>
      </c>
      <c r="C24" s="14" t="n">
        <v>385.6</v>
      </c>
      <c r="D24" s="14" t="n">
        <v>377.64</v>
      </c>
      <c r="E24" s="14" t="n">
        <v>372.16</v>
      </c>
      <c r="F24" s="14" t="n">
        <v>345.03</v>
      </c>
      <c r="G24" s="15">
        <f>HYPERLINK("https://www.tradingview.com/chart/?symbol=NSE:NATIONALUM","Chart 📈")</f>
        <v/>
      </c>
    </row>
    <row r="25" ht="16" customHeight="1">
      <c r="A25" s="16" t="inlineStr">
        <is>
          <t>NIFTY METAL</t>
        </is>
      </c>
      <c r="B25" s="13" t="inlineStr">
        <is>
          <t>SAIL</t>
        </is>
      </c>
      <c r="C25" s="14" t="n">
        <v>174.9</v>
      </c>
      <c r="D25" s="14" t="n">
        <v>171.24</v>
      </c>
      <c r="E25" s="14" t="n">
        <v>172.16</v>
      </c>
      <c r="F25" s="14" t="n">
        <v>162.98</v>
      </c>
      <c r="G25" s="15">
        <f>HYPERLINK("https://www.tradingview.com/chart/?symbol=NSE:SAIL","Chart 📈")</f>
        <v/>
      </c>
    </row>
    <row r="26" ht="16" customHeight="1">
      <c r="A26" s="16" t="inlineStr">
        <is>
          <t>NIFTY METAL</t>
        </is>
      </c>
      <c r="B26" s="13" t="inlineStr">
        <is>
          <t>WELCORP</t>
        </is>
      </c>
      <c r="C26" s="14" t="n">
        <v>2005.2</v>
      </c>
      <c r="D26" s="14" t="n">
        <v>1815.88</v>
      </c>
      <c r="E26" s="14" t="n">
        <v>1652.79</v>
      </c>
      <c r="F26" s="14" t="n">
        <v>1250.34</v>
      </c>
      <c r="G26" s="15">
        <f>HYPERLINK("https://www.tradingview.com/chart/?symbol=NSE:WELCORP","Chart 📈")</f>
        <v/>
      </c>
    </row>
    <row r="27" ht="16" customHeight="1">
      <c r="A27" s="8" t="inlineStr">
        <is>
          <t>NIFTY MIDSMALL IT &amp; TELECOM</t>
        </is>
      </c>
      <c r="B27" s="17" t="inlineStr">
        <is>
          <t>AFFLE</t>
        </is>
      </c>
      <c r="C27" s="18" t="n">
        <v>1729.5</v>
      </c>
      <c r="D27" s="18" t="n">
        <v>1644.45</v>
      </c>
      <c r="E27" s="18" t="n">
        <v>1575.15</v>
      </c>
      <c r="F27" s="18" t="n">
        <v>1589.83</v>
      </c>
      <c r="G27" s="19">
        <f>HYPERLINK("https://www.tradingview.com/chart/?symbol=NSE:AFFLE","Chart 📈")</f>
        <v/>
      </c>
    </row>
    <row r="28" ht="16" customHeight="1">
      <c r="A28" s="20" t="inlineStr">
        <is>
          <t>NIFTY MIDSMALL IT &amp; TELECOM</t>
        </is>
      </c>
      <c r="B28" s="17" t="inlineStr">
        <is>
          <t>COFORGE</t>
        </is>
      </c>
      <c r="C28" s="18" t="n">
        <v>1882</v>
      </c>
      <c r="D28" s="18" t="n">
        <v>1746.41</v>
      </c>
      <c r="E28" s="18" t="n">
        <v>1618.91</v>
      </c>
      <c r="F28" s="18" t="n">
        <v>1522.77</v>
      </c>
      <c r="G28" s="19">
        <f>HYPERLINK("https://www.tradingview.com/chart/?symbol=NSE:COFORGE","Chart 📈")</f>
        <v/>
      </c>
    </row>
    <row r="29" ht="16" customHeight="1">
      <c r="A29" s="20" t="inlineStr">
        <is>
          <t>NIFTY MIDSMALL IT &amp; TELECOM</t>
        </is>
      </c>
      <c r="B29" s="17" t="inlineStr">
        <is>
          <t>HFCL</t>
        </is>
      </c>
      <c r="C29" s="18" t="n">
        <v>223.9</v>
      </c>
      <c r="D29" s="18" t="n">
        <v>215.49</v>
      </c>
      <c r="E29" s="18" t="n">
        <v>202.02</v>
      </c>
      <c r="F29" s="18" t="n">
        <v>140.79</v>
      </c>
      <c r="G29" s="19">
        <f>HYPERLINK("https://www.tradingview.com/chart/?symbol=NSE:HFCL","Chart 📈")</f>
        <v/>
      </c>
    </row>
    <row r="30" ht="16" customHeight="1">
      <c r="A30" s="20" t="inlineStr">
        <is>
          <t>NIFTY MIDSMALL IT &amp; TELECOM</t>
        </is>
      </c>
      <c r="B30" s="17" t="inlineStr">
        <is>
          <t>IDEA</t>
        </is>
      </c>
      <c r="C30" s="18" t="n">
        <v>14.03</v>
      </c>
      <c r="D30" s="18" t="n">
        <v>13.52</v>
      </c>
      <c r="E30" s="18" t="n">
        <v>13.43</v>
      </c>
      <c r="F30" s="18" t="n">
        <v>11.71</v>
      </c>
      <c r="G30" s="19">
        <f>HYPERLINK("https://www.tradingview.com/chart/?symbol=NSE:IDEA","Chart 📈")</f>
        <v/>
      </c>
    </row>
    <row r="31" ht="16" customHeight="1">
      <c r="A31" s="20" t="inlineStr">
        <is>
          <t>NIFTY MIDSMALL IT &amp; TELECOM</t>
        </is>
      </c>
      <c r="B31" s="17" t="inlineStr">
        <is>
          <t>OFSS</t>
        </is>
      </c>
      <c r="C31" s="18" t="n">
        <v>11826</v>
      </c>
      <c r="D31" s="18" t="n">
        <v>11583.17</v>
      </c>
      <c r="E31" s="18" t="n">
        <v>11051.55</v>
      </c>
      <c r="F31" s="18" t="n">
        <v>9341.74</v>
      </c>
      <c r="G31" s="19">
        <f>HYPERLINK("https://www.tradingview.com/chart/?symbol=NSE:OFSS","Chart 📈")</f>
        <v/>
      </c>
    </row>
    <row r="32" ht="16" customHeight="1">
      <c r="A32" s="20" t="inlineStr">
        <is>
          <t>NIFTY MIDSMALL IT &amp; TELECOM</t>
        </is>
      </c>
      <c r="B32" s="17" t="inlineStr">
        <is>
          <t>PERSISTENT</t>
        </is>
      </c>
      <c r="C32" s="18" t="n">
        <v>5674</v>
      </c>
      <c r="D32" s="18" t="n">
        <v>5434.57</v>
      </c>
      <c r="E32" s="18" t="n">
        <v>5241.99</v>
      </c>
      <c r="F32" s="18" t="n">
        <v>5265.93</v>
      </c>
      <c r="G32" s="19">
        <f>HYPERLINK("https://www.tradingview.com/chart/?symbol=NSE:PERSISTENT","Chart 📈")</f>
        <v/>
      </c>
    </row>
    <row r="33" ht="16" customHeight="1">
      <c r="A33" s="20" t="inlineStr">
        <is>
          <t>NIFTY MIDSMALL IT &amp; TELECOM</t>
        </is>
      </c>
      <c r="B33" s="17" t="inlineStr">
        <is>
          <t>TATATECH</t>
        </is>
      </c>
      <c r="C33" s="18" t="n">
        <v>823.95</v>
      </c>
      <c r="D33" s="18" t="n">
        <v>808.89</v>
      </c>
      <c r="E33" s="18" t="n">
        <v>763.95</v>
      </c>
      <c r="F33" s="18" t="n">
        <v>686</v>
      </c>
      <c r="G33" s="19">
        <f>HYPERLINK("https://www.tradingview.com/chart/?symbol=NSE:TATATECH","Chart 📈")</f>
        <v/>
      </c>
    </row>
    <row r="34" ht="16" customHeight="1">
      <c r="A34" s="12" t="inlineStr">
        <is>
          <t>NIFTY PHARMA</t>
        </is>
      </c>
      <c r="B34" s="13" t="inlineStr">
        <is>
          <t>AJANTPHARM</t>
        </is>
      </c>
      <c r="C34" s="14" t="n">
        <v>3658.6</v>
      </c>
      <c r="D34" s="14" t="n">
        <v>3545.08</v>
      </c>
      <c r="E34" s="14" t="n">
        <v>3388.38</v>
      </c>
      <c r="F34" s="14" t="n">
        <v>3025.69</v>
      </c>
      <c r="G34" s="15">
        <f>HYPERLINK("https://www.tradingview.com/chart/?symbol=NSE:AJANTPHARM","Chart 📈")</f>
        <v/>
      </c>
    </row>
    <row r="35" ht="16" customHeight="1">
      <c r="A35" s="16" t="inlineStr">
        <is>
          <t>NIFTY PHARMA</t>
        </is>
      </c>
      <c r="B35" s="13" t="inlineStr">
        <is>
          <t>DIVISLAB</t>
        </is>
      </c>
      <c r="C35" s="14" t="n">
        <v>8570</v>
      </c>
      <c r="D35" s="14" t="n">
        <v>8206.379999999999</v>
      </c>
      <c r="E35" s="14" t="n">
        <v>7627.96</v>
      </c>
      <c r="F35" s="14" t="n">
        <v>6779.75</v>
      </c>
      <c r="G35" s="15">
        <f>HYPERLINK("https://www.tradingview.com/chart/?symbol=NSE:DIVISLAB","Chart 📈")</f>
        <v/>
      </c>
    </row>
    <row r="36" ht="16" customHeight="1">
      <c r="A36" s="16" t="inlineStr">
        <is>
          <t>NIFTY PHARMA</t>
        </is>
      </c>
      <c r="B36" s="13" t="inlineStr">
        <is>
          <t>GLAND</t>
        </is>
      </c>
      <c r="C36" s="14" t="n">
        <v>2820</v>
      </c>
      <c r="D36" s="14" t="n">
        <v>2712.61</v>
      </c>
      <c r="E36" s="14" t="n">
        <v>2513.99</v>
      </c>
      <c r="F36" s="14" t="n">
        <v>2122.75</v>
      </c>
      <c r="G36" s="15">
        <f>HYPERLINK("https://www.tradingview.com/chart/?symbol=NSE:GLAND","Chart 📈")</f>
        <v/>
      </c>
    </row>
    <row r="37" ht="16" customHeight="1">
      <c r="A37" s="16" t="inlineStr">
        <is>
          <t>NIFTY PHARMA</t>
        </is>
      </c>
      <c r="B37" s="13" t="inlineStr">
        <is>
          <t>GLENMARK</t>
        </is>
      </c>
      <c r="C37" s="14" t="n">
        <v>2332.9</v>
      </c>
      <c r="D37" s="14" t="n">
        <v>2273.82</v>
      </c>
      <c r="E37" s="14" t="n">
        <v>2251.71</v>
      </c>
      <c r="F37" s="14" t="n">
        <v>2156.47</v>
      </c>
      <c r="G37" s="15">
        <f>HYPERLINK("https://www.tradingview.com/chart/?symbol=NSE:GLENMARK","Chart 📈")</f>
        <v/>
      </c>
    </row>
    <row r="38" ht="16" customHeight="1">
      <c r="A38" s="16" t="inlineStr">
        <is>
          <t>NIFTY PHARMA</t>
        </is>
      </c>
      <c r="B38" s="13" t="inlineStr">
        <is>
          <t>IPCALAB</t>
        </is>
      </c>
      <c r="C38" s="14" t="n">
        <v>1900.1</v>
      </c>
      <c r="D38" s="14" t="n">
        <v>1797.84</v>
      </c>
      <c r="E38" s="14" t="n">
        <v>1739.17</v>
      </c>
      <c r="F38" s="14" t="n">
        <v>1577.91</v>
      </c>
      <c r="G38" s="15">
        <f>HYPERLINK("https://www.tradingview.com/chart/?symbol=NSE:IPCALAB","Chart 📈")</f>
        <v/>
      </c>
    </row>
    <row r="39" ht="16" customHeight="1">
      <c r="A39" s="16" t="inlineStr">
        <is>
          <t>NIFTY PHARMA</t>
        </is>
      </c>
      <c r="B39" s="13" t="inlineStr">
        <is>
          <t>JBCHEPHARM</t>
        </is>
      </c>
      <c r="C39" s="14" t="n">
        <v>2408.9</v>
      </c>
      <c r="D39" s="14" t="n">
        <v>2383.66</v>
      </c>
      <c r="E39" s="14" t="n">
        <v>2287.69</v>
      </c>
      <c r="F39" s="14" t="n">
        <v>2043.39</v>
      </c>
      <c r="G39" s="15">
        <f>HYPERLINK("https://www.tradingview.com/chart/?symbol=NSE:JBCHEPHARM","Chart 📈")</f>
        <v/>
      </c>
    </row>
    <row r="40" ht="16" customHeight="1">
      <c r="A40" s="16" t="inlineStr">
        <is>
          <t>NIFTY PHARMA</t>
        </is>
      </c>
      <c r="B40" s="13" t="inlineStr">
        <is>
          <t>LAURUSLABS</t>
        </is>
      </c>
      <c r="C40" s="14" t="n">
        <v>1825</v>
      </c>
      <c r="D40" s="14" t="n">
        <v>1777.52</v>
      </c>
      <c r="E40" s="14" t="n">
        <v>1642.47</v>
      </c>
      <c r="F40" s="14" t="n">
        <v>1300.15</v>
      </c>
      <c r="G40" s="15">
        <f>HYPERLINK("https://www.tradingview.com/chart/?symbol=NSE:LAURUSLABS","Chart 📈")</f>
        <v/>
      </c>
    </row>
    <row r="41" ht="16" customHeight="1">
      <c r="A41" s="16" t="inlineStr">
        <is>
          <t>NIFTY PHARMA</t>
        </is>
      </c>
      <c r="B41" s="13" t="inlineStr">
        <is>
          <t>TORNTPHARM</t>
        </is>
      </c>
      <c r="C41" s="14" t="n">
        <v>5005</v>
      </c>
      <c r="D41" s="14" t="n">
        <v>4937.44</v>
      </c>
      <c r="E41" s="14" t="n">
        <v>4820.28</v>
      </c>
      <c r="F41" s="14" t="n">
        <v>4358.46</v>
      </c>
      <c r="G41" s="15">
        <f>HYPERLINK("https://www.tradingview.com/chart/?symbol=NSE:TORNTPHARM","Chart 📈")</f>
        <v/>
      </c>
    </row>
    <row r="42" ht="16" customHeight="1">
      <c r="A42" s="8" t="inlineStr">
        <is>
          <t>NIFTY MEDIA</t>
        </is>
      </c>
      <c r="B42" s="17" t="inlineStr">
        <is>
          <t>NAZARA</t>
        </is>
      </c>
      <c r="C42" s="18" t="n">
        <v>357.5</v>
      </c>
      <c r="D42" s="18" t="n">
        <v>341.48</v>
      </c>
      <c r="E42" s="18" t="n">
        <v>320.27</v>
      </c>
      <c r="F42" s="18" t="n">
        <v>289.64</v>
      </c>
      <c r="G42" s="19">
        <f>HYPERLINK("https://www.tradingview.com/chart/?symbol=NSE:NAZARA","Chart 📈")</f>
        <v/>
      </c>
    </row>
    <row r="43" ht="16" customHeight="1">
      <c r="A43" s="20" t="inlineStr">
        <is>
          <t>NIFTY MEDIA</t>
        </is>
      </c>
      <c r="B43" s="17" t="inlineStr">
        <is>
          <t>PVRINOX</t>
        </is>
      </c>
      <c r="C43" s="18" t="n">
        <v>1219.5</v>
      </c>
      <c r="D43" s="18" t="n">
        <v>1148.6</v>
      </c>
      <c r="E43" s="18" t="n">
        <v>1084.36</v>
      </c>
      <c r="F43" s="18" t="n">
        <v>1043.19</v>
      </c>
      <c r="G43" s="19">
        <f>HYPERLINK("https://www.tradingview.com/chart/?symbol=NSE:PVRINOX","Chart 📈")</f>
        <v/>
      </c>
    </row>
    <row r="44" ht="16" customHeight="1">
      <c r="A44" s="20" t="inlineStr">
        <is>
          <t>NIFTY MEDIA</t>
        </is>
      </c>
      <c r="B44" s="17" t="inlineStr">
        <is>
          <t>SAREGAMA</t>
        </is>
      </c>
      <c r="C44" s="18" t="n">
        <v>520.2</v>
      </c>
      <c r="D44" s="18" t="n">
        <v>517.3</v>
      </c>
      <c r="E44" s="18" t="n">
        <v>492.4</v>
      </c>
      <c r="F44" s="18" t="n">
        <v>433.42</v>
      </c>
      <c r="G44" s="19">
        <f>HYPERLINK("https://www.tradingview.com/chart/?symbol=NSE:SAREGAMA","Chart 📈")</f>
        <v/>
      </c>
    </row>
    <row r="45" ht="16" customHeight="1">
      <c r="A45" s="20" t="inlineStr">
        <is>
          <t>NIFTY MEDIA</t>
        </is>
      </c>
      <c r="B45" s="17" t="inlineStr">
        <is>
          <t>ZEEL</t>
        </is>
      </c>
      <c r="C45" s="18" t="n">
        <v>108.03</v>
      </c>
      <c r="D45" s="18" t="n">
        <v>101.74</v>
      </c>
      <c r="E45" s="18" t="n">
        <v>101.42</v>
      </c>
      <c r="F45" s="18" t="n">
        <v>98.27</v>
      </c>
      <c r="G45" s="19">
        <f>HYPERLINK("https://www.tradingview.com/chart/?symbol=NSE:ZEEL","Chart 📈")</f>
        <v/>
      </c>
    </row>
    <row r="46" ht="16" customHeight="1">
      <c r="A46" s="12" t="inlineStr">
        <is>
          <t>NIFTY CONSUMER DURABLES</t>
        </is>
      </c>
      <c r="B46" s="13" t="inlineStr">
        <is>
          <t>CENTURYPLY</t>
        </is>
      </c>
      <c r="C46" s="14" t="n">
        <v>772.75</v>
      </c>
      <c r="D46" s="14" t="n">
        <v>768.92</v>
      </c>
      <c r="E46" s="14" t="n">
        <v>770.26</v>
      </c>
      <c r="F46" s="14" t="n">
        <v>763.97</v>
      </c>
      <c r="G46" s="15">
        <f>HYPERLINK("https://www.tradingview.com/chart/?symbol=NSE:CENTURYPLY","Chart 📈")</f>
        <v/>
      </c>
    </row>
    <row r="47" ht="16" customHeight="1">
      <c r="A47" s="16" t="inlineStr">
        <is>
          <t>NIFTY CONSUMER DURABLES</t>
        </is>
      </c>
      <c r="B47" s="13" t="inlineStr">
        <is>
          <t>DIXON</t>
        </is>
      </c>
      <c r="C47" s="14" t="n">
        <v>14850</v>
      </c>
      <c r="D47" s="14" t="n">
        <v>14087.06</v>
      </c>
      <c r="E47" s="14" t="n">
        <v>13440.31</v>
      </c>
      <c r="F47" s="14" t="n">
        <v>12978.14</v>
      </c>
      <c r="G47" s="15">
        <f>HYPERLINK("https://www.tradingview.com/chart/?symbol=NSE:DIXON","Chart 📈")</f>
        <v/>
      </c>
    </row>
    <row r="48" ht="16" customHeight="1">
      <c r="A48" s="16" t="inlineStr">
        <is>
          <t>NIFTY CONSUMER DURABLES</t>
        </is>
      </c>
      <c r="B48" s="13" t="inlineStr">
        <is>
          <t>KAJARIACER</t>
        </is>
      </c>
      <c r="C48" s="14" t="n">
        <v>1220.7</v>
      </c>
      <c r="D48" s="14" t="n">
        <v>1218.98</v>
      </c>
      <c r="E48" s="14" t="n">
        <v>1194.26</v>
      </c>
      <c r="F48" s="14" t="n">
        <v>1134.05</v>
      </c>
      <c r="G48" s="15">
        <f>HYPERLINK("https://www.tradingview.com/chart/?symbol=NSE:KAJARIACER","Chart 📈")</f>
        <v/>
      </c>
    </row>
    <row r="49" ht="16" customHeight="1">
      <c r="A49" s="16" t="inlineStr">
        <is>
          <t>NIFTY CONSUMER DURABLES</t>
        </is>
      </c>
      <c r="B49" s="13" t="inlineStr">
        <is>
          <t>KALYANKJIL</t>
        </is>
      </c>
      <c r="C49" s="14" t="n">
        <v>596</v>
      </c>
      <c r="D49" s="14" t="n">
        <v>586.97</v>
      </c>
      <c r="E49" s="14" t="n">
        <v>527.66</v>
      </c>
      <c r="F49" s="14" t="n">
        <v>463.64</v>
      </c>
      <c r="G49" s="15">
        <f>HYPERLINK("https://www.tradingview.com/chart/?symbol=NSE:KALYANKJIL","Chart 📈")</f>
        <v/>
      </c>
    </row>
    <row r="50" ht="16" customHeight="1">
      <c r="A50" s="16" t="inlineStr">
        <is>
          <t>NIFTY CONSUMER DURABLES</t>
        </is>
      </c>
      <c r="B50" s="13" t="inlineStr">
        <is>
          <t>TITAN</t>
        </is>
      </c>
      <c r="C50" s="14" t="n">
        <v>5068</v>
      </c>
      <c r="D50" s="14" t="n">
        <v>4955.49</v>
      </c>
      <c r="E50" s="14" t="n">
        <v>4729.09</v>
      </c>
      <c r="F50" s="14" t="n">
        <v>4288.46</v>
      </c>
      <c r="G50" s="15">
        <f>HYPERLINK("https://www.tradingview.com/chart/?symbol=NSE:TITAN","Chart 📈")</f>
        <v/>
      </c>
    </row>
    <row r="51" ht="16" customHeight="1">
      <c r="A51" s="16" t="inlineStr">
        <is>
          <t>NIFTY CONSUMER DURABLES</t>
        </is>
      </c>
      <c r="B51" s="13" t="inlineStr">
        <is>
          <t>VGUARD</t>
        </is>
      </c>
      <c r="C51" s="14" t="n">
        <v>336.85</v>
      </c>
      <c r="D51" s="14" t="n">
        <v>321.96</v>
      </c>
      <c r="E51" s="14" t="n">
        <v>314.09</v>
      </c>
      <c r="F51" s="14" t="n">
        <v>323.15</v>
      </c>
      <c r="G51" s="15">
        <f>HYPERLINK("https://www.tradingview.com/chart/?symbol=NSE:VGUARD","Chart 📈")</f>
        <v/>
      </c>
    </row>
    <row r="52" ht="16" customHeight="1">
      <c r="A52" s="8" t="inlineStr">
        <is>
          <t>NIFTY PSU BANK</t>
        </is>
      </c>
      <c r="B52" s="17" t="inlineStr">
        <is>
          <t>BANKINDIA</t>
        </is>
      </c>
      <c r="C52" s="18" t="n">
        <v>142.8</v>
      </c>
      <c r="D52" s="18" t="n">
        <v>142.45</v>
      </c>
      <c r="E52" s="18" t="n">
        <v>142.29</v>
      </c>
      <c r="F52" s="18" t="n">
        <v>139.8</v>
      </c>
      <c r="G52" s="19">
        <f>HYPERLINK("https://www.tradingview.com/chart/?symbol=NSE:BANKINDIA","Chart 📈")</f>
        <v/>
      </c>
    </row>
    <row r="53" ht="16" customHeight="1">
      <c r="A53" s="20" t="inlineStr">
        <is>
          <t>NIFTY PSU BANK</t>
        </is>
      </c>
      <c r="B53" s="17" t="inlineStr">
        <is>
          <t>INDIANB</t>
        </is>
      </c>
      <c r="C53" s="18" t="n">
        <v>871</v>
      </c>
      <c r="D53" s="18" t="n">
        <v>866.22</v>
      </c>
      <c r="E53" s="18" t="n">
        <v>851.5700000000001</v>
      </c>
      <c r="F53" s="18" t="n">
        <v>826.73</v>
      </c>
      <c r="G53" s="19">
        <f>HYPERLINK("https://www.tradingview.com/chart/?symbol=NSE:INDIANB","Chart 📈")</f>
        <v/>
      </c>
    </row>
    <row r="54" ht="16" customHeight="1">
      <c r="A54" s="20" t="inlineStr">
        <is>
          <t>NIFTY PSU BANK</t>
        </is>
      </c>
      <c r="B54" s="17" t="inlineStr">
        <is>
          <t>PNB</t>
        </is>
      </c>
      <c r="C54" s="18" t="n">
        <v>118</v>
      </c>
      <c r="D54" s="18" t="n">
        <v>114.65</v>
      </c>
      <c r="E54" s="18" t="n">
        <v>111.24</v>
      </c>
      <c r="F54" s="18" t="n">
        <v>110.07</v>
      </c>
      <c r="G54" s="19">
        <f>HYPERLINK("https://www.tradingview.com/chart/?symbol=NSE:PNB","Chart 📈")</f>
        <v/>
      </c>
    </row>
    <row r="55" ht="16" customHeight="1">
      <c r="A55" s="20" t="inlineStr">
        <is>
          <t>NIFTY PSU BANK</t>
        </is>
      </c>
      <c r="B55" s="17" t="inlineStr">
        <is>
          <t>UNIONBANK</t>
        </is>
      </c>
      <c r="C55" s="18" t="n">
        <v>184.68</v>
      </c>
      <c r="D55" s="18" t="n">
        <v>180.56</v>
      </c>
      <c r="E55" s="18" t="n">
        <v>174.41</v>
      </c>
      <c r="F55" s="18" t="n">
        <v>164.36</v>
      </c>
      <c r="G55" s="19">
        <f>HYPERLINK("https://www.tradingview.com/chart/?symbol=NSE:UNIONBANK","Chart 📈")</f>
        <v/>
      </c>
    </row>
    <row r="56" ht="16" customHeight="1">
      <c r="A56" s="12" t="inlineStr">
        <is>
          <t>NIFTY FINANCIAL SERVICES</t>
        </is>
      </c>
      <c r="B56" s="13" t="inlineStr">
        <is>
          <t>BAJAJFINSV</t>
        </is>
      </c>
      <c r="C56" s="14" t="n">
        <v>2016</v>
      </c>
      <c r="D56" s="14" t="n">
        <v>1993.83</v>
      </c>
      <c r="E56" s="14" t="n">
        <v>1924.71</v>
      </c>
      <c r="F56" s="14" t="n">
        <v>1896.57</v>
      </c>
      <c r="G56" s="15">
        <f>HYPERLINK("https://www.tradingview.com/chart/?symbol=NSE:BAJAJFINSV","Chart 📈")</f>
        <v/>
      </c>
    </row>
    <row r="57" ht="16" customHeight="1">
      <c r="A57" s="16" t="inlineStr">
        <is>
          <t>NIFTY FINANCIAL SERVICES</t>
        </is>
      </c>
      <c r="B57" s="13" t="inlineStr">
        <is>
          <t>BAJFINANCE</t>
        </is>
      </c>
      <c r="C57" s="14" t="n">
        <v>1095</v>
      </c>
      <c r="D57" s="14" t="n">
        <v>1085.73</v>
      </c>
      <c r="E57" s="14" t="n">
        <v>1043.95</v>
      </c>
      <c r="F57" s="14" t="n">
        <v>975.29</v>
      </c>
      <c r="G57" s="15">
        <f>HYPERLINK("https://www.tradingview.com/chart/?symbol=NSE:BAJFINANCE","Chart 📈")</f>
        <v/>
      </c>
    </row>
    <row r="58" ht="16" customHeight="1">
      <c r="A58" s="16" t="inlineStr">
        <is>
          <t>NIFTY FINANCIAL SERVICES</t>
        </is>
      </c>
      <c r="B58" s="13" t="inlineStr">
        <is>
          <t>CHOLAFIN</t>
        </is>
      </c>
      <c r="C58" s="14" t="n">
        <v>1888.9</v>
      </c>
      <c r="D58" s="14" t="n">
        <v>1863.67</v>
      </c>
      <c r="E58" s="14" t="n">
        <v>1793.82</v>
      </c>
      <c r="F58" s="14" t="n">
        <v>1673.54</v>
      </c>
      <c r="G58" s="15">
        <f>HYPERLINK("https://www.tradingview.com/chart/?symbol=NSE:CHOLAFIN","Chart 📈")</f>
        <v/>
      </c>
    </row>
    <row r="59" ht="16" customHeight="1">
      <c r="A59" s="16" t="inlineStr">
        <is>
          <t>NIFTY FINANCIAL SERVICES</t>
        </is>
      </c>
      <c r="B59" s="13" t="inlineStr">
        <is>
          <t>HDFCAMC</t>
        </is>
      </c>
      <c r="C59" s="14" t="n">
        <v>2624</v>
      </c>
      <c r="D59" s="14" t="n">
        <v>2556.43</v>
      </c>
      <c r="E59" s="14" t="n">
        <v>2585.37</v>
      </c>
      <c r="F59" s="14" t="n">
        <v>2613.29</v>
      </c>
      <c r="G59" s="15">
        <f>HYPERLINK("https://www.tradingview.com/chart/?symbol=NSE:HDFCAMC","Chart 📈")</f>
        <v/>
      </c>
    </row>
    <row r="60" ht="16" customHeight="1">
      <c r="A60" s="16" t="inlineStr">
        <is>
          <t>NIFTY FINANCIAL SERVICES</t>
        </is>
      </c>
      <c r="B60" s="13" t="inlineStr">
        <is>
          <t>KOTAKBANK</t>
        </is>
      </c>
      <c r="C60" s="14" t="n">
        <v>397.35</v>
      </c>
      <c r="D60" s="14" t="n">
        <v>391.15</v>
      </c>
      <c r="E60" s="14" t="n">
        <v>389.59</v>
      </c>
      <c r="F60" s="14" t="n">
        <v>395.08</v>
      </c>
      <c r="G60" s="15">
        <f>HYPERLINK("https://www.tradingview.com/chart/?symbol=NSE:KOTAKBANK","Chart 📈")</f>
        <v/>
      </c>
    </row>
    <row r="61" ht="16" customHeight="1">
      <c r="A61" s="16" t="inlineStr">
        <is>
          <t>NIFTY FINANCIAL SERVICES</t>
        </is>
      </c>
      <c r="B61" s="13" t="inlineStr">
        <is>
          <t>MCX</t>
        </is>
      </c>
      <c r="C61" s="14" t="n">
        <v>3126</v>
      </c>
      <c r="D61" s="14" t="n">
        <v>2868.76</v>
      </c>
      <c r="E61" s="14" t="n">
        <v>2837.72</v>
      </c>
      <c r="F61" s="14" t="n">
        <v>2577.23</v>
      </c>
      <c r="G61" s="15">
        <f>HYPERLINK("https://www.tradingview.com/chart/?symbol=NSE:MCX","Chart 📈")</f>
        <v/>
      </c>
    </row>
    <row r="62" ht="16" customHeight="1">
      <c r="A62" s="16" t="inlineStr">
        <is>
          <t>NIFTY FINANCIAL SERVICES</t>
        </is>
      </c>
      <c r="B62" s="13" t="inlineStr">
        <is>
          <t>SHRIRAMFIN</t>
        </is>
      </c>
      <c r="C62" s="14" t="n">
        <v>1128.2</v>
      </c>
      <c r="D62" s="14" t="n">
        <v>1098.14</v>
      </c>
      <c r="E62" s="14" t="n">
        <v>1057.41</v>
      </c>
      <c r="F62" s="14" t="n">
        <v>951.25</v>
      </c>
      <c r="G62" s="15">
        <f>HYPERLINK("https://www.tradingview.com/chart/?symbol=NSE:SHRIRAMFIN","Chart 📈")</f>
        <v/>
      </c>
    </row>
    <row r="63" ht="16" customHeight="1">
      <c r="A63" s="8" t="inlineStr">
        <is>
          <t>NIFTY OIL &amp; GAS</t>
        </is>
      </c>
      <c r="B63" s="17" t="inlineStr">
        <is>
          <t>AEGISLOG</t>
        </is>
      </c>
      <c r="C63" s="18" t="n">
        <v>1336.2</v>
      </c>
      <c r="D63" s="18" t="n">
        <v>1313.68</v>
      </c>
      <c r="E63" s="18" t="n">
        <v>1214.27</v>
      </c>
      <c r="F63" s="18" t="n">
        <v>927.17</v>
      </c>
      <c r="G63" s="19">
        <f>HYPERLINK("https://www.tradingview.com/chart/?symbol=NSE:AEGISLOG","Chart 📈")</f>
        <v/>
      </c>
    </row>
    <row r="64" ht="16" customHeight="1">
      <c r="A64" s="20" t="inlineStr">
        <is>
          <t>NIFTY OIL &amp; GAS</t>
        </is>
      </c>
      <c r="B64" s="17" t="inlineStr">
        <is>
          <t>CASTROLIND</t>
        </is>
      </c>
      <c r="C64" s="18" t="n">
        <v>188.57</v>
      </c>
      <c r="D64" s="18" t="n">
        <v>184.92</v>
      </c>
      <c r="E64" s="18" t="n">
        <v>181.8</v>
      </c>
      <c r="F64" s="18" t="n">
        <v>180.55</v>
      </c>
      <c r="G64" s="19">
        <f>HYPERLINK("https://www.tradingview.com/chart/?symbol=NSE:CASTROLIND","Chart 📈")</f>
        <v/>
      </c>
    </row>
    <row r="65" ht="16" customHeight="1">
      <c r="A65" s="20" t="inlineStr">
        <is>
          <t>NIFTY OIL &amp; GAS</t>
        </is>
      </c>
      <c r="B65" s="17" t="inlineStr">
        <is>
          <t>MGL</t>
        </is>
      </c>
      <c r="C65" s="18" t="n">
        <v>1137.8</v>
      </c>
      <c r="D65" s="18" t="n">
        <v>1108.42</v>
      </c>
      <c r="E65" s="18" t="n">
        <v>1102.44</v>
      </c>
      <c r="F65" s="18" t="n">
        <v>1118.28</v>
      </c>
      <c r="G65" s="19">
        <f>HYPERLINK("https://www.tradingview.com/chart/?symbol=NSE:MGL","Chart 📈")</f>
        <v/>
      </c>
    </row>
    <row r="66" ht="16" customHeight="1">
      <c r="A66" s="20" t="inlineStr">
        <is>
          <t>NIFTY OIL &amp; GAS</t>
        </is>
      </c>
      <c r="B66" s="17" t="inlineStr">
        <is>
          <t>OIL</t>
        </is>
      </c>
      <c r="C66" s="18" t="n">
        <v>480.9</v>
      </c>
      <c r="D66" s="18" t="n">
        <v>462.13</v>
      </c>
      <c r="E66" s="18" t="n">
        <v>454.05</v>
      </c>
      <c r="F66" s="18" t="n">
        <v>446.76</v>
      </c>
      <c r="G66" s="19">
        <f>HYPERLINK("https://www.tradingview.com/chart/?symbol=NSE:OIL","Chart 📈")</f>
        <v/>
      </c>
    </row>
    <row r="67" ht="16" customHeight="1">
      <c r="A67" s="20" t="inlineStr">
        <is>
          <t>NIFTY OIL &amp; GAS</t>
        </is>
      </c>
      <c r="B67" s="17" t="inlineStr">
        <is>
          <t>PETRONET</t>
        </is>
      </c>
      <c r="C67" s="18" t="n">
        <v>291.4</v>
      </c>
      <c r="D67" s="18" t="n">
        <v>281.85</v>
      </c>
      <c r="E67" s="18" t="n">
        <v>279.1</v>
      </c>
      <c r="F67" s="18" t="n">
        <v>275.96</v>
      </c>
      <c r="G67" s="19">
        <f>HYPERLINK("https://www.tradingview.com/chart/?symbol=NSE:PETRONET","Chart 📈")</f>
        <v/>
      </c>
    </row>
    <row r="68" ht="16" customHeight="1">
      <c r="A68" s="12" t="inlineStr">
        <is>
          <t>NIFTY FMCG</t>
        </is>
      </c>
      <c r="B68" s="13" t="inlineStr">
        <is>
          <t>BALRAMCHIN</t>
        </is>
      </c>
      <c r="C68" s="14" t="n">
        <v>767.1</v>
      </c>
      <c r="D68" s="14" t="n">
        <v>639.5599999999999</v>
      </c>
      <c r="E68" s="14" t="n">
        <v>602.61</v>
      </c>
      <c r="F68" s="14" t="n">
        <v>539.42</v>
      </c>
      <c r="G68" s="15">
        <f>HYPERLINK("https://www.tradingview.com/chart/?symbol=NSE:BALRAMCHIN","Chart 📈")</f>
        <v/>
      </c>
    </row>
    <row r="69" ht="16" customHeight="1">
      <c r="A69" s="16" t="inlineStr">
        <is>
          <t>NIFTY FMCG</t>
        </is>
      </c>
      <c r="B69" s="13" t="inlineStr">
        <is>
          <t>BRITANNIA</t>
        </is>
      </c>
      <c r="C69" s="14" t="n">
        <v>5548</v>
      </c>
      <c r="D69" s="14" t="n">
        <v>5478.69</v>
      </c>
      <c r="E69" s="14" t="n">
        <v>5393.84</v>
      </c>
      <c r="F69" s="14" t="n">
        <v>5505.18</v>
      </c>
      <c r="G69" s="15">
        <f>HYPERLINK("https://www.tradingview.com/chart/?symbol=NSE:BRITANNIA","Chart 📈")</f>
        <v/>
      </c>
    </row>
    <row r="70" ht="16" customHeight="1">
      <c r="A70" s="16" t="inlineStr">
        <is>
          <t>NIFTY FMCG</t>
        </is>
      </c>
      <c r="B70" s="13" t="inlineStr">
        <is>
          <t>MARICO</t>
        </is>
      </c>
      <c r="C70" s="14" t="n">
        <v>858.35</v>
      </c>
      <c r="D70" s="14" t="n">
        <v>856.25</v>
      </c>
      <c r="E70" s="14" t="n">
        <v>844.49</v>
      </c>
      <c r="F70" s="14" t="n">
        <v>796.83</v>
      </c>
      <c r="G70" s="15">
        <f>HYPERLINK("https://www.tradingview.com/chart/?symbol=NSE:MARICO","Chart 📈")</f>
        <v/>
      </c>
    </row>
    <row r="71" ht="16" customHeight="1">
      <c r="A71" s="16" t="inlineStr">
        <is>
          <t>NIFTY FMCG</t>
        </is>
      </c>
      <c r="B71" s="13" t="inlineStr">
        <is>
          <t>RADICO</t>
        </is>
      </c>
      <c r="C71" s="14" t="n">
        <v>4696</v>
      </c>
      <c r="D71" s="14" t="n">
        <v>4494.18</v>
      </c>
      <c r="E71" s="14" t="n">
        <v>4177.71</v>
      </c>
      <c r="F71" s="14" t="n">
        <v>3502.16</v>
      </c>
      <c r="G71" s="15">
        <f>HYPERLINK("https://www.tradingview.com/chart/?symbol=NSE:RADICO","Chart 📈")</f>
        <v/>
      </c>
    </row>
    <row r="72" ht="16" customHeight="1">
      <c r="A72" s="16" t="inlineStr">
        <is>
          <t>NIFTY FMCG</t>
        </is>
      </c>
      <c r="B72" s="13" t="inlineStr">
        <is>
          <t>UNITDSPR</t>
        </is>
      </c>
      <c r="C72" s="14" t="n">
        <v>1544</v>
      </c>
      <c r="D72" s="14" t="n">
        <v>1504.64</v>
      </c>
      <c r="E72" s="14" t="n">
        <v>1439.71</v>
      </c>
      <c r="F72" s="14" t="n">
        <v>1363.9</v>
      </c>
      <c r="G72" s="15">
        <f>HYPERLINK("https://www.tradingview.com/chart/?symbol=NSE:UNITDSPR","Chart 📈")</f>
        <v/>
      </c>
    </row>
    <row r="73" ht="16" customHeight="1">
      <c r="A73" s="8" t="inlineStr">
        <is>
          <t>NIFTY BANK</t>
        </is>
      </c>
      <c r="B73" s="17" t="inlineStr">
        <is>
          <t>AUBANK</t>
        </is>
      </c>
      <c r="C73" s="18" t="n">
        <v>1088</v>
      </c>
      <c r="D73" s="18" t="n">
        <v>1065.42</v>
      </c>
      <c r="E73" s="18" t="n">
        <v>1043.96</v>
      </c>
      <c r="F73" s="18" t="n">
        <v>973.53</v>
      </c>
      <c r="G73" s="19">
        <f>HYPERLINK("https://www.tradingview.com/chart/?symbol=NSE:AUBANK","Chart 📈")</f>
        <v/>
      </c>
    </row>
    <row r="74" ht="16" customHeight="1">
      <c r="A74" s="20" t="inlineStr">
        <is>
          <t>NIFTY BANK</t>
        </is>
      </c>
      <c r="B74" s="17" t="inlineStr">
        <is>
          <t>FEDERALBNK</t>
        </is>
      </c>
      <c r="C74" s="18" t="n">
        <v>355.3</v>
      </c>
      <c r="D74" s="18" t="n">
        <v>352.61</v>
      </c>
      <c r="E74" s="18" t="n">
        <v>338.84</v>
      </c>
      <c r="F74" s="18" t="n">
        <v>292.97</v>
      </c>
      <c r="G74" s="19">
        <f>HYPERLINK("https://www.tradingview.com/chart/?symbol=NSE:FEDERALBNK","Chart 📈")</f>
        <v/>
      </c>
    </row>
    <row r="75" ht="16" customHeight="1">
      <c r="A75" s="20" t="inlineStr">
        <is>
          <t>NIFTY BANK</t>
        </is>
      </c>
      <c r="B75" s="17" t="inlineStr">
        <is>
          <t>IDFCFIRSTB</t>
        </is>
      </c>
      <c r="C75" s="18" t="n">
        <v>85.84</v>
      </c>
      <c r="D75" s="18" t="n">
        <v>84.44</v>
      </c>
      <c r="E75" s="18" t="n">
        <v>81.29000000000001</v>
      </c>
      <c r="F75" s="18" t="n">
        <v>76.26000000000001</v>
      </c>
      <c r="G75" s="19">
        <f>HYPERLINK("https://www.tradingview.com/chart/?symbol=NSE:IDFCFIRSTB","Chart 📈")</f>
        <v/>
      </c>
    </row>
    <row r="76" ht="16" customHeight="1">
      <c r="A76" s="12" t="inlineStr">
        <is>
          <t>NIFTY IT</t>
        </is>
      </c>
      <c r="B76" s="13" t="inlineStr">
        <is>
          <t>HCLTECH</t>
        </is>
      </c>
      <c r="C76" s="14" t="n">
        <v>1318.4</v>
      </c>
      <c r="D76" s="14" t="n">
        <v>1317.28</v>
      </c>
      <c r="E76" s="14" t="n">
        <v>1264.73</v>
      </c>
      <c r="F76" s="14" t="n">
        <v>1312.78</v>
      </c>
      <c r="G76" s="15">
        <f>HYPERLINK("https://www.tradingview.com/chart/?symbol=NSE:HCLTECH","Chart 📈")</f>
        <v/>
      </c>
    </row>
    <row r="77" ht="16" customHeight="1">
      <c r="A77" s="8" t="inlineStr">
        <is>
          <t>NIFTY ENERGY</t>
        </is>
      </c>
      <c r="B77" s="17" t="inlineStr">
        <is>
          <t>SIEMENS</t>
        </is>
      </c>
      <c r="C77" s="18" t="n">
        <v>3880</v>
      </c>
      <c r="D77" s="18" t="n">
        <v>3865.29</v>
      </c>
      <c r="E77" s="18" t="n">
        <v>3749.7</v>
      </c>
      <c r="F77" s="18" t="n">
        <v>3479.89</v>
      </c>
      <c r="G77" s="19">
        <f>HYPERLINK("https://www.tradingview.com/chart/?symbol=NSE:SIEMENS","Chart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2026-08-20T11:33:03Z</dcterms:created>
  <dcterms:modified xmlns:dcterms="http://purl.org/dc/terms/" xmlns:xsi="http://www.w3.org/2001/XMLSchema-instance" xsi:type="dcterms:W3CDTF">2026-08-20T11:33:03Z</dcterms:modified>
</cp:coreProperties>
</file>