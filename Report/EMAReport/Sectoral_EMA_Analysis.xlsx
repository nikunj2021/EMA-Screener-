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28-Jul-2026  13:02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13</v>
      </c>
      <c r="D4" s="5" t="n">
        <v>17</v>
      </c>
      <c r="E4" s="5" t="n">
        <v>18</v>
      </c>
      <c r="F4" s="6" t="n">
        <v>0.65</v>
      </c>
      <c r="G4" s="6" t="n">
        <v>0.85</v>
      </c>
      <c r="H4" s="6" t="n">
        <v>0.9</v>
      </c>
      <c r="I4" s="7" t="n">
        <v>0.8</v>
      </c>
    </row>
    <row r="5" ht="17" customHeight="1">
      <c r="A5" s="8" t="inlineStr">
        <is>
          <t>NIFTY REALTY</t>
        </is>
      </c>
      <c r="B5" s="9" t="n">
        <v>10</v>
      </c>
      <c r="C5" s="9" t="n">
        <v>6</v>
      </c>
      <c r="D5" s="9" t="n">
        <v>9</v>
      </c>
      <c r="E5" s="9" t="n">
        <v>8</v>
      </c>
      <c r="F5" s="10" t="n">
        <v>0.6</v>
      </c>
      <c r="G5" s="10" t="n">
        <v>0.9</v>
      </c>
      <c r="H5" s="10" t="n">
        <v>0.8</v>
      </c>
      <c r="I5" s="11" t="n">
        <v>0.7667</v>
      </c>
    </row>
    <row r="6" ht="17" customHeight="1">
      <c r="A6" s="4" t="inlineStr">
        <is>
          <t>NIFTY AUTO</t>
        </is>
      </c>
      <c r="B6" s="5" t="n">
        <v>15</v>
      </c>
      <c r="C6" s="5" t="n">
        <v>11</v>
      </c>
      <c r="D6" s="5" t="n">
        <v>13</v>
      </c>
      <c r="E6" s="5" t="n">
        <v>9</v>
      </c>
      <c r="F6" s="6" t="n">
        <v>0.733</v>
      </c>
      <c r="G6" s="6" t="n">
        <v>0.867</v>
      </c>
      <c r="H6" s="6" t="n">
        <v>0.6</v>
      </c>
      <c r="I6" s="7" t="n">
        <v>0.7333</v>
      </c>
    </row>
    <row r="7" ht="17" customHeight="1">
      <c r="A7" s="8" t="inlineStr">
        <is>
          <t>NIFTY FMCG</t>
        </is>
      </c>
      <c r="B7" s="9" t="n">
        <v>15</v>
      </c>
      <c r="C7" s="9" t="n">
        <v>11</v>
      </c>
      <c r="D7" s="9" t="n">
        <v>9</v>
      </c>
      <c r="E7" s="9" t="n">
        <v>6</v>
      </c>
      <c r="F7" s="10" t="n">
        <v>0.733</v>
      </c>
      <c r="G7" s="10" t="n">
        <v>0.6</v>
      </c>
      <c r="H7" s="10" t="n">
        <v>0.4</v>
      </c>
      <c r="I7" s="11" t="n">
        <v>0.5777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12</v>
      </c>
      <c r="D8" s="5" t="n">
        <v>10</v>
      </c>
      <c r="E8" s="5" t="n">
        <v>10</v>
      </c>
      <c r="F8" s="6" t="n">
        <v>0.6</v>
      </c>
      <c r="G8" s="6" t="n">
        <v>0.5</v>
      </c>
      <c r="H8" s="6" t="n">
        <v>0.5</v>
      </c>
      <c r="I8" s="7" t="n">
        <v>0.5333</v>
      </c>
    </row>
    <row r="9" ht="17" customHeight="1">
      <c r="A9" s="8" t="inlineStr">
        <is>
          <t>NIFTY MEDIA</t>
        </is>
      </c>
      <c r="B9" s="9" t="n">
        <v>10</v>
      </c>
      <c r="C9" s="9" t="n">
        <v>5</v>
      </c>
      <c r="D9" s="9" t="n">
        <v>5</v>
      </c>
      <c r="E9" s="9" t="n">
        <v>5</v>
      </c>
      <c r="F9" s="10" t="n">
        <v>0.5</v>
      </c>
      <c r="G9" s="10" t="n">
        <v>0.5</v>
      </c>
      <c r="H9" s="10" t="n">
        <v>0.5</v>
      </c>
      <c r="I9" s="11" t="n">
        <v>0.5</v>
      </c>
    </row>
    <row r="10" ht="17" customHeight="1">
      <c r="A10" s="4" t="inlineStr">
        <is>
          <t>NIFTY FINANCIAL SERVICES</t>
        </is>
      </c>
      <c r="B10" s="5" t="n">
        <v>20</v>
      </c>
      <c r="C10" s="5" t="n">
        <v>10</v>
      </c>
      <c r="D10" s="5" t="n">
        <v>9</v>
      </c>
      <c r="E10" s="5" t="n">
        <v>10</v>
      </c>
      <c r="F10" s="6" t="n">
        <v>0.5</v>
      </c>
      <c r="G10" s="6" t="n">
        <v>0.45</v>
      </c>
      <c r="H10" s="6" t="n">
        <v>0.5</v>
      </c>
      <c r="I10" s="7" t="n">
        <v>0.4833</v>
      </c>
    </row>
    <row r="11" ht="17" customHeight="1">
      <c r="A11" s="8" t="inlineStr">
        <is>
          <t>NIFTY CONSUMER DURABLES</t>
        </is>
      </c>
      <c r="B11" s="9" t="n">
        <v>15</v>
      </c>
      <c r="C11" s="9" t="n">
        <v>7</v>
      </c>
      <c r="D11" s="9" t="n">
        <v>7</v>
      </c>
      <c r="E11" s="9" t="n">
        <v>6</v>
      </c>
      <c r="F11" s="10" t="n">
        <v>0.467</v>
      </c>
      <c r="G11" s="10" t="n">
        <v>0.467</v>
      </c>
      <c r="H11" s="10" t="n">
        <v>0.4</v>
      </c>
      <c r="I11" s="11" t="n">
        <v>0.4447</v>
      </c>
    </row>
    <row r="12" ht="17" customHeight="1">
      <c r="A12" s="4" t="inlineStr">
        <is>
          <t>NIFTY IT</t>
        </is>
      </c>
      <c r="B12" s="5" t="n">
        <v>10</v>
      </c>
      <c r="C12" s="5" t="n">
        <v>5</v>
      </c>
      <c r="D12" s="5" t="n">
        <v>5</v>
      </c>
      <c r="E12" s="5" t="n">
        <v>2</v>
      </c>
      <c r="F12" s="6" t="n">
        <v>0.5</v>
      </c>
      <c r="G12" s="6" t="n">
        <v>0.5</v>
      </c>
      <c r="H12" s="6" t="n">
        <v>0.2</v>
      </c>
      <c r="I12" s="7" t="n">
        <v>0.4</v>
      </c>
    </row>
    <row r="13" ht="17" customHeight="1">
      <c r="A13" s="8" t="inlineStr">
        <is>
          <t>NIFTY OIL &amp; GAS</t>
        </is>
      </c>
      <c r="B13" s="9" t="n">
        <v>15</v>
      </c>
      <c r="C13" s="9" t="n">
        <v>6</v>
      </c>
      <c r="D13" s="9" t="n">
        <v>6</v>
      </c>
      <c r="E13" s="9" t="n">
        <v>5</v>
      </c>
      <c r="F13" s="10" t="n">
        <v>0.4</v>
      </c>
      <c r="G13" s="10" t="n">
        <v>0.4</v>
      </c>
      <c r="H13" s="10" t="n">
        <v>0.333</v>
      </c>
      <c r="I13" s="11" t="n">
        <v>0.3777</v>
      </c>
    </row>
    <row r="14" ht="17" customHeight="1">
      <c r="A14" s="4" t="inlineStr">
        <is>
          <t>NIFTY METAL</t>
        </is>
      </c>
      <c r="B14" s="5" t="n">
        <v>15</v>
      </c>
      <c r="C14" s="5" t="n">
        <v>5</v>
      </c>
      <c r="D14" s="5" t="n">
        <v>5</v>
      </c>
      <c r="E14" s="5" t="n">
        <v>6</v>
      </c>
      <c r="F14" s="6" t="n">
        <v>0.333</v>
      </c>
      <c r="G14" s="6" t="n">
        <v>0.333</v>
      </c>
      <c r="H14" s="6" t="n">
        <v>0.4</v>
      </c>
      <c r="I14" s="7" t="n">
        <v>0.3553</v>
      </c>
    </row>
    <row r="15" ht="17" customHeight="1">
      <c r="A15" s="8" t="inlineStr">
        <is>
          <t>NIFTY PSU BANK</t>
        </is>
      </c>
      <c r="B15" s="9" t="n">
        <v>12</v>
      </c>
      <c r="C15" s="9" t="n">
        <v>3</v>
      </c>
      <c r="D15" s="9" t="n">
        <v>4</v>
      </c>
      <c r="E15" s="9" t="n">
        <v>5</v>
      </c>
      <c r="F15" s="10" t="n">
        <v>0.25</v>
      </c>
      <c r="G15" s="10" t="n">
        <v>0.333</v>
      </c>
      <c r="H15" s="10" t="n">
        <v>0.417</v>
      </c>
      <c r="I15" s="11" t="n">
        <v>0.3333</v>
      </c>
    </row>
    <row r="16" ht="17" customHeight="1">
      <c r="A16" s="4" t="inlineStr">
        <is>
          <t>NIFTY BANK</t>
        </is>
      </c>
      <c r="B16" s="5" t="n">
        <v>12</v>
      </c>
      <c r="C16" s="5" t="n">
        <v>3</v>
      </c>
      <c r="D16" s="5" t="n">
        <v>4</v>
      </c>
      <c r="E16" s="5" t="n">
        <v>4</v>
      </c>
      <c r="F16" s="6" t="n">
        <v>0.25</v>
      </c>
      <c r="G16" s="6" t="n">
        <v>0.333</v>
      </c>
      <c r="H16" s="6" t="n">
        <v>0.333</v>
      </c>
      <c r="I16" s="7" t="n">
        <v>0.3053</v>
      </c>
    </row>
    <row r="17" ht="17" customHeight="1">
      <c r="A17" s="8" t="inlineStr">
        <is>
          <t>NIFTY ENERGY</t>
        </is>
      </c>
      <c r="B17" s="9" t="n">
        <v>40</v>
      </c>
      <c r="C17" s="9" t="n">
        <v>2</v>
      </c>
      <c r="D17" s="9" t="n">
        <v>5</v>
      </c>
      <c r="E17" s="9" t="n">
        <v>15</v>
      </c>
      <c r="F17" s="10" t="n">
        <v>0.05</v>
      </c>
      <c r="G17" s="10" t="n">
        <v>0.125</v>
      </c>
      <c r="H17" s="10" t="n">
        <v>0.375</v>
      </c>
      <c r="I17" s="11" t="n">
        <v>0.1833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ABBOTINDIA</t>
        </is>
      </c>
      <c r="C3" s="14" t="n">
        <v>27905</v>
      </c>
      <c r="D3" s="14" t="n">
        <v>27094.96</v>
      </c>
      <c r="E3" s="14" t="n">
        <v>26455.96</v>
      </c>
      <c r="F3" s="14" t="n">
        <v>27143.02</v>
      </c>
      <c r="G3" s="15">
        <f>HYPERLINK("https://www.tradingview.com/chart/?symbol=NSE:ABBOTINDIA","Chart 📈")</f>
        <v/>
      </c>
    </row>
    <row r="4" ht="16" customHeight="1">
      <c r="A4" s="16" t="inlineStr">
        <is>
          <t>NIFTY PHARMA</t>
        </is>
      </c>
      <c r="B4" s="13" t="inlineStr">
        <is>
          <t>ALKEM</t>
        </is>
      </c>
      <c r="C4" s="14" t="n">
        <v>5651.5</v>
      </c>
      <c r="D4" s="14" t="n">
        <v>5594.83</v>
      </c>
      <c r="E4" s="14" t="n">
        <v>5525.36</v>
      </c>
      <c r="F4" s="14" t="n">
        <v>5447.53</v>
      </c>
      <c r="G4" s="15">
        <f>HYPERLINK("https://www.tradingview.com/chart/?symbol=NSE:ALKEM","Chart 📈")</f>
        <v/>
      </c>
    </row>
    <row r="5" ht="16" customHeight="1">
      <c r="A5" s="16" t="inlineStr">
        <is>
          <t>NIFTY PHARMA</t>
        </is>
      </c>
      <c r="B5" s="13" t="inlineStr">
        <is>
          <t>AUROPHARMA</t>
        </is>
      </c>
      <c r="C5" s="14" t="n">
        <v>1549.2</v>
      </c>
      <c r="D5" s="14" t="n">
        <v>1544.53</v>
      </c>
      <c r="E5" s="14" t="n">
        <v>1509.43</v>
      </c>
      <c r="F5" s="14" t="n">
        <v>1348.6</v>
      </c>
      <c r="G5" s="15">
        <f>HYPERLINK("https://www.tradingview.com/chart/?symbol=NSE:AUROPHARMA","Chart 📈")</f>
        <v/>
      </c>
    </row>
    <row r="6" ht="16" customHeight="1">
      <c r="A6" s="16" t="inlineStr">
        <is>
          <t>NIFTY PHARMA</t>
        </is>
      </c>
      <c r="B6" s="13" t="inlineStr">
        <is>
          <t>BIOCON</t>
        </is>
      </c>
      <c r="C6" s="14" t="n">
        <v>432.45</v>
      </c>
      <c r="D6" s="14" t="n">
        <v>428.81</v>
      </c>
      <c r="E6" s="14" t="n">
        <v>418.6</v>
      </c>
      <c r="F6" s="14" t="n">
        <v>395.45</v>
      </c>
      <c r="G6" s="15">
        <f>HYPERLINK("https://www.tradingview.com/chart/?symbol=NSE:BIOCON","Chart 📈")</f>
        <v/>
      </c>
    </row>
    <row r="7" ht="16" customHeight="1">
      <c r="A7" s="16" t="inlineStr">
        <is>
          <t>NIFTY PHARMA</t>
        </is>
      </c>
      <c r="B7" s="13" t="inlineStr">
        <is>
          <t>CIPLA</t>
        </is>
      </c>
      <c r="C7" s="14" t="n">
        <v>1444.6</v>
      </c>
      <c r="D7" s="14" t="n">
        <v>1425.32</v>
      </c>
      <c r="E7" s="14" t="n">
        <v>1405.5</v>
      </c>
      <c r="F7" s="14" t="n">
        <v>1402.81</v>
      </c>
      <c r="G7" s="15">
        <f>HYPERLINK("https://www.tradingview.com/chart/?symbol=NSE:CIPLA","Chart 📈")</f>
        <v/>
      </c>
    </row>
    <row r="8" ht="16" customHeight="1">
      <c r="A8" s="16" t="inlineStr">
        <is>
          <t>NIFTY PHARMA</t>
        </is>
      </c>
      <c r="B8" s="13" t="inlineStr">
        <is>
          <t>DIVISLAB</t>
        </is>
      </c>
      <c r="C8" s="14" t="n">
        <v>7425</v>
      </c>
      <c r="D8" s="14" t="n">
        <v>7114.05</v>
      </c>
      <c r="E8" s="14" t="n">
        <v>6870.34</v>
      </c>
      <c r="F8" s="14" t="n">
        <v>6534.73</v>
      </c>
      <c r="G8" s="15">
        <f>HYPERLINK("https://www.tradingview.com/chart/?symbol=NSE:DIVISLAB","Chart 📈")</f>
        <v/>
      </c>
    </row>
    <row r="9" ht="16" customHeight="1">
      <c r="A9" s="16" t="inlineStr">
        <is>
          <t>NIFTY PHARMA</t>
        </is>
      </c>
      <c r="B9" s="13" t="inlineStr">
        <is>
          <t>GLAND</t>
        </is>
      </c>
      <c r="C9" s="14" t="n">
        <v>2428.3</v>
      </c>
      <c r="D9" s="14" t="n">
        <v>2424.39</v>
      </c>
      <c r="E9" s="14" t="n">
        <v>2314.64</v>
      </c>
      <c r="F9" s="14" t="n">
        <v>2039.35</v>
      </c>
      <c r="G9" s="15">
        <f>HYPERLINK("https://www.tradingview.com/chart/?symbol=NSE:GLAND","Chart 📈")</f>
        <v/>
      </c>
    </row>
    <row r="10" ht="16" customHeight="1">
      <c r="A10" s="16" t="inlineStr">
        <is>
          <t>NIFTY PHARMA</t>
        </is>
      </c>
      <c r="B10" s="13" t="inlineStr">
        <is>
          <t>IPCALAB</t>
        </is>
      </c>
      <c r="C10" s="14" t="n">
        <v>1789</v>
      </c>
      <c r="D10" s="14" t="n">
        <v>1775.55</v>
      </c>
      <c r="E10" s="14" t="n">
        <v>1700.71</v>
      </c>
      <c r="F10" s="14" t="n">
        <v>1557.82</v>
      </c>
      <c r="G10" s="15">
        <f>HYPERLINK("https://www.tradingview.com/chart/?symbol=NSE:IPCALAB","Chart 📈")</f>
        <v/>
      </c>
    </row>
    <row r="11" ht="16" customHeight="1">
      <c r="A11" s="16" t="inlineStr">
        <is>
          <t>NIFTY PHARMA</t>
        </is>
      </c>
      <c r="B11" s="13" t="inlineStr">
        <is>
          <t>JBCHEPHARM</t>
        </is>
      </c>
      <c r="C11" s="14" t="n">
        <v>2408.9</v>
      </c>
      <c r="D11" s="14" t="n">
        <v>2383.66</v>
      </c>
      <c r="E11" s="14" t="n">
        <v>2287.69</v>
      </c>
      <c r="F11" s="14" t="n">
        <v>2041.19</v>
      </c>
      <c r="G11" s="15">
        <f>HYPERLINK("https://www.tradingview.com/chart/?symbol=NSE:JBCHEPHARM","Chart 📈")</f>
        <v/>
      </c>
    </row>
    <row r="12" ht="16" customHeight="1">
      <c r="A12" s="16" t="inlineStr">
        <is>
          <t>NIFTY PHARMA</t>
        </is>
      </c>
      <c r="B12" s="13" t="inlineStr">
        <is>
          <t>LAURUSLABS</t>
        </is>
      </c>
      <c r="C12" s="14" t="n">
        <v>1758.9</v>
      </c>
      <c r="D12" s="14" t="n">
        <v>1570.56</v>
      </c>
      <c r="E12" s="14" t="n">
        <v>1465.61</v>
      </c>
      <c r="F12" s="14" t="n">
        <v>1203.96</v>
      </c>
      <c r="G12" s="15">
        <f>HYPERLINK("https://www.tradingview.com/chart/?symbol=NSE:LAURUSLABS","Chart 📈")</f>
        <v/>
      </c>
    </row>
    <row r="13" ht="16" customHeight="1">
      <c r="A13" s="16" t="inlineStr">
        <is>
          <t>NIFTY PHARMA</t>
        </is>
      </c>
      <c r="B13" s="13" t="inlineStr">
        <is>
          <t>MANKIND</t>
        </is>
      </c>
      <c r="C13" s="14" t="n">
        <v>2617.9</v>
      </c>
      <c r="D13" s="14" t="n">
        <v>2530.31</v>
      </c>
      <c r="E13" s="14" t="n">
        <v>2464.38</v>
      </c>
      <c r="F13" s="14" t="n">
        <v>2354.94</v>
      </c>
      <c r="G13" s="15">
        <f>HYPERLINK("https://www.tradingview.com/chart/?symbol=NSE:MANKIND","Chart 📈")</f>
        <v/>
      </c>
    </row>
    <row r="14" ht="16" customHeight="1">
      <c r="A14" s="16" t="inlineStr">
        <is>
          <t>NIFTY PHARMA</t>
        </is>
      </c>
      <c r="B14" s="13" t="inlineStr">
        <is>
          <t>SUNPHARMA</t>
        </is>
      </c>
      <c r="C14" s="14" t="n">
        <v>1976.7</v>
      </c>
      <c r="D14" s="14" t="n">
        <v>1929.82</v>
      </c>
      <c r="E14" s="14" t="n">
        <v>1879.78</v>
      </c>
      <c r="F14" s="14" t="n">
        <v>1780.57</v>
      </c>
      <c r="G14" s="15">
        <f>HYPERLINK("https://www.tradingview.com/chart/?symbol=NSE:SUNPHARMA","Chart 📈")</f>
        <v/>
      </c>
    </row>
    <row r="15" ht="16" customHeight="1">
      <c r="A15" s="16" t="inlineStr">
        <is>
          <t>NIFTY PHARMA</t>
        </is>
      </c>
      <c r="B15" s="13" t="inlineStr">
        <is>
          <t>TORNTPHARM</t>
        </is>
      </c>
      <c r="C15" s="14" t="n">
        <v>4898.3</v>
      </c>
      <c r="D15" s="14" t="n">
        <v>4887.49</v>
      </c>
      <c r="E15" s="14" t="n">
        <v>4694.3</v>
      </c>
      <c r="F15" s="14" t="n">
        <v>4244.99</v>
      </c>
      <c r="G15" s="15">
        <f>HYPERLINK("https://www.tradingview.com/chart/?symbol=NSE:TORNTPHARM","Chart 📈")</f>
        <v/>
      </c>
    </row>
    <row r="16" ht="16" customHeight="1">
      <c r="A16" s="8" t="inlineStr">
        <is>
          <t>NIFTY REALTY</t>
        </is>
      </c>
      <c r="B16" s="17" t="inlineStr">
        <is>
          <t>DLF</t>
        </is>
      </c>
      <c r="C16" s="18" t="n">
        <v>663.05</v>
      </c>
      <c r="D16" s="18" t="n">
        <v>645.42</v>
      </c>
      <c r="E16" s="18" t="n">
        <v>625.09</v>
      </c>
      <c r="F16" s="18" t="n">
        <v>638.47</v>
      </c>
      <c r="G16" s="19">
        <f>HYPERLINK("https://www.tradingview.com/chart/?symbol=NSE:DLF","Chart 📈")</f>
        <v/>
      </c>
    </row>
    <row r="17" ht="16" customHeight="1">
      <c r="A17" s="20" t="inlineStr">
        <is>
          <t>NIFTY REALTY</t>
        </is>
      </c>
      <c r="B17" s="17" t="inlineStr">
        <is>
          <t>GODREJPROP</t>
        </is>
      </c>
      <c r="C17" s="18" t="n">
        <v>2136.6</v>
      </c>
      <c r="D17" s="18" t="n">
        <v>2034.71</v>
      </c>
      <c r="E17" s="18" t="n">
        <v>1926.17</v>
      </c>
      <c r="F17" s="18" t="n">
        <v>1879.51</v>
      </c>
      <c r="G17" s="19">
        <f>HYPERLINK("https://www.tradingview.com/chart/?symbol=NSE:GODREJPROP","Chart 📈")</f>
        <v/>
      </c>
    </row>
    <row r="18" ht="16" customHeight="1">
      <c r="A18" s="20" t="inlineStr">
        <is>
          <t>NIFTY REALTY</t>
        </is>
      </c>
      <c r="B18" s="17" t="inlineStr">
        <is>
          <t>LODHA</t>
        </is>
      </c>
      <c r="C18" s="18" t="n">
        <v>1301.4</v>
      </c>
      <c r="D18" s="18" t="n">
        <v>1141.61</v>
      </c>
      <c r="E18" s="18" t="n">
        <v>1046.99</v>
      </c>
      <c r="F18" s="18" t="n">
        <v>1018.71</v>
      </c>
      <c r="G18" s="19">
        <f>HYPERLINK("https://www.tradingview.com/chart/?symbol=NSE:LODHA","Chart 📈")</f>
        <v/>
      </c>
    </row>
    <row r="19" ht="16" customHeight="1">
      <c r="A19" s="20" t="inlineStr">
        <is>
          <t>NIFTY REALTY</t>
        </is>
      </c>
      <c r="B19" s="17" t="inlineStr">
        <is>
          <t>MAHLIFE</t>
        </is>
      </c>
      <c r="C19" s="18" t="n">
        <v>380.25</v>
      </c>
      <c r="D19" s="18" t="n">
        <v>370.91</v>
      </c>
      <c r="E19" s="18" t="n">
        <v>358.68</v>
      </c>
      <c r="F19" s="18" t="n">
        <v>354.92</v>
      </c>
      <c r="G19" s="19">
        <f>HYPERLINK("https://www.tradingview.com/chart/?symbol=NSE:MAHLIFE","Chart 📈")</f>
        <v/>
      </c>
    </row>
    <row r="20" ht="16" customHeight="1">
      <c r="A20" s="20" t="inlineStr">
        <is>
          <t>NIFTY REALTY</t>
        </is>
      </c>
      <c r="B20" s="17" t="inlineStr">
        <is>
          <t>PRESTIGE</t>
        </is>
      </c>
      <c r="C20" s="18" t="n">
        <v>1682.3</v>
      </c>
      <c r="D20" s="18" t="n">
        <v>1640.45</v>
      </c>
      <c r="E20" s="18" t="n">
        <v>1563.04</v>
      </c>
      <c r="F20" s="18" t="n">
        <v>1509.97</v>
      </c>
      <c r="G20" s="19">
        <f>HYPERLINK("https://www.tradingview.com/chart/?symbol=NSE:PRESTIGE","Chart 📈")</f>
        <v/>
      </c>
    </row>
    <row r="21" ht="16" customHeight="1">
      <c r="A21" s="12" t="inlineStr">
        <is>
          <t>NIFTY AUTO</t>
        </is>
      </c>
      <c r="B21" s="13" t="inlineStr">
        <is>
          <t>BAJAJ-AUTO</t>
        </is>
      </c>
      <c r="C21" s="14" t="n">
        <v>11374</v>
      </c>
      <c r="D21" s="14" t="n">
        <v>10596.59</v>
      </c>
      <c r="E21" s="14" t="n">
        <v>10283.27</v>
      </c>
      <c r="F21" s="14" t="n">
        <v>9589.74</v>
      </c>
      <c r="G21" s="15">
        <f>HYPERLINK("https://www.tradingview.com/chart/?symbol=NSE:BAJAJ-AUTO","Chart 📈")</f>
        <v/>
      </c>
    </row>
    <row r="22" ht="16" customHeight="1">
      <c r="A22" s="16" t="inlineStr">
        <is>
          <t>NIFTY AUTO</t>
        </is>
      </c>
      <c r="B22" s="13" t="inlineStr">
        <is>
          <t>BHARATFORG</t>
        </is>
      </c>
      <c r="C22" s="14" t="n">
        <v>2162.7</v>
      </c>
      <c r="D22" s="14" t="n">
        <v>2142.59</v>
      </c>
      <c r="E22" s="14" t="n">
        <v>2063.4</v>
      </c>
      <c r="F22" s="14" t="n">
        <v>1756.46</v>
      </c>
      <c r="G22" s="15">
        <f>HYPERLINK("https://www.tradingview.com/chart/?symbol=NSE:BHARATFORG","Chart 📈")</f>
        <v/>
      </c>
    </row>
    <row r="23" ht="16" customHeight="1">
      <c r="A23" s="16" t="inlineStr">
        <is>
          <t>NIFTY AUTO</t>
        </is>
      </c>
      <c r="B23" s="13" t="inlineStr">
        <is>
          <t>BOSCHLTD</t>
        </is>
      </c>
      <c r="C23" s="14" t="n">
        <v>41310</v>
      </c>
      <c r="D23" s="14" t="n">
        <v>41159.7</v>
      </c>
      <c r="E23" s="14" t="n">
        <v>39829.84</v>
      </c>
      <c r="F23" s="14" t="n">
        <v>37679.94</v>
      </c>
      <c r="G23" s="15">
        <f>HYPERLINK("https://www.tradingview.com/chart/?symbol=NSE:BOSCHLTD","Chart 📈")</f>
        <v/>
      </c>
    </row>
    <row r="24" ht="16" customHeight="1">
      <c r="A24" s="16" t="inlineStr">
        <is>
          <t>NIFTY AUTO</t>
        </is>
      </c>
      <c r="B24" s="13" t="inlineStr">
        <is>
          <t>EICHERMOT</t>
        </is>
      </c>
      <c r="C24" s="14" t="n">
        <v>7836</v>
      </c>
      <c r="D24" s="14" t="n">
        <v>7550.63</v>
      </c>
      <c r="E24" s="14" t="n">
        <v>7420.91</v>
      </c>
      <c r="F24" s="14" t="n">
        <v>7084.03</v>
      </c>
      <c r="G24" s="15">
        <f>HYPERLINK("https://www.tradingview.com/chart/?symbol=NSE:EICHERMOT","Chart 📈")</f>
        <v/>
      </c>
    </row>
    <row r="25" ht="16" customHeight="1">
      <c r="A25" s="16" t="inlineStr">
        <is>
          <t>NIFTY AUTO</t>
        </is>
      </c>
      <c r="B25" s="13" t="inlineStr">
        <is>
          <t>HEROMOTOCO</t>
        </is>
      </c>
      <c r="C25" s="14" t="n">
        <v>5154.3</v>
      </c>
      <c r="D25" s="14" t="n">
        <v>4939.72</v>
      </c>
      <c r="E25" s="14" t="n">
        <v>4927.92</v>
      </c>
      <c r="F25" s="14" t="n">
        <v>5035.96</v>
      </c>
      <c r="G25" s="15">
        <f>HYPERLINK("https://www.tradingview.com/chart/?symbol=NSE:HEROMOTOCO","Chart 📈")</f>
        <v/>
      </c>
    </row>
    <row r="26" ht="16" customHeight="1">
      <c r="A26" s="16" t="inlineStr">
        <is>
          <t>NIFTY AUTO</t>
        </is>
      </c>
      <c r="B26" s="13" t="inlineStr">
        <is>
          <t>M&amp;M</t>
        </is>
      </c>
      <c r="C26" s="14" t="n">
        <v>3271.2</v>
      </c>
      <c r="D26" s="14" t="n">
        <v>3161.78</v>
      </c>
      <c r="E26" s="14" t="n">
        <v>3128.12</v>
      </c>
      <c r="F26" s="14" t="n">
        <v>3227.11</v>
      </c>
      <c r="G26" s="15">
        <f>HYPERLINK("https://www.tradingview.com/chart/?symbol=NSE:M&amp;M","Chart 📈")</f>
        <v/>
      </c>
    </row>
    <row r="27" ht="16" customHeight="1">
      <c r="A27" s="16" t="inlineStr">
        <is>
          <t>NIFTY AUTO</t>
        </is>
      </c>
      <c r="B27" s="13" t="inlineStr">
        <is>
          <t>MOTHERSON</t>
        </is>
      </c>
      <c r="C27" s="14" t="n">
        <v>147.86</v>
      </c>
      <c r="D27" s="14" t="n">
        <v>144.99</v>
      </c>
      <c r="E27" s="14" t="n">
        <v>141.64</v>
      </c>
      <c r="F27" s="14" t="n">
        <v>126.46</v>
      </c>
      <c r="G27" s="15">
        <f>HYPERLINK("https://www.tradingview.com/chart/?symbol=NSE:MOTHERSON","Chart 📈")</f>
        <v/>
      </c>
    </row>
    <row r="28" ht="16" customHeight="1">
      <c r="A28" s="16" t="inlineStr">
        <is>
          <t>NIFTY AUTO</t>
        </is>
      </c>
      <c r="B28" s="13" t="inlineStr">
        <is>
          <t>TVSMOTOR</t>
        </is>
      </c>
      <c r="C28" s="14" t="n">
        <v>3993.5</v>
      </c>
      <c r="D28" s="14" t="n">
        <v>3723.3</v>
      </c>
      <c r="E28" s="14" t="n">
        <v>3611.35</v>
      </c>
      <c r="F28" s="14" t="n">
        <v>3502.91</v>
      </c>
      <c r="G28" s="15">
        <f>HYPERLINK("https://www.tradingview.com/chart/?symbol=NSE:TVSMOTOR","Chart 📈")</f>
        <v/>
      </c>
    </row>
    <row r="29" ht="16" customHeight="1">
      <c r="A29" s="8" t="inlineStr">
        <is>
          <t>NIFTY FMCG</t>
        </is>
      </c>
      <c r="B29" s="17" t="inlineStr">
        <is>
          <t>BALRAMCHIN</t>
        </is>
      </c>
      <c r="C29" s="18" t="n">
        <v>605.25</v>
      </c>
      <c r="D29" s="18" t="n">
        <v>590.83</v>
      </c>
      <c r="E29" s="18" t="n">
        <v>564.1900000000001</v>
      </c>
      <c r="F29" s="18" t="n">
        <v>521.47</v>
      </c>
      <c r="G29" s="19">
        <f>HYPERLINK("https://www.tradingview.com/chart/?symbol=NSE:BALRAMCHIN","Chart 📈")</f>
        <v/>
      </c>
    </row>
    <row r="30" ht="16" customHeight="1">
      <c r="A30" s="20" t="inlineStr">
        <is>
          <t>NIFTY FMCG</t>
        </is>
      </c>
      <c r="B30" s="17" t="inlineStr">
        <is>
          <t>COLPAL</t>
        </is>
      </c>
      <c r="C30" s="18" t="n">
        <v>2138.1</v>
      </c>
      <c r="D30" s="18" t="n">
        <v>2071.31</v>
      </c>
      <c r="E30" s="18" t="n">
        <v>2055.9</v>
      </c>
      <c r="F30" s="18" t="n">
        <v>2080.63</v>
      </c>
      <c r="G30" s="19">
        <f>HYPERLINK("https://www.tradingview.com/chart/?symbol=NSE:COLPAL","Chart 📈")</f>
        <v/>
      </c>
    </row>
    <row r="31" ht="16" customHeight="1">
      <c r="A31" s="20" t="inlineStr">
        <is>
          <t>NIFTY FMCG</t>
        </is>
      </c>
      <c r="B31" s="17" t="inlineStr">
        <is>
          <t>MARICO</t>
        </is>
      </c>
      <c r="C31" s="18" t="n">
        <v>883.25</v>
      </c>
      <c r="D31" s="18" t="n">
        <v>850.59</v>
      </c>
      <c r="E31" s="18" t="n">
        <v>833.77</v>
      </c>
      <c r="F31" s="18" t="n">
        <v>783.59</v>
      </c>
      <c r="G31" s="19">
        <f>HYPERLINK("https://www.tradingview.com/chart/?symbol=NSE:MARICO","Chart 📈")</f>
        <v/>
      </c>
    </row>
    <row r="32" ht="16" customHeight="1">
      <c r="A32" s="20" t="inlineStr">
        <is>
          <t>NIFTY FMCG</t>
        </is>
      </c>
      <c r="B32" s="17" t="inlineStr">
        <is>
          <t>NESTLEIND</t>
        </is>
      </c>
      <c r="C32" s="18" t="n">
        <v>1491.8</v>
      </c>
      <c r="D32" s="18" t="n">
        <v>1444.07</v>
      </c>
      <c r="E32" s="18" t="n">
        <v>1419.8</v>
      </c>
      <c r="F32" s="18" t="n">
        <v>1322.42</v>
      </c>
      <c r="G32" s="19">
        <f>HYPERLINK("https://www.tradingview.com/chart/?symbol=NSE:NESTLEIND","Chart 📈")</f>
        <v/>
      </c>
    </row>
    <row r="33" ht="16" customHeight="1">
      <c r="A33" s="20" t="inlineStr">
        <is>
          <t>NIFTY FMCG</t>
        </is>
      </c>
      <c r="B33" s="17" t="inlineStr">
        <is>
          <t>RADICO</t>
        </is>
      </c>
      <c r="C33" s="18" t="n">
        <v>4289.7</v>
      </c>
      <c r="D33" s="18" t="n">
        <v>4048.43</v>
      </c>
      <c r="E33" s="18" t="n">
        <v>3818.13</v>
      </c>
      <c r="F33" s="18" t="n">
        <v>3304.89</v>
      </c>
      <c r="G33" s="19">
        <f>HYPERLINK("https://www.tradingview.com/chart/?symbol=NSE:RADICO","Chart 📈")</f>
        <v/>
      </c>
    </row>
    <row r="34" ht="16" customHeight="1">
      <c r="A34" s="20" t="inlineStr">
        <is>
          <t>NIFTY FMCG</t>
        </is>
      </c>
      <c r="B34" s="17" t="inlineStr">
        <is>
          <t>UNITDSPR</t>
        </is>
      </c>
      <c r="C34" s="18" t="n">
        <v>1508.8</v>
      </c>
      <c r="D34" s="18" t="n">
        <v>1405.88</v>
      </c>
      <c r="E34" s="18" t="n">
        <v>1360.23</v>
      </c>
      <c r="F34" s="18" t="n">
        <v>1332.9</v>
      </c>
      <c r="G34" s="19">
        <f>HYPERLINK("https://www.tradingview.com/chart/?symbol=NSE:UNITDSPR","Chart 📈")</f>
        <v/>
      </c>
    </row>
    <row r="35" ht="16" customHeight="1">
      <c r="A35" s="12" t="inlineStr">
        <is>
          <t>NIFTY MIDSMALL IT &amp; TELECOM</t>
        </is>
      </c>
      <c r="B35" s="13" t="inlineStr">
        <is>
          <t>AFFLE</t>
        </is>
      </c>
      <c r="C35" s="14" t="n">
        <v>1631.8</v>
      </c>
      <c r="D35" s="14" t="n">
        <v>1500.54</v>
      </c>
      <c r="E35" s="14" t="n">
        <v>1483.29</v>
      </c>
      <c r="F35" s="14" t="n">
        <v>1566.85</v>
      </c>
      <c r="G35" s="15">
        <f>HYPERLINK("https://www.tradingview.com/chart/?symbol=NSE:AFFLE","Chart 📈")</f>
        <v/>
      </c>
    </row>
    <row r="36" ht="16" customHeight="1">
      <c r="A36" s="16" t="inlineStr">
        <is>
          <t>NIFTY MIDSMALL IT &amp; TELECOM</t>
        </is>
      </c>
      <c r="B36" s="13" t="inlineStr">
        <is>
          <t>COFORGE</t>
        </is>
      </c>
      <c r="C36" s="14" t="n">
        <v>1686</v>
      </c>
      <c r="D36" s="14" t="n">
        <v>1506.64</v>
      </c>
      <c r="E36" s="14" t="n">
        <v>1456.83</v>
      </c>
      <c r="F36" s="14" t="n">
        <v>1481.16</v>
      </c>
      <c r="G36" s="15">
        <f>HYPERLINK("https://www.tradingview.com/chart/?symbol=NSE:COFORGE","Chart 📈")</f>
        <v/>
      </c>
    </row>
    <row r="37" ht="16" customHeight="1">
      <c r="A37" s="16" t="inlineStr">
        <is>
          <t>NIFTY MIDSMALL IT &amp; TELECOM</t>
        </is>
      </c>
      <c r="B37" s="13" t="inlineStr">
        <is>
          <t>MPHASIS</t>
        </is>
      </c>
      <c r="C37" s="14" t="n">
        <v>2413.5</v>
      </c>
      <c r="D37" s="14" t="n">
        <v>2308.83</v>
      </c>
      <c r="E37" s="14" t="n">
        <v>2269.48</v>
      </c>
      <c r="F37" s="14" t="n">
        <v>2379.52</v>
      </c>
      <c r="G37" s="15">
        <f>HYPERLINK("https://www.tradingview.com/chart/?symbol=NSE:MPHASIS","Chart 📈")</f>
        <v/>
      </c>
    </row>
    <row r="38" ht="16" customHeight="1">
      <c r="A38" s="16" t="inlineStr">
        <is>
          <t>NIFTY MIDSMALL IT &amp; TELECOM</t>
        </is>
      </c>
      <c r="B38" s="13" t="inlineStr">
        <is>
          <t>OFSS</t>
        </is>
      </c>
      <c r="C38" s="14" t="n">
        <v>11334</v>
      </c>
      <c r="D38" s="14" t="n">
        <v>11101.1</v>
      </c>
      <c r="E38" s="14" t="n">
        <v>10461.6</v>
      </c>
      <c r="F38" s="14" t="n">
        <v>8906.959999999999</v>
      </c>
      <c r="G38" s="15">
        <f>HYPERLINK("https://www.tradingview.com/chart/?symbol=NSE:OFSS","Chart 📈")</f>
        <v/>
      </c>
    </row>
    <row r="39" ht="16" customHeight="1">
      <c r="A39" s="16" t="inlineStr">
        <is>
          <t>NIFTY MIDSMALL IT &amp; TELECOM</t>
        </is>
      </c>
      <c r="B39" s="13" t="inlineStr">
        <is>
          <t>PERSISTENT</t>
        </is>
      </c>
      <c r="C39" s="14" t="n">
        <v>5428.4</v>
      </c>
      <c r="D39" s="14" t="n">
        <v>5057.89</v>
      </c>
      <c r="E39" s="14" t="n">
        <v>4989.87</v>
      </c>
      <c r="F39" s="14" t="n">
        <v>5203.51</v>
      </c>
      <c r="G39" s="15">
        <f>HYPERLINK("https://www.tradingview.com/chart/?symbol=NSE:PERSISTENT","Chart 📈")</f>
        <v/>
      </c>
    </row>
    <row r="40" ht="16" customHeight="1">
      <c r="A40" s="16" t="inlineStr">
        <is>
          <t>NIFTY MIDSMALL IT &amp; TELECOM</t>
        </is>
      </c>
      <c r="B40" s="13" t="inlineStr">
        <is>
          <t>TANLA</t>
        </is>
      </c>
      <c r="C40" s="14" t="n">
        <v>597.5</v>
      </c>
      <c r="D40" s="14" t="n">
        <v>567.5700000000001</v>
      </c>
      <c r="E40" s="14" t="n">
        <v>543.11</v>
      </c>
      <c r="F40" s="14" t="n">
        <v>531.96</v>
      </c>
      <c r="G40" s="15">
        <f>HYPERLINK("https://www.tradingview.com/chart/?symbol=NSE:TANLA","Chart 📈")</f>
        <v/>
      </c>
    </row>
    <row r="41" ht="16" customHeight="1">
      <c r="A41" s="16" t="inlineStr">
        <is>
          <t>NIFTY MIDSMALL IT &amp; TELECOM</t>
        </is>
      </c>
      <c r="B41" s="13" t="inlineStr">
        <is>
          <t>TATATECH</t>
        </is>
      </c>
      <c r="C41" s="14" t="n">
        <v>738.6</v>
      </c>
      <c r="D41" s="14" t="n">
        <v>727.74</v>
      </c>
      <c r="E41" s="14" t="n">
        <v>709.46</v>
      </c>
      <c r="F41" s="14" t="n">
        <v>662.74</v>
      </c>
      <c r="G41" s="15">
        <f>HYPERLINK("https://www.tradingview.com/chart/?symbol=NSE:TATATECH","Chart 📈")</f>
        <v/>
      </c>
    </row>
    <row r="42" ht="16" customHeight="1">
      <c r="A42" s="8" t="inlineStr">
        <is>
          <t>NIFTY MEDIA</t>
        </is>
      </c>
      <c r="B42" s="17" t="inlineStr">
        <is>
          <t>NAZARA</t>
        </is>
      </c>
      <c r="C42" s="18" t="n">
        <v>304</v>
      </c>
      <c r="D42" s="18" t="n">
        <v>303.17</v>
      </c>
      <c r="E42" s="18" t="n">
        <v>294.74</v>
      </c>
      <c r="F42" s="18" t="n">
        <v>282.83</v>
      </c>
      <c r="G42" s="19">
        <f>HYPERLINK("https://www.tradingview.com/chart/?symbol=NSE:NAZARA","Chart 📈")</f>
        <v/>
      </c>
    </row>
    <row r="43" ht="16" customHeight="1">
      <c r="A43" s="20" t="inlineStr">
        <is>
          <t>NIFTY MEDIA</t>
        </is>
      </c>
      <c r="B43" s="17" t="inlineStr">
        <is>
          <t>PVRINOX</t>
        </is>
      </c>
      <c r="C43" s="18" t="n">
        <v>1118.15</v>
      </c>
      <c r="D43" s="18" t="n">
        <v>1024.58</v>
      </c>
      <c r="E43" s="18" t="n">
        <v>1003.87</v>
      </c>
      <c r="F43" s="18" t="n">
        <v>1011.46</v>
      </c>
      <c r="G43" s="19">
        <f>HYPERLINK("https://www.tradingview.com/chart/?symbol=NSE:PVRINOX","Chart 📈")</f>
        <v/>
      </c>
    </row>
    <row r="44" ht="16" customHeight="1">
      <c r="A44" s="20" t="inlineStr">
        <is>
          <t>NIFTY MEDIA</t>
        </is>
      </c>
      <c r="B44" s="17" t="inlineStr">
        <is>
          <t>SAREGAMA</t>
        </is>
      </c>
      <c r="C44" s="18" t="n">
        <v>524.25</v>
      </c>
      <c r="D44" s="18" t="n">
        <v>492.88</v>
      </c>
      <c r="E44" s="18" t="n">
        <v>463.24</v>
      </c>
      <c r="F44" s="18" t="n">
        <v>416.45</v>
      </c>
      <c r="G44" s="19">
        <f>HYPERLINK("https://www.tradingview.com/chart/?symbol=NSE:SAREGAMA","Chart 📈")</f>
        <v/>
      </c>
    </row>
    <row r="45" ht="16" customHeight="1">
      <c r="A45" s="20" t="inlineStr">
        <is>
          <t>NIFTY MEDIA</t>
        </is>
      </c>
      <c r="B45" s="17" t="inlineStr">
        <is>
          <t>TIPSMUSIC</t>
        </is>
      </c>
      <c r="C45" s="18" t="n">
        <v>691.95</v>
      </c>
      <c r="D45" s="18" t="n">
        <v>681.95</v>
      </c>
      <c r="E45" s="18" t="n">
        <v>663.05</v>
      </c>
      <c r="F45" s="18" t="n">
        <v>604.78</v>
      </c>
      <c r="G45" s="19">
        <f>HYPERLINK("https://www.tradingview.com/chart/?symbol=NSE:TIPSMUSIC","Chart 📈")</f>
        <v/>
      </c>
    </row>
    <row r="46" ht="16" customHeight="1">
      <c r="A46" s="20" t="inlineStr">
        <is>
          <t>NIFTY MEDIA</t>
        </is>
      </c>
      <c r="B46" s="17" t="inlineStr">
        <is>
          <t>ZEEL</t>
        </is>
      </c>
      <c r="C46" s="18" t="n">
        <v>107.57</v>
      </c>
      <c r="D46" s="18" t="n">
        <v>105.44</v>
      </c>
      <c r="E46" s="18" t="n">
        <v>102.4</v>
      </c>
      <c r="F46" s="18" t="n">
        <v>98</v>
      </c>
      <c r="G46" s="19">
        <f>HYPERLINK("https://www.tradingview.com/chart/?symbol=NSE:ZEEL","Chart 📈")</f>
        <v/>
      </c>
    </row>
    <row r="47" ht="16" customHeight="1">
      <c r="A47" s="12" t="inlineStr">
        <is>
          <t>NIFTY FINANCIAL SERVICES</t>
        </is>
      </c>
      <c r="B47" s="13" t="inlineStr">
        <is>
          <t>BAJAJFINSV</t>
        </is>
      </c>
      <c r="C47" s="14" t="n">
        <v>1927.9</v>
      </c>
      <c r="D47" s="14" t="n">
        <v>1866.78</v>
      </c>
      <c r="E47" s="14" t="n">
        <v>1828.62</v>
      </c>
      <c r="F47" s="14" t="n">
        <v>1874.39</v>
      </c>
      <c r="G47" s="15">
        <f>HYPERLINK("https://www.tradingview.com/chart/?symbol=NSE:BAJAJFINSV","Chart 📈")</f>
        <v/>
      </c>
    </row>
    <row r="48" ht="16" customHeight="1">
      <c r="A48" s="16" t="inlineStr">
        <is>
          <t>NIFTY FINANCIAL SERVICES</t>
        </is>
      </c>
      <c r="B48" s="13" t="inlineStr">
        <is>
          <t>BAJFINANCE</t>
        </is>
      </c>
      <c r="C48" s="14" t="n">
        <v>1048.4</v>
      </c>
      <c r="D48" s="14" t="n">
        <v>1026.19</v>
      </c>
      <c r="E48" s="14" t="n">
        <v>987.5700000000001</v>
      </c>
      <c r="F48" s="14" t="n">
        <v>950.9</v>
      </c>
      <c r="G48" s="15">
        <f>HYPERLINK("https://www.tradingview.com/chart/?symbol=NSE:BAJFINANCE","Chart 📈")</f>
        <v/>
      </c>
    </row>
    <row r="49" ht="16" customHeight="1">
      <c r="A49" s="16" t="inlineStr">
        <is>
          <t>NIFTY FINANCIAL SERVICES</t>
        </is>
      </c>
      <c r="B49" s="13" t="inlineStr">
        <is>
          <t>ICICIBANK</t>
        </is>
      </c>
      <c r="C49" s="14" t="n">
        <v>1430.8</v>
      </c>
      <c r="D49" s="14" t="n">
        <v>1416.68</v>
      </c>
      <c r="E49" s="14" t="n">
        <v>1373.37</v>
      </c>
      <c r="F49" s="14" t="n">
        <v>1358.23</v>
      </c>
      <c r="G49" s="15">
        <f>HYPERLINK("https://www.tradingview.com/chart/?symbol=NSE:ICICIBANK","Chart 📈")</f>
        <v/>
      </c>
    </row>
    <row r="50" ht="16" customHeight="1">
      <c r="A50" s="16" t="inlineStr">
        <is>
          <t>NIFTY FINANCIAL SERVICES</t>
        </is>
      </c>
      <c r="B50" s="13" t="inlineStr">
        <is>
          <t>RECLTD</t>
        </is>
      </c>
      <c r="C50" s="14" t="n">
        <v>368.45</v>
      </c>
      <c r="D50" s="14" t="n">
        <v>359.5</v>
      </c>
      <c r="E50" s="14" t="n">
        <v>355.61</v>
      </c>
      <c r="F50" s="14" t="n">
        <v>354.05</v>
      </c>
      <c r="G50" s="15">
        <f>HYPERLINK("https://www.tradingview.com/chart/?symbol=NSE:RECLTD","Chart 📈")</f>
        <v/>
      </c>
    </row>
    <row r="51" ht="16" customHeight="1">
      <c r="A51" s="16" t="inlineStr">
        <is>
          <t>NIFTY FINANCIAL SERVICES</t>
        </is>
      </c>
      <c r="B51" s="13" t="inlineStr">
        <is>
          <t>SBILIFE</t>
        </is>
      </c>
      <c r="C51" s="14" t="n">
        <v>1889.1</v>
      </c>
      <c r="D51" s="14" t="n">
        <v>1833.01</v>
      </c>
      <c r="E51" s="14" t="n">
        <v>1826.23</v>
      </c>
      <c r="F51" s="14" t="n">
        <v>1875.68</v>
      </c>
      <c r="G51" s="15">
        <f>HYPERLINK("https://www.tradingview.com/chart/?symbol=NSE:SBILIFE","Chart 📈")</f>
        <v/>
      </c>
    </row>
    <row r="52" ht="16" customHeight="1">
      <c r="A52" s="16" t="inlineStr">
        <is>
          <t>NIFTY FINANCIAL SERVICES</t>
        </is>
      </c>
      <c r="B52" s="13" t="inlineStr">
        <is>
          <t>SHRIRAMFIN</t>
        </is>
      </c>
      <c r="C52" s="14" t="n">
        <v>1040.9</v>
      </c>
      <c r="D52" s="14" t="n">
        <v>1030.32</v>
      </c>
      <c r="E52" s="14" t="n">
        <v>1007.48</v>
      </c>
      <c r="F52" s="14" t="n">
        <v>924.13</v>
      </c>
      <c r="G52" s="15">
        <f>HYPERLINK("https://www.tradingview.com/chart/?symbol=NSE:SHRIRAMFIN","Chart 📈")</f>
        <v/>
      </c>
    </row>
    <row r="53" ht="16" customHeight="1">
      <c r="A53" s="8" t="inlineStr">
        <is>
          <t>NIFTY CONSUMER DURABLES</t>
        </is>
      </c>
      <c r="B53" s="17" t="inlineStr">
        <is>
          <t>CENTURYPLY</t>
        </is>
      </c>
      <c r="C53" s="18" t="n">
        <v>791.15</v>
      </c>
      <c r="D53" s="18" t="n">
        <v>781.67</v>
      </c>
      <c r="E53" s="18" t="n">
        <v>771.41</v>
      </c>
      <c r="F53" s="18" t="n">
        <v>762.4400000000001</v>
      </c>
      <c r="G53" s="19">
        <f>HYPERLINK("https://www.tradingview.com/chart/?symbol=NSE:CENTURYPLY","Chart 📈")</f>
        <v/>
      </c>
    </row>
    <row r="54" ht="16" customHeight="1">
      <c r="A54" s="20" t="inlineStr">
        <is>
          <t>NIFTY CONSUMER DURABLES</t>
        </is>
      </c>
      <c r="B54" s="17" t="inlineStr">
        <is>
          <t>CERA</t>
        </is>
      </c>
      <c r="C54" s="18" t="n">
        <v>6263.5</v>
      </c>
      <c r="D54" s="18" t="n">
        <v>6170.04</v>
      </c>
      <c r="E54" s="18" t="n">
        <v>6011.48</v>
      </c>
      <c r="F54" s="18" t="n">
        <v>5693.11</v>
      </c>
      <c r="G54" s="19">
        <f>HYPERLINK("https://www.tradingview.com/chart/?symbol=NSE:CERA","Chart 📈")</f>
        <v/>
      </c>
    </row>
    <row r="55" ht="16" customHeight="1">
      <c r="A55" s="20" t="inlineStr">
        <is>
          <t>NIFTY CONSUMER DURABLES</t>
        </is>
      </c>
      <c r="B55" s="17" t="inlineStr">
        <is>
          <t>DIXON</t>
        </is>
      </c>
      <c r="C55" s="18" t="n">
        <v>13903</v>
      </c>
      <c r="D55" s="18" t="n">
        <v>13517.33</v>
      </c>
      <c r="E55" s="18" t="n">
        <v>12717.26</v>
      </c>
      <c r="F55" s="18" t="n">
        <v>12741.4</v>
      </c>
      <c r="G55" s="19">
        <f>HYPERLINK("https://www.tradingview.com/chart/?symbol=NSE:DIXON","Chart 📈")</f>
        <v/>
      </c>
    </row>
    <row r="56" ht="16" customHeight="1">
      <c r="A56" s="20" t="inlineStr">
        <is>
          <t>NIFTY CONSUMER DURABLES</t>
        </is>
      </c>
      <c r="B56" s="17" t="inlineStr">
        <is>
          <t>KALYANKJIL</t>
        </is>
      </c>
      <c r="C56" s="18" t="n">
        <v>608.35</v>
      </c>
      <c r="D56" s="18" t="n">
        <v>517.48</v>
      </c>
      <c r="E56" s="18" t="n">
        <v>453.86</v>
      </c>
      <c r="F56" s="18" t="n">
        <v>445.42</v>
      </c>
      <c r="G56" s="19">
        <f>HYPERLINK("https://www.tradingview.com/chart/?symbol=NSE:KALYANKJIL","Chart 📈")</f>
        <v/>
      </c>
    </row>
    <row r="57" ht="16" customHeight="1">
      <c r="A57" s="20" t="inlineStr">
        <is>
          <t>NIFTY CONSUMER DURABLES</t>
        </is>
      </c>
      <c r="B57" s="17" t="inlineStr">
        <is>
          <t>TITAN</t>
        </is>
      </c>
      <c r="C57" s="18" t="n">
        <v>4849.7</v>
      </c>
      <c r="D57" s="18" t="n">
        <v>4606.3</v>
      </c>
      <c r="E57" s="18" t="n">
        <v>4449.14</v>
      </c>
      <c r="F57" s="18" t="n">
        <v>4136.6</v>
      </c>
      <c r="G57" s="19">
        <f>HYPERLINK("https://www.tradingview.com/chart/?symbol=NSE:TITAN","Chart 📈")</f>
        <v/>
      </c>
    </row>
    <row r="58" ht="16" customHeight="1">
      <c r="A58" s="12" t="inlineStr">
        <is>
          <t>NIFTY IT</t>
        </is>
      </c>
      <c r="B58" s="13" t="inlineStr">
        <is>
          <t>HCLTECH</t>
        </is>
      </c>
      <c r="C58" s="14" t="n">
        <v>1318.6</v>
      </c>
      <c r="D58" s="14" t="n">
        <v>1206.22</v>
      </c>
      <c r="E58" s="14" t="n">
        <v>1185.73</v>
      </c>
      <c r="F58" s="14" t="n">
        <v>1303.75</v>
      </c>
      <c r="G58" s="15">
        <f>HYPERLINK("https://www.tradingview.com/chart/?symbol=NSE:HCLTECH","Chart 📈")</f>
        <v/>
      </c>
    </row>
    <row r="59" ht="16" customHeight="1">
      <c r="A59" s="16" t="inlineStr">
        <is>
          <t>NIFTY IT</t>
        </is>
      </c>
      <c r="B59" s="13" t="inlineStr">
        <is>
          <t>TECHM</t>
        </is>
      </c>
      <c r="C59" s="14" t="n">
        <v>1635.2</v>
      </c>
      <c r="D59" s="14" t="n">
        <v>1517.4</v>
      </c>
      <c r="E59" s="14" t="n">
        <v>1467.22</v>
      </c>
      <c r="F59" s="14" t="n">
        <v>1444.45</v>
      </c>
      <c r="G59" s="15">
        <f>HYPERLINK("https://www.tradingview.com/chart/?symbol=NSE:TECHM","Chart 📈")</f>
        <v/>
      </c>
    </row>
    <row r="60" ht="16" customHeight="1">
      <c r="A60" s="8" t="inlineStr">
        <is>
          <t>NIFTY OIL &amp; GAS</t>
        </is>
      </c>
      <c r="B60" s="17" t="inlineStr">
        <is>
          <t>BPCL</t>
        </is>
      </c>
      <c r="C60" s="18" t="n">
        <v>320.05</v>
      </c>
      <c r="D60" s="18" t="n">
        <v>311.81</v>
      </c>
      <c r="E60" s="18" t="n">
        <v>308.71</v>
      </c>
      <c r="F60" s="18" t="n">
        <v>317.83</v>
      </c>
      <c r="G60" s="19">
        <f>HYPERLINK("https://www.tradingview.com/chart/?symbol=NSE:BPCL","Chart 📈")</f>
        <v/>
      </c>
    </row>
    <row r="61" ht="16" customHeight="1">
      <c r="A61" s="20" t="inlineStr">
        <is>
          <t>NIFTY OIL &amp; GAS</t>
        </is>
      </c>
      <c r="B61" s="17" t="inlineStr">
        <is>
          <t>GAIL</t>
        </is>
      </c>
      <c r="C61" s="18" t="n">
        <v>175.15</v>
      </c>
      <c r="D61" s="18" t="n">
        <v>172.68</v>
      </c>
      <c r="E61" s="18" t="n">
        <v>170.27</v>
      </c>
      <c r="F61" s="18" t="n">
        <v>166.54</v>
      </c>
      <c r="G61" s="19">
        <f>HYPERLINK("https://www.tradingview.com/chart/?symbol=NSE:GAIL","Chart 📈")</f>
        <v/>
      </c>
    </row>
    <row r="62" ht="16" customHeight="1">
      <c r="A62" s="20" t="inlineStr">
        <is>
          <t>NIFTY OIL &amp; GAS</t>
        </is>
      </c>
      <c r="B62" s="17" t="inlineStr">
        <is>
          <t>PETRONET</t>
        </is>
      </c>
      <c r="C62" s="18" t="n">
        <v>277.8</v>
      </c>
      <c r="D62" s="18" t="n">
        <v>276.27</v>
      </c>
      <c r="E62" s="18" t="n">
        <v>275.98</v>
      </c>
      <c r="F62" s="18" t="n">
        <v>276.53</v>
      </c>
      <c r="G62" s="19">
        <f>HYPERLINK("https://www.tradingview.com/chart/?symbol=NSE:PETRONET","Chart 📈")</f>
        <v/>
      </c>
    </row>
    <row r="63" ht="16" customHeight="1">
      <c r="A63" s="12" t="inlineStr">
        <is>
          <t>NIFTY METAL</t>
        </is>
      </c>
      <c r="B63" s="13" t="inlineStr">
        <is>
          <t>JSWSTEEL</t>
        </is>
      </c>
      <c r="C63" s="14" t="n">
        <v>1246.9</v>
      </c>
      <c r="D63" s="14" t="n">
        <v>1244.66</v>
      </c>
      <c r="E63" s="14" t="n">
        <v>1246.46</v>
      </c>
      <c r="F63" s="14" t="n">
        <v>1199.78</v>
      </c>
      <c r="G63" s="15">
        <f>HYPERLINK("https://www.tradingview.com/chart/?symbol=NSE:JSWSTEEL","Chart 📈")</f>
        <v/>
      </c>
    </row>
    <row r="64" ht="16" customHeight="1">
      <c r="A64" s="16" t="inlineStr">
        <is>
          <t>NIFTY METAL</t>
        </is>
      </c>
      <c r="B64" s="13" t="inlineStr">
        <is>
          <t>WELCORP</t>
        </is>
      </c>
      <c r="C64" s="14" t="n">
        <v>1643.1</v>
      </c>
      <c r="D64" s="14" t="n">
        <v>1582.32</v>
      </c>
      <c r="E64" s="14" t="n">
        <v>1468.76</v>
      </c>
      <c r="F64" s="14" t="n">
        <v>1142.76</v>
      </c>
      <c r="G64" s="15">
        <f>HYPERLINK("https://www.tradingview.com/chart/?symbol=NSE:WELCORP","Chart 📈")</f>
        <v/>
      </c>
    </row>
    <row r="65" ht="16" customHeight="1">
      <c r="A65" s="8" t="inlineStr">
        <is>
          <t>NIFTY PSU BANK</t>
        </is>
      </c>
      <c r="B65" s="17" t="inlineStr">
        <is>
          <t>INDIANB</t>
        </is>
      </c>
      <c r="C65" s="18" t="n">
        <v>834.25</v>
      </c>
      <c r="D65" s="18" t="n">
        <v>830.23</v>
      </c>
      <c r="E65" s="18" t="n">
        <v>832.95</v>
      </c>
      <c r="F65" s="18" t="n">
        <v>815.37</v>
      </c>
      <c r="G65" s="19">
        <f>HYPERLINK("https://www.tradingview.com/chart/?symbol=NSE:INDIANB","Chart 📈")</f>
        <v/>
      </c>
    </row>
    <row r="66" ht="16" customHeight="1">
      <c r="A66" s="20" t="inlineStr">
        <is>
          <t>NIFTY PSU BANK</t>
        </is>
      </c>
      <c r="B66" s="17" t="inlineStr">
        <is>
          <t>PNB</t>
        </is>
      </c>
      <c r="C66" s="18" t="n">
        <v>111.65</v>
      </c>
      <c r="D66" s="18" t="n">
        <v>108.35</v>
      </c>
      <c r="E66" s="18" t="n">
        <v>107.09</v>
      </c>
      <c r="F66" s="18" t="n">
        <v>109.08</v>
      </c>
      <c r="G66" s="19">
        <f>HYPERLINK("https://www.tradingview.com/chart/?symbol=NSE:PNB","Chart 📈")</f>
        <v/>
      </c>
    </row>
    <row r="67" ht="16" customHeight="1">
      <c r="A67" s="12" t="inlineStr">
        <is>
          <t>NIFTY BANK</t>
        </is>
      </c>
      <c r="B67" s="13" t="inlineStr">
        <is>
          <t>AUBANK</t>
        </is>
      </c>
      <c r="C67" s="14" t="n">
        <v>1047.7</v>
      </c>
      <c r="D67" s="14" t="n">
        <v>1026.23</v>
      </c>
      <c r="E67" s="14" t="n">
        <v>1018.51</v>
      </c>
      <c r="F67" s="14" t="n">
        <v>953.89</v>
      </c>
      <c r="G67" s="15">
        <f>HYPERLINK("https://www.tradingview.com/chart/?symbol=NSE:AUBANK","Chart 📈")</f>
        <v/>
      </c>
    </row>
    <row r="68" ht="16" customHeight="1">
      <c r="A68" s="16" t="inlineStr">
        <is>
          <t>NIFTY BANK</t>
        </is>
      </c>
      <c r="B68" s="13" t="inlineStr">
        <is>
          <t>FEDERALBNK</t>
        </is>
      </c>
      <c r="C68" s="14" t="n">
        <v>357.25</v>
      </c>
      <c r="D68" s="14" t="n">
        <v>341.28</v>
      </c>
      <c r="E68" s="14" t="n">
        <v>324.55</v>
      </c>
      <c r="F68" s="14" t="n">
        <v>283.46</v>
      </c>
      <c r="G68" s="15">
        <f>HYPERLINK("https://www.tradingview.com/chart/?symbol=NSE:FEDERALBNK","Chart 📈")</f>
        <v/>
      </c>
    </row>
    <row r="69" ht="16" customHeight="1">
      <c r="A69" s="16" t="inlineStr">
        <is>
          <t>NIFTY BANK</t>
        </is>
      </c>
      <c r="B69" s="13" t="inlineStr">
        <is>
          <t>IDFCFIRSTB</t>
        </is>
      </c>
      <c r="C69" s="14" t="n">
        <v>85.75</v>
      </c>
      <c r="D69" s="14" t="n">
        <v>80.73999999999999</v>
      </c>
      <c r="E69" s="14" t="n">
        <v>77.65000000000001</v>
      </c>
      <c r="F69" s="14" t="n">
        <v>74.75</v>
      </c>
      <c r="G69" s="15">
        <f>HYPERLINK("https://www.tradingview.com/chart/?symbol=NSE:IDFCFIRSTB","Chart 📈")</f>
        <v/>
      </c>
    </row>
    <row r="70" ht="16" customHeight="1">
      <c r="A70" s="8" t="inlineStr">
        <is>
          <t>NIFTY ENERGY</t>
        </is>
      </c>
      <c r="B70" s="17" t="inlineStr">
        <is>
          <t>SIEMENS</t>
        </is>
      </c>
      <c r="C70" s="18" t="n">
        <v>3681</v>
      </c>
      <c r="D70" s="18" t="n">
        <v>3631.72</v>
      </c>
      <c r="E70" s="18" t="n">
        <v>3612.89</v>
      </c>
      <c r="F70" s="18" t="n">
        <v>3412.13</v>
      </c>
      <c r="G70" s="19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2026-07-28T13:02:43Z</dcterms:created>
  <dcterms:modified xsi:type="dcterms:W3CDTF">2026-07-28T13:02:43Z</dcterms:modified>
</cp:coreProperties>
</file>