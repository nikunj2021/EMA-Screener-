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EMA Summary" sheetId="1" state="visible" r:id="rId1"/>
    <sheet xmlns:r="http://schemas.openxmlformats.org/officeDocument/2006/relationships" name="Ticker Detail (Above EM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7"/>
      </patternFill>
    </fill>
  </fills>
  <borders count="4">
    <border>
      <left/>
      <right/>
      <top/>
      <bottom/>
      <diagonal/>
    </border>
    <border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55555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center"/>
    </xf>
    <xf numFmtId="1" fontId="5" fillId="5" borderId="3" applyAlignment="1" pivotButton="0" quotePrefix="0" xfId="0">
      <alignment horizontal="center" vertical="center"/>
    </xf>
    <xf numFmtId="164" fontId="5" fillId="5" borderId="3" applyAlignment="1" pivotButton="0" quotePrefix="0" xfId="0">
      <alignment horizontal="center" vertical="center"/>
    </xf>
    <xf numFmtId="164" fontId="4" fillId="5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left" vertical="center"/>
    </xf>
    <xf numFmtId="1" fontId="5" fillId="6" borderId="3" applyAlignment="1" pivotButton="0" quotePrefix="0" xfId="0">
      <alignment horizontal="center" vertical="center"/>
    </xf>
    <xf numFmtId="164" fontId="5" fillId="6" borderId="3" applyAlignment="1" pivotButton="0" quotePrefix="0" xfId="0">
      <alignment horizontal="center" vertical="center"/>
    </xf>
    <xf numFmtId="164" fontId="4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center" vertical="center"/>
    </xf>
    <xf numFmtId="4" fontId="5" fillId="7" borderId="3" applyAlignment="1" pivotButton="0" quotePrefix="0" xfId="0">
      <alignment horizontal="right" vertical="center"/>
    </xf>
    <xf numFmtId="0" fontId="6" fillId="7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4" fontId="5" fillId="6" borderId="3" applyAlignment="1" pivotButton="0" quotePrefix="0" xfId="0">
      <alignment horizontal="right" vertical="center"/>
    </xf>
    <xf numFmtId="0" fontId="6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8" customHeight="1">
      <c r="A1" s="1" t="inlineStr">
        <is>
          <t>NSE Sectoral EMA Analysis   ·   Generated: 16-Oct-2026  15:21</t>
        </is>
      </c>
    </row>
    <row r="2" ht="18" customHeight="1">
      <c r="C2" s="2" t="inlineStr">
        <is>
          <t>No. of Stocks Above EMA</t>
        </is>
      </c>
      <c r="F2" s="2" t="inlineStr">
        <is>
          <t>% of Stocks Above EMA</t>
        </is>
      </c>
    </row>
    <row r="3" ht="36" customHeight="1">
      <c r="A3" s="3" t="inlineStr">
        <is>
          <t>Sector</t>
        </is>
      </c>
      <c r="B3" s="3" t="inlineStr">
        <is>
          <t>Total
Stocks</t>
        </is>
      </c>
      <c r="C3" s="3" t="inlineStr">
        <is>
          <t>Above
20 EMA</t>
        </is>
      </c>
      <c r="D3" s="3" t="inlineStr">
        <is>
          <t>Above
50 EMA</t>
        </is>
      </c>
      <c r="E3" s="3" t="inlineStr">
        <is>
          <t>Above
200 EMA</t>
        </is>
      </c>
      <c r="F3" s="3" t="inlineStr">
        <is>
          <t>% Above
20 EMA</t>
        </is>
      </c>
      <c r="G3" s="3" t="inlineStr">
        <is>
          <t>% Above
50 EMA</t>
        </is>
      </c>
      <c r="H3" s="3" t="inlineStr">
        <is>
          <t>% Above
200 EMA</t>
        </is>
      </c>
      <c r="I3" s="3" t="inlineStr">
        <is>
          <t>Composite
Strength %</t>
        </is>
      </c>
    </row>
    <row r="4" ht="17" customHeight="1">
      <c r="A4" s="4" t="inlineStr">
        <is>
          <t>NIFTY MIDSMALL IT &amp; TELECOM</t>
        </is>
      </c>
      <c r="B4" s="5" t="n">
        <v>20</v>
      </c>
      <c r="C4" s="5" t="n">
        <v>14</v>
      </c>
      <c r="D4" s="5" t="n">
        <v>13</v>
      </c>
      <c r="E4" s="5" t="n">
        <v>10</v>
      </c>
      <c r="F4" s="6" t="n">
        <v>0.7</v>
      </c>
      <c r="G4" s="6" t="n">
        <v>0.65</v>
      </c>
      <c r="H4" s="6" t="n">
        <v>0.5</v>
      </c>
      <c r="I4" s="7" t="n">
        <v>0.6167</v>
      </c>
    </row>
    <row r="5" ht="17" customHeight="1">
      <c r="A5" s="8" t="inlineStr">
        <is>
          <t>NIFTY MEDIA</t>
        </is>
      </c>
      <c r="B5" s="9" t="n">
        <v>10</v>
      </c>
      <c r="C5" s="9" t="n">
        <v>6</v>
      </c>
      <c r="D5" s="9" t="n">
        <v>5</v>
      </c>
      <c r="E5" s="9" t="n">
        <v>5</v>
      </c>
      <c r="F5" s="10" t="n">
        <v>0.6</v>
      </c>
      <c r="G5" s="10" t="n">
        <v>0.5</v>
      </c>
      <c r="H5" s="10" t="n">
        <v>0.5</v>
      </c>
      <c r="I5" s="11" t="n">
        <v>0.5333</v>
      </c>
    </row>
    <row r="6" ht="17" customHeight="1">
      <c r="A6" s="4" t="inlineStr">
        <is>
          <t>NIFTY IT</t>
        </is>
      </c>
      <c r="B6" s="5" t="n">
        <v>10</v>
      </c>
      <c r="C6" s="5" t="n">
        <v>5</v>
      </c>
      <c r="D6" s="5" t="n">
        <v>5</v>
      </c>
      <c r="E6" s="5" t="n">
        <v>3</v>
      </c>
      <c r="F6" s="6" t="n">
        <v>0.5</v>
      </c>
      <c r="G6" s="6" t="n">
        <v>0.5</v>
      </c>
      <c r="H6" s="6" t="n">
        <v>0.3</v>
      </c>
      <c r="I6" s="7" t="n">
        <v>0.4333</v>
      </c>
    </row>
    <row r="7" ht="17" customHeight="1">
      <c r="A7" s="8" t="inlineStr">
        <is>
          <t>NIFTY PHARMA</t>
        </is>
      </c>
      <c r="B7" s="9" t="n">
        <v>20</v>
      </c>
      <c r="C7" s="9" t="n">
        <v>3</v>
      </c>
      <c r="D7" s="9" t="n">
        <v>5</v>
      </c>
      <c r="E7" s="9" t="n">
        <v>11</v>
      </c>
      <c r="F7" s="10" t="n">
        <v>0.15</v>
      </c>
      <c r="G7" s="10" t="n">
        <v>0.25</v>
      </c>
      <c r="H7" s="10" t="n">
        <v>0.55</v>
      </c>
      <c r="I7" s="11" t="n">
        <v>0.3167</v>
      </c>
    </row>
    <row r="8" ht="17" customHeight="1">
      <c r="A8" s="4" t="inlineStr">
        <is>
          <t>NIFTY REALTY</t>
        </is>
      </c>
      <c r="B8" s="5" t="n">
        <v>10</v>
      </c>
      <c r="C8" s="5" t="n">
        <v>4</v>
      </c>
      <c r="D8" s="5" t="n">
        <v>2</v>
      </c>
      <c r="E8" s="5" t="n">
        <v>3</v>
      </c>
      <c r="F8" s="6" t="n">
        <v>0.4</v>
      </c>
      <c r="G8" s="6" t="n">
        <v>0.2</v>
      </c>
      <c r="H8" s="6" t="n">
        <v>0.3</v>
      </c>
      <c r="I8" s="7" t="n">
        <v>0.3</v>
      </c>
    </row>
    <row r="9" ht="17" customHeight="1">
      <c r="A9" s="8" t="inlineStr">
        <is>
          <t>NIFTY FINANCIAL SERVICES</t>
        </is>
      </c>
      <c r="B9" s="9" t="n">
        <v>20</v>
      </c>
      <c r="C9" s="9" t="n">
        <v>8</v>
      </c>
      <c r="D9" s="9" t="n">
        <v>6</v>
      </c>
      <c r="E9" s="9" t="n">
        <v>4</v>
      </c>
      <c r="F9" s="10" t="n">
        <v>0.4</v>
      </c>
      <c r="G9" s="10" t="n">
        <v>0.3</v>
      </c>
      <c r="H9" s="10" t="n">
        <v>0.2</v>
      </c>
      <c r="I9" s="11" t="n">
        <v>0.3</v>
      </c>
    </row>
    <row r="10" ht="17" customHeight="1">
      <c r="A10" s="4" t="inlineStr">
        <is>
          <t>NIFTY AUTO</t>
        </is>
      </c>
      <c r="B10" s="5" t="n">
        <v>15</v>
      </c>
      <c r="C10" s="5" t="n">
        <v>6</v>
      </c>
      <c r="D10" s="5" t="n">
        <v>3</v>
      </c>
      <c r="E10" s="5" t="n">
        <v>4</v>
      </c>
      <c r="F10" s="6" t="n">
        <v>0.4</v>
      </c>
      <c r="G10" s="6" t="n">
        <v>0.2</v>
      </c>
      <c r="H10" s="6" t="n">
        <v>0.267</v>
      </c>
      <c r="I10" s="7" t="n">
        <v>0.289</v>
      </c>
    </row>
    <row r="11" ht="17" customHeight="1">
      <c r="A11" s="8" t="inlineStr">
        <is>
          <t>NIFTY PSU BANK</t>
        </is>
      </c>
      <c r="B11" s="9" t="n">
        <v>12</v>
      </c>
      <c r="C11" s="9" t="n">
        <v>4</v>
      </c>
      <c r="D11" s="9" t="n">
        <v>2</v>
      </c>
      <c r="E11" s="9" t="n">
        <v>4</v>
      </c>
      <c r="F11" s="10" t="n">
        <v>0.333</v>
      </c>
      <c r="G11" s="10" t="n">
        <v>0.167</v>
      </c>
      <c r="H11" s="10" t="n">
        <v>0.333</v>
      </c>
      <c r="I11" s="11" t="n">
        <v>0.2777</v>
      </c>
    </row>
    <row r="12" ht="17" customHeight="1">
      <c r="A12" s="4" t="inlineStr">
        <is>
          <t>NIFTY OIL &amp; GAS</t>
        </is>
      </c>
      <c r="B12" s="5" t="n">
        <v>15</v>
      </c>
      <c r="C12" s="5" t="n">
        <v>5</v>
      </c>
      <c r="D12" s="5" t="n">
        <v>3</v>
      </c>
      <c r="E12" s="5" t="n">
        <v>3</v>
      </c>
      <c r="F12" s="6" t="n">
        <v>0.333</v>
      </c>
      <c r="G12" s="6" t="n">
        <v>0.2</v>
      </c>
      <c r="H12" s="6" t="n">
        <v>0.2</v>
      </c>
      <c r="I12" s="7" t="n">
        <v>0.2443</v>
      </c>
    </row>
    <row r="13" ht="17" customHeight="1">
      <c r="A13" s="8" t="inlineStr">
        <is>
          <t>NIFTY FMCG</t>
        </is>
      </c>
      <c r="B13" s="9" t="n">
        <v>15</v>
      </c>
      <c r="C13" s="9" t="n">
        <v>6</v>
      </c>
      <c r="D13" s="9" t="n">
        <v>2</v>
      </c>
      <c r="E13" s="9" t="n">
        <v>2</v>
      </c>
      <c r="F13" s="10" t="n">
        <v>0.4</v>
      </c>
      <c r="G13" s="10" t="n">
        <v>0.133</v>
      </c>
      <c r="H13" s="10" t="n">
        <v>0.133</v>
      </c>
      <c r="I13" s="11" t="n">
        <v>0.222</v>
      </c>
    </row>
    <row r="14" ht="17" customHeight="1">
      <c r="A14" s="4" t="inlineStr">
        <is>
          <t>NIFTY CONSUMER DURABLES</t>
        </is>
      </c>
      <c r="B14" s="5" t="n">
        <v>15</v>
      </c>
      <c r="C14" s="5" t="n">
        <v>5</v>
      </c>
      <c r="D14" s="5" t="n">
        <v>3</v>
      </c>
      <c r="E14" s="5" t="n">
        <v>2</v>
      </c>
      <c r="F14" s="6" t="n">
        <v>0.333</v>
      </c>
      <c r="G14" s="6" t="n">
        <v>0.2</v>
      </c>
      <c r="H14" s="6" t="n">
        <v>0.133</v>
      </c>
      <c r="I14" s="7" t="n">
        <v>0.222</v>
      </c>
    </row>
    <row r="15" ht="17" customHeight="1">
      <c r="A15" s="8" t="inlineStr">
        <is>
          <t>NIFTY METAL</t>
        </is>
      </c>
      <c r="B15" s="9" t="n">
        <v>15</v>
      </c>
      <c r="C15" s="9" t="n">
        <v>2</v>
      </c>
      <c r="D15" s="9" t="n">
        <v>3</v>
      </c>
      <c r="E15" s="9" t="n">
        <v>4</v>
      </c>
      <c r="F15" s="10" t="n">
        <v>0.133</v>
      </c>
      <c r="G15" s="10" t="n">
        <v>0.2</v>
      </c>
      <c r="H15" s="10" t="n">
        <v>0.267</v>
      </c>
      <c r="I15" s="11" t="n">
        <v>0.2</v>
      </c>
    </row>
    <row r="16" ht="17" customHeight="1">
      <c r="A16" s="4" t="inlineStr">
        <is>
          <t>NIFTY ENERGY</t>
        </is>
      </c>
      <c r="B16" s="5" t="n">
        <v>40</v>
      </c>
      <c r="C16" s="5" t="n">
        <v>6</v>
      </c>
      <c r="D16" s="5" t="n">
        <v>2</v>
      </c>
      <c r="E16" s="5" t="n">
        <v>9</v>
      </c>
      <c r="F16" s="6" t="n">
        <v>0.15</v>
      </c>
      <c r="G16" s="6" t="n">
        <v>0.05</v>
      </c>
      <c r="H16" s="6" t="n">
        <v>0.225</v>
      </c>
      <c r="I16" s="7" t="n">
        <v>0.1417</v>
      </c>
    </row>
    <row r="17" ht="17" customHeight="1">
      <c r="A17" s="8" t="inlineStr">
        <is>
          <t>NIFTY BANK</t>
        </is>
      </c>
      <c r="B17" s="9" t="n">
        <v>12</v>
      </c>
      <c r="C17" s="9" t="n">
        <v>1</v>
      </c>
      <c r="D17" s="9" t="n">
        <v>1</v>
      </c>
      <c r="E17" s="9" t="n">
        <v>1</v>
      </c>
      <c r="F17" s="10" t="n">
        <v>0.083</v>
      </c>
      <c r="G17" s="10" t="n">
        <v>0.083</v>
      </c>
      <c r="H17" s="10" t="n">
        <v>0.083</v>
      </c>
      <c r="I17" s="11" t="n">
        <v>0.083</v>
      </c>
    </row>
  </sheetData>
  <mergeCells count="3">
    <mergeCell ref="A1:I1"/>
    <mergeCell ref="C2:E2"/>
    <mergeCell ref="F2:H2"/>
  </mergeCells>
  <conditionalFormatting sqref="F4:F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:I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 ht="28" customHeight="1">
      <c r="A1" s="1" t="inlineStr">
        <is>
          <t>NSE Stocks Trading Above 20 / 50 / 200-Day EMA   ·   Strongest Sector First</t>
        </is>
      </c>
    </row>
    <row r="2" ht="36" customHeight="1">
      <c r="A2" s="3" t="inlineStr">
        <is>
          <t>Sector</t>
        </is>
      </c>
      <c r="B2" s="3" t="inlineStr">
        <is>
          <t>Ticker</t>
        </is>
      </c>
      <c r="C2" s="3" t="inlineStr">
        <is>
          <t>Current
Close (₹)</t>
        </is>
      </c>
      <c r="D2" s="3" t="inlineStr">
        <is>
          <t>20-Day
EMA (₹)</t>
        </is>
      </c>
      <c r="E2" s="3" t="inlineStr">
        <is>
          <t>50-Day
EMA (₹)</t>
        </is>
      </c>
      <c r="F2" s="3" t="inlineStr">
        <is>
          <t>200-Day
EMA (₹)</t>
        </is>
      </c>
      <c r="G2" s="3" t="inlineStr">
        <is>
          <t>TradingView
Chart</t>
        </is>
      </c>
    </row>
    <row r="3" ht="16" customHeight="1">
      <c r="A3" s="12" t="inlineStr">
        <is>
          <t>NIFTY MIDSMALL IT &amp; TELECOM</t>
        </is>
      </c>
      <c r="B3" s="13" t="inlineStr">
        <is>
          <t>COFORGE</t>
        </is>
      </c>
      <c r="C3" s="14" t="n">
        <v>1951.9</v>
      </c>
      <c r="D3" s="14" t="n">
        <v>1861.46</v>
      </c>
      <c r="E3" s="14" t="n">
        <v>1808.32</v>
      </c>
      <c r="F3" s="14" t="n">
        <v>1640.44</v>
      </c>
      <c r="G3" s="15">
        <f>HYPERLINK("https://www.tradingview.com/chart/?symbol=NSE:COFORGE","Chart 📈")</f>
        <v/>
      </c>
    </row>
    <row r="4" ht="16" customHeight="1">
      <c r="A4" s="16" t="inlineStr">
        <is>
          <t>NIFTY MIDSMALL IT &amp; TELECOM</t>
        </is>
      </c>
      <c r="B4" s="13" t="inlineStr">
        <is>
          <t>CYIENT</t>
        </is>
      </c>
      <c r="C4" s="14" t="n">
        <v>1194.5</v>
      </c>
      <c r="D4" s="14" t="n">
        <v>1126.61</v>
      </c>
      <c r="E4" s="14" t="n">
        <v>1058.13</v>
      </c>
      <c r="F4" s="14" t="n">
        <v>999.01</v>
      </c>
      <c r="G4" s="15">
        <f>HYPERLINK("https://www.tradingview.com/chart/?symbol=NSE:CYIENT","Chart 📈")</f>
        <v/>
      </c>
    </row>
    <row r="5" ht="16" customHeight="1">
      <c r="A5" s="16" t="inlineStr">
        <is>
          <t>NIFTY MIDSMALL IT &amp; TELECOM</t>
        </is>
      </c>
      <c r="B5" s="13" t="inlineStr">
        <is>
          <t>HFCL</t>
        </is>
      </c>
      <c r="C5" s="14" t="n">
        <v>256.01</v>
      </c>
      <c r="D5" s="14" t="n">
        <v>244.9</v>
      </c>
      <c r="E5" s="14" t="n">
        <v>231.41</v>
      </c>
      <c r="F5" s="14" t="n">
        <v>171.39</v>
      </c>
      <c r="G5" s="15">
        <f>HYPERLINK("https://www.tradingview.com/chart/?symbol=NSE:HFCL","Chart 📈")</f>
        <v/>
      </c>
    </row>
    <row r="6" ht="16" customHeight="1">
      <c r="A6" s="16" t="inlineStr">
        <is>
          <t>NIFTY MIDSMALL IT &amp; TELECOM</t>
        </is>
      </c>
      <c r="B6" s="13" t="inlineStr">
        <is>
          <t>LTTS</t>
        </is>
      </c>
      <c r="C6" s="14" t="n">
        <v>3714.6</v>
      </c>
      <c r="D6" s="14" t="n">
        <v>3392.77</v>
      </c>
      <c r="E6" s="14" t="n">
        <v>3392.83</v>
      </c>
      <c r="F6" s="14" t="n">
        <v>3541.55</v>
      </c>
      <c r="G6" s="15">
        <f>HYPERLINK("https://www.tradingview.com/chart/?symbol=NSE:LTTS","Chart 📈")</f>
        <v/>
      </c>
    </row>
    <row r="7" ht="16" customHeight="1">
      <c r="A7" s="16" t="inlineStr">
        <is>
          <t>NIFTY MIDSMALL IT &amp; TELECOM</t>
        </is>
      </c>
      <c r="B7" s="13" t="inlineStr">
        <is>
          <t>MPHASIS</t>
        </is>
      </c>
      <c r="C7" s="14" t="n">
        <v>2500</v>
      </c>
      <c r="D7" s="14" t="n">
        <v>2355.35</v>
      </c>
      <c r="E7" s="14" t="n">
        <v>2346.92</v>
      </c>
      <c r="F7" s="14" t="n">
        <v>2382.77</v>
      </c>
      <c r="G7" s="15">
        <f>HYPERLINK("https://www.tradingview.com/chart/?symbol=NSE:MPHASIS","Chart 📈")</f>
        <v/>
      </c>
    </row>
    <row r="8" ht="16" customHeight="1">
      <c r="A8" s="16" t="inlineStr">
        <is>
          <t>NIFTY MIDSMALL IT &amp; TELECOM</t>
        </is>
      </c>
      <c r="B8" s="13" t="inlineStr">
        <is>
          <t>PERSISTENT</t>
        </is>
      </c>
      <c r="C8" s="14" t="n">
        <v>5741</v>
      </c>
      <c r="D8" s="14" t="n">
        <v>5614.83</v>
      </c>
      <c r="E8" s="14" t="n">
        <v>5501.86</v>
      </c>
      <c r="F8" s="14" t="n">
        <v>5410.34</v>
      </c>
      <c r="G8" s="15">
        <f>HYPERLINK("https://www.tradingview.com/chart/?symbol=NSE:PERSISTENT","Chart 📈")</f>
        <v/>
      </c>
    </row>
    <row r="9" ht="16" customHeight="1">
      <c r="A9" s="16" t="inlineStr">
        <is>
          <t>NIFTY MIDSMALL IT &amp; TELECOM</t>
        </is>
      </c>
      <c r="B9" s="13" t="inlineStr">
        <is>
          <t>TANLA</t>
        </is>
      </c>
      <c r="C9" s="14" t="n">
        <v>559.65</v>
      </c>
      <c r="D9" s="14" t="n">
        <v>517.55</v>
      </c>
      <c r="E9" s="14" t="n">
        <v>524.11</v>
      </c>
      <c r="F9" s="14" t="n">
        <v>538.5599999999999</v>
      </c>
      <c r="G9" s="15">
        <f>HYPERLINK("https://www.tradingview.com/chart/?symbol=NSE:TANLA","Chart 📈")</f>
        <v/>
      </c>
    </row>
    <row r="10" ht="16" customHeight="1">
      <c r="A10" s="8" t="inlineStr">
        <is>
          <t>NIFTY MEDIA</t>
        </is>
      </c>
      <c r="B10" s="17" t="inlineStr">
        <is>
          <t>NAZARA</t>
        </is>
      </c>
      <c r="C10" s="18" t="n">
        <v>418.15</v>
      </c>
      <c r="D10" s="18" t="n">
        <v>388.12</v>
      </c>
      <c r="E10" s="18" t="n">
        <v>368.4</v>
      </c>
      <c r="F10" s="18" t="n">
        <v>315.08</v>
      </c>
      <c r="G10" s="19">
        <f>HYPERLINK("https://www.tradingview.com/chart/?symbol=NSE:NAZARA","Chart 📈")</f>
        <v/>
      </c>
    </row>
    <row r="11" ht="16" customHeight="1">
      <c r="A11" s="20" t="inlineStr">
        <is>
          <t>NIFTY MEDIA</t>
        </is>
      </c>
      <c r="B11" s="17" t="inlineStr">
        <is>
          <t>PVRINOX</t>
        </is>
      </c>
      <c r="C11" s="18" t="n">
        <v>1401</v>
      </c>
      <c r="D11" s="18" t="n">
        <v>1315</v>
      </c>
      <c r="E11" s="18" t="n">
        <v>1246.02</v>
      </c>
      <c r="F11" s="18" t="n">
        <v>1118.37</v>
      </c>
      <c r="G11" s="19">
        <f>HYPERLINK("https://www.tradingview.com/chart/?symbol=NSE:PVRINOX","Chart 📈")</f>
        <v/>
      </c>
    </row>
    <row r="12" ht="16" customHeight="1">
      <c r="A12" s="20" t="inlineStr">
        <is>
          <t>NIFTY MEDIA</t>
        </is>
      </c>
      <c r="B12" s="17" t="inlineStr">
        <is>
          <t>SAREGAMA</t>
        </is>
      </c>
      <c r="C12" s="18" t="n">
        <v>504</v>
      </c>
      <c r="D12" s="18" t="n">
        <v>498.08</v>
      </c>
      <c r="E12" s="18" t="n">
        <v>496</v>
      </c>
      <c r="F12" s="18" t="n">
        <v>451.86</v>
      </c>
      <c r="G12" s="19">
        <f>HYPERLINK("https://www.tradingview.com/chart/?symbol=NSE:SAREGAMA","Chart 📈")</f>
        <v/>
      </c>
    </row>
    <row r="13" ht="16" customHeight="1">
      <c r="A13" s="20" t="inlineStr">
        <is>
          <t>NIFTY MEDIA</t>
        </is>
      </c>
      <c r="B13" s="17" t="inlineStr">
        <is>
          <t>SUNTV</t>
        </is>
      </c>
      <c r="C13" s="18" t="n">
        <v>638</v>
      </c>
      <c r="D13" s="18" t="n">
        <v>588.08</v>
      </c>
      <c r="E13" s="18" t="n">
        <v>540.38</v>
      </c>
      <c r="F13" s="18" t="n">
        <v>531.79</v>
      </c>
      <c r="G13" s="19">
        <f>HYPERLINK("https://www.tradingview.com/chart/?symbol=NSE:SUNTV","Chart 📈")</f>
        <v/>
      </c>
    </row>
    <row r="14" ht="16" customHeight="1">
      <c r="A14" s="20" t="inlineStr">
        <is>
          <t>NIFTY MEDIA</t>
        </is>
      </c>
      <c r="B14" s="17" t="inlineStr">
        <is>
          <t>TIPSMUSIC</t>
        </is>
      </c>
      <c r="C14" s="18" t="n">
        <v>746.9</v>
      </c>
      <c r="D14" s="18" t="n">
        <v>672.64</v>
      </c>
      <c r="E14" s="18" t="n">
        <v>663.47</v>
      </c>
      <c r="F14" s="18" t="n">
        <v>623.25</v>
      </c>
      <c r="G14" s="19">
        <f>HYPERLINK("https://www.tradingview.com/chart/?symbol=NSE:TIPSMUSIC","Chart 📈")</f>
        <v/>
      </c>
    </row>
    <row r="15" ht="16" customHeight="1">
      <c r="A15" s="12" t="inlineStr">
        <is>
          <t>NIFTY IT</t>
        </is>
      </c>
      <c r="B15" s="13" t="inlineStr">
        <is>
          <t>HCLTECH</t>
        </is>
      </c>
      <c r="C15" s="14" t="n">
        <v>1380</v>
      </c>
      <c r="D15" s="14" t="n">
        <v>1261.8</v>
      </c>
      <c r="E15" s="14" t="n">
        <v>1255.29</v>
      </c>
      <c r="F15" s="14" t="n">
        <v>1292.44</v>
      </c>
      <c r="G15" s="15">
        <f>HYPERLINK("https://www.tradingview.com/chart/?symbol=NSE:HCLTECH","Chart 📈")</f>
        <v/>
      </c>
    </row>
    <row r="16" ht="16" customHeight="1">
      <c r="A16" s="16" t="inlineStr">
        <is>
          <t>NIFTY IT</t>
        </is>
      </c>
      <c r="B16" s="13" t="inlineStr">
        <is>
          <t>TCS</t>
        </is>
      </c>
      <c r="C16" s="14" t="n">
        <v>2465</v>
      </c>
      <c r="D16" s="14" t="n">
        <v>2195.95</v>
      </c>
      <c r="E16" s="14" t="n">
        <v>2205.21</v>
      </c>
      <c r="F16" s="14" t="n">
        <v>2385.36</v>
      </c>
      <c r="G16" s="15">
        <f>HYPERLINK("https://www.tradingview.com/chart/?symbol=NSE:TCS","Chart 📈")</f>
        <v/>
      </c>
    </row>
    <row r="17" ht="16" customHeight="1">
      <c r="A17" s="16" t="inlineStr">
        <is>
          <t>NIFTY IT</t>
        </is>
      </c>
      <c r="B17" s="13" t="inlineStr">
        <is>
          <t>TECHM</t>
        </is>
      </c>
      <c r="C17" s="14" t="n">
        <v>1790</v>
      </c>
      <c r="D17" s="14" t="n">
        <v>1568.37</v>
      </c>
      <c r="E17" s="14" t="n">
        <v>1558.35</v>
      </c>
      <c r="F17" s="14" t="n">
        <v>1502.88</v>
      </c>
      <c r="G17" s="15">
        <f>HYPERLINK("https://www.tradingview.com/chart/?symbol=NSE:TECHM","Chart 📈")</f>
        <v/>
      </c>
    </row>
    <row r="18" ht="16" customHeight="1">
      <c r="A18" s="8" t="inlineStr">
        <is>
          <t>NIFTY PHARMA</t>
        </is>
      </c>
      <c r="B18" s="17" t="inlineStr">
        <is>
          <t>DRREDDY</t>
        </is>
      </c>
      <c r="C18" s="18" t="n">
        <v>1233</v>
      </c>
      <c r="D18" s="18" t="n">
        <v>1208.52</v>
      </c>
      <c r="E18" s="18" t="n">
        <v>1201.81</v>
      </c>
      <c r="F18" s="18" t="n">
        <v>1227.28</v>
      </c>
      <c r="G18" s="19">
        <f>HYPERLINK("https://www.tradingview.com/chart/?symbol=NSE:DRREDDY","Chart 📈")</f>
        <v/>
      </c>
    </row>
    <row r="19" ht="16" customHeight="1">
      <c r="A19" s="20" t="inlineStr">
        <is>
          <t>NIFTY PHARMA</t>
        </is>
      </c>
      <c r="B19" s="17" t="inlineStr">
        <is>
          <t>GLAND</t>
        </is>
      </c>
      <c r="C19" s="18" t="n">
        <v>3043.4</v>
      </c>
      <c r="D19" s="18" t="n">
        <v>3001.29</v>
      </c>
      <c r="E19" s="18" t="n">
        <v>2875.28</v>
      </c>
      <c r="F19" s="18" t="n">
        <v>2386.94</v>
      </c>
      <c r="G19" s="19">
        <f>HYPERLINK("https://www.tradingview.com/chart/?symbol=NSE:GLAND","Chart 📈")</f>
        <v/>
      </c>
    </row>
    <row r="20" ht="16" customHeight="1">
      <c r="A20" s="20" t="inlineStr">
        <is>
          <t>NIFTY PHARMA</t>
        </is>
      </c>
      <c r="B20" s="17" t="inlineStr">
        <is>
          <t>LAURUSLABS</t>
        </is>
      </c>
      <c r="C20" s="18" t="n">
        <v>2060.1</v>
      </c>
      <c r="D20" s="18" t="n">
        <v>2009.29</v>
      </c>
      <c r="E20" s="18" t="n">
        <v>1913.19</v>
      </c>
      <c r="F20" s="18" t="n">
        <v>1511.58</v>
      </c>
      <c r="G20" s="19">
        <f>HYPERLINK("https://www.tradingview.com/chart/?symbol=NSE:LAURUSLABS","Chart 📈")</f>
        <v/>
      </c>
    </row>
    <row r="21" ht="16" customHeight="1">
      <c r="A21" s="12" t="inlineStr">
        <is>
          <t>NIFTY REALTY</t>
        </is>
      </c>
      <c r="B21" s="13" t="inlineStr">
        <is>
          <t>DLF</t>
        </is>
      </c>
      <c r="C21" s="14" t="n">
        <v>675</v>
      </c>
      <c r="D21" s="14" t="n">
        <v>662.22</v>
      </c>
      <c r="E21" s="14" t="n">
        <v>658.6</v>
      </c>
      <c r="F21" s="14" t="n">
        <v>649.3</v>
      </c>
      <c r="G21" s="15">
        <f>HYPERLINK("https://www.tradingview.com/chart/?symbol=NSE:DLF","Chart 📈")</f>
        <v/>
      </c>
    </row>
    <row r="22" ht="16" customHeight="1">
      <c r="A22" s="16" t="inlineStr">
        <is>
          <t>NIFTY REALTY</t>
        </is>
      </c>
      <c r="B22" s="13" t="inlineStr">
        <is>
          <t>RAYMOND</t>
        </is>
      </c>
      <c r="C22" s="14" t="n">
        <v>1133.9</v>
      </c>
      <c r="D22" s="14" t="n">
        <v>1125.46</v>
      </c>
      <c r="E22" s="14" t="n">
        <v>961.03</v>
      </c>
      <c r="F22" s="14" t="n">
        <v>678.85</v>
      </c>
      <c r="G22" s="15">
        <f>HYPERLINK("https://www.tradingview.com/chart/?symbol=NSE:RAYMOND","Chart 📈")</f>
        <v/>
      </c>
    </row>
    <row r="23" ht="16" customHeight="1">
      <c r="A23" s="8" t="inlineStr">
        <is>
          <t>NIFTY FINANCIAL SERVICES</t>
        </is>
      </c>
      <c r="B23" s="17" t="inlineStr">
        <is>
          <t>AXISBANK</t>
        </is>
      </c>
      <c r="C23" s="18" t="n">
        <v>1290</v>
      </c>
      <c r="D23" s="18" t="n">
        <v>1252.04</v>
      </c>
      <c r="E23" s="18" t="n">
        <v>1252.11</v>
      </c>
      <c r="F23" s="18" t="n">
        <v>1265.28</v>
      </c>
      <c r="G23" s="19">
        <f>HYPERLINK("https://www.tradingview.com/chart/?symbol=NSE:AXISBANK","Chart 📈")</f>
        <v/>
      </c>
    </row>
    <row r="24" ht="16" customHeight="1">
      <c r="A24" s="20" t="inlineStr">
        <is>
          <t>NIFTY FINANCIAL SERVICES</t>
        </is>
      </c>
      <c r="B24" s="17" t="inlineStr">
        <is>
          <t>ICICIBANK</t>
        </is>
      </c>
      <c r="C24" s="18" t="n">
        <v>1397</v>
      </c>
      <c r="D24" s="18" t="n">
        <v>1356.44</v>
      </c>
      <c r="E24" s="18" t="n">
        <v>1368.4</v>
      </c>
      <c r="F24" s="18" t="n">
        <v>1360.91</v>
      </c>
      <c r="G24" s="19">
        <f>HYPERLINK("https://www.tradingview.com/chart/?symbol=NSE:ICICIBANK","Chart 📈")</f>
        <v/>
      </c>
    </row>
    <row r="25" ht="16" customHeight="1">
      <c r="A25" s="20" t="inlineStr">
        <is>
          <t>NIFTY FINANCIAL SERVICES</t>
        </is>
      </c>
      <c r="B25" s="17" t="inlineStr">
        <is>
          <t>KOTAKBANK</t>
        </is>
      </c>
      <c r="C25" s="18" t="n">
        <v>447.4</v>
      </c>
      <c r="D25" s="18" t="n">
        <v>429.47</v>
      </c>
      <c r="E25" s="18" t="n">
        <v>416.96</v>
      </c>
      <c r="F25" s="18" t="n">
        <v>406.67</v>
      </c>
      <c r="G25" s="19">
        <f>HYPERLINK("https://www.tradingview.com/chart/?symbol=NSE:KOTAKBANK","Chart 📈")</f>
        <v/>
      </c>
    </row>
    <row r="26" ht="16" customHeight="1">
      <c r="A26" s="12" t="inlineStr">
        <is>
          <t>NIFTY AUTO</t>
        </is>
      </c>
      <c r="B26" s="13" t="inlineStr">
        <is>
          <t>MOTHERSON</t>
        </is>
      </c>
      <c r="C26" s="14" t="n">
        <v>160</v>
      </c>
      <c r="D26" s="14" t="n">
        <v>159.67</v>
      </c>
      <c r="E26" s="14" t="n">
        <v>159</v>
      </c>
      <c r="F26" s="14" t="n">
        <v>141.84</v>
      </c>
      <c r="G26" s="15">
        <f>HYPERLINK("https://www.tradingview.com/chart/?symbol=NSE:MOTHERSON","Chart 📈")</f>
        <v/>
      </c>
    </row>
    <row r="27" ht="16" customHeight="1">
      <c r="A27" s="16" t="inlineStr">
        <is>
          <t>NIFTY AUTO</t>
        </is>
      </c>
      <c r="B27" s="13" t="inlineStr">
        <is>
          <t>TVSMOTOR</t>
        </is>
      </c>
      <c r="C27" s="14" t="n">
        <v>4095.1</v>
      </c>
      <c r="D27" s="14" t="n">
        <v>4034.77</v>
      </c>
      <c r="E27" s="14" t="n">
        <v>4058.96</v>
      </c>
      <c r="F27" s="14" t="n">
        <v>3837.17</v>
      </c>
      <c r="G27" s="15">
        <f>HYPERLINK("https://www.tradingview.com/chart/?symbol=NSE:TVSMOTOR","Chart 📈")</f>
        <v/>
      </c>
    </row>
    <row r="28" ht="16" customHeight="1">
      <c r="A28" s="8" t="inlineStr">
        <is>
          <t>NIFTY PSU BANK</t>
        </is>
      </c>
      <c r="B28" s="17" t="inlineStr">
        <is>
          <t>INDIANB</t>
        </is>
      </c>
      <c r="C28" s="18" t="n">
        <v>854.1</v>
      </c>
      <c r="D28" s="18" t="n">
        <v>832.64</v>
      </c>
      <c r="E28" s="18" t="n">
        <v>841.09</v>
      </c>
      <c r="F28" s="18" t="n">
        <v>839.61</v>
      </c>
      <c r="G28" s="19">
        <f>HYPERLINK("https://www.tradingview.com/chart/?symbol=NSE:INDIANB","Chart 📈")</f>
        <v/>
      </c>
    </row>
    <row r="29" ht="16" customHeight="1">
      <c r="A29" s="20" t="inlineStr">
        <is>
          <t>NIFTY PSU BANK</t>
        </is>
      </c>
      <c r="B29" s="17" t="inlineStr">
        <is>
          <t>PNB</t>
        </is>
      </c>
      <c r="C29" s="18" t="n">
        <v>116.3</v>
      </c>
      <c r="D29" s="18" t="n">
        <v>115.42</v>
      </c>
      <c r="E29" s="18" t="n">
        <v>114.59</v>
      </c>
      <c r="F29" s="18" t="n">
        <v>112.56</v>
      </c>
      <c r="G29" s="19">
        <f>HYPERLINK("https://www.tradingview.com/chart/?symbol=NSE:PNB","Chart 📈")</f>
        <v/>
      </c>
    </row>
    <row r="30" ht="16" customHeight="1">
      <c r="A30" s="12" t="inlineStr">
        <is>
          <t>NIFTY OIL &amp; GAS</t>
        </is>
      </c>
      <c r="B30" s="13" t="inlineStr">
        <is>
          <t>CASTROLIND</t>
        </is>
      </c>
      <c r="C30" s="14" t="n">
        <v>197.74</v>
      </c>
      <c r="D30" s="14" t="n">
        <v>195.68</v>
      </c>
      <c r="E30" s="14" t="n">
        <v>191.66</v>
      </c>
      <c r="F30" s="14" t="n">
        <v>184.06</v>
      </c>
      <c r="G30" s="15">
        <f>HYPERLINK("https://www.tradingview.com/chart/?symbol=NSE:CASTROLIND","Chart 📈")</f>
        <v/>
      </c>
    </row>
    <row r="31" ht="16" customHeight="1">
      <c r="A31" s="16" t="inlineStr">
        <is>
          <t>NIFTY OIL &amp; GAS</t>
        </is>
      </c>
      <c r="B31" s="13" t="inlineStr">
        <is>
          <t>PETRONET</t>
        </is>
      </c>
      <c r="C31" s="14" t="n">
        <v>293</v>
      </c>
      <c r="D31" s="14" t="n">
        <v>290.31</v>
      </c>
      <c r="E31" s="14" t="n">
        <v>287.43</v>
      </c>
      <c r="F31" s="14" t="n">
        <v>280.26</v>
      </c>
      <c r="G31" s="15">
        <f>HYPERLINK("https://www.tradingview.com/chart/?symbol=NSE:PETRONET","Chart 📈")</f>
        <v/>
      </c>
    </row>
    <row r="32" ht="16" customHeight="1">
      <c r="A32" s="8" t="inlineStr">
        <is>
          <t>NIFTY FMCG</t>
        </is>
      </c>
      <c r="B32" s="17" t="inlineStr">
        <is>
          <t>BALRAMCHIN</t>
        </is>
      </c>
      <c r="C32" s="18" t="n">
        <v>721.15</v>
      </c>
      <c r="D32" s="18" t="n">
        <v>693.7</v>
      </c>
      <c r="E32" s="18" t="n">
        <v>670.74</v>
      </c>
      <c r="F32" s="18" t="n">
        <v>579.37</v>
      </c>
      <c r="G32" s="19">
        <f>HYPERLINK("https://www.tradingview.com/chart/?symbol=NSE:BALRAMCHIN","Chart 📈")</f>
        <v/>
      </c>
    </row>
    <row r="33" ht="16" customHeight="1">
      <c r="A33" s="20" t="inlineStr">
        <is>
          <t>NIFTY FMCG</t>
        </is>
      </c>
      <c r="B33" s="17" t="inlineStr">
        <is>
          <t>RADICO</t>
        </is>
      </c>
      <c r="C33" s="18" t="n">
        <v>4473.4</v>
      </c>
      <c r="D33" s="18" t="n">
        <v>4471.98</v>
      </c>
      <c r="E33" s="18" t="n">
        <v>4412.5</v>
      </c>
      <c r="F33" s="18" t="n">
        <v>3829.35</v>
      </c>
      <c r="G33" s="19">
        <f>HYPERLINK("https://www.tradingview.com/chart/?symbol=NSE:RADICO","Chart 📈")</f>
        <v/>
      </c>
    </row>
    <row r="34" ht="16" customHeight="1">
      <c r="A34" s="12" t="inlineStr">
        <is>
          <t>NIFTY METAL</t>
        </is>
      </c>
      <c r="B34" s="13" t="inlineStr">
        <is>
          <t>APLAPOLLO</t>
        </is>
      </c>
      <c r="C34" s="14" t="n">
        <v>2152.7</v>
      </c>
      <c r="D34" s="14" t="n">
        <v>2150.11</v>
      </c>
      <c r="E34" s="14" t="n">
        <v>2111.24</v>
      </c>
      <c r="F34" s="14" t="n">
        <v>1978.85</v>
      </c>
      <c r="G34" s="15">
        <f>HYPERLINK("https://www.tradingview.com/chart/?symbol=NSE:APLAPOLLO","Chart 📈")</f>
        <v/>
      </c>
    </row>
    <row r="35" ht="16" customHeight="1">
      <c r="A35" s="8" t="inlineStr">
        <is>
          <t>NIFTY ENERGY</t>
        </is>
      </c>
      <c r="B35" s="17" t="inlineStr">
        <is>
          <t>BHEL</t>
        </is>
      </c>
      <c r="C35" s="18" t="n">
        <v>434.6</v>
      </c>
      <c r="D35" s="18" t="n">
        <v>433.72</v>
      </c>
      <c r="E35" s="18" t="n">
        <v>424.91</v>
      </c>
      <c r="F35" s="18" t="n">
        <v>368.6</v>
      </c>
      <c r="G35" s="19">
        <f>HYPERLINK("https://www.tradingview.com/chart/?symbol=NSE:BHEL","Chart 📈")</f>
        <v/>
      </c>
    </row>
    <row r="36" ht="16" customHeight="1">
      <c r="A36" s="20" t="inlineStr">
        <is>
          <t>NIFTY ENERGY</t>
        </is>
      </c>
      <c r="B36" s="17" t="inlineStr">
        <is>
          <t>COALINDIA</t>
        </is>
      </c>
      <c r="C36" s="18" t="n">
        <v>417.2</v>
      </c>
      <c r="D36" s="18" t="n">
        <v>415.97</v>
      </c>
      <c r="E36" s="18" t="n">
        <v>416.13</v>
      </c>
      <c r="F36" s="18" t="n">
        <v>414.32</v>
      </c>
      <c r="G36" s="19">
        <f>HYPERLINK("https://www.tradingview.com/chart/?symbol=NSE:COALINDIA","Chart 📈")</f>
        <v/>
      </c>
    </row>
    <row r="37" ht="16" customHeight="1">
      <c r="A37" s="12" t="inlineStr">
        <is>
          <t>NIFTY BANK</t>
        </is>
      </c>
      <c r="B37" s="13" t="inlineStr">
        <is>
          <t>FEDERALBNK</t>
        </is>
      </c>
      <c r="C37" s="14" t="n">
        <v>338</v>
      </c>
      <c r="D37" s="14" t="n">
        <v>330.46</v>
      </c>
      <c r="E37" s="14" t="n">
        <v>334.19</v>
      </c>
      <c r="F37" s="14" t="n">
        <v>308.03</v>
      </c>
      <c r="G37" s="15">
        <f>HYPERLINK("https://www.tradingview.com/chart/?symbol=NSE:FEDERALBNK","Chart 📈")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2026-10-16T15:21:43Z</dcterms:created>
  <dcterms:modified xmlns:dcterms="http://purl.org/dc/terms/" xmlns:xsi="http://www.w3.org/2001/XMLSchema-instance" xsi:type="dcterms:W3CDTF">2026-10-16T15:21:43Z</dcterms:modified>
</cp:coreProperties>
</file>