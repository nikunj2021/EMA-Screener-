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23-Oct-2026  15:48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11</v>
      </c>
      <c r="D4" s="5" t="n">
        <v>11</v>
      </c>
      <c r="E4" s="5" t="n">
        <v>7</v>
      </c>
      <c r="F4" s="6" t="n">
        <v>0.55</v>
      </c>
      <c r="G4" s="6" t="n">
        <v>0.55</v>
      </c>
      <c r="H4" s="6" t="n">
        <v>0.35</v>
      </c>
      <c r="I4" s="7" t="n">
        <v>0.4833</v>
      </c>
    </row>
    <row r="5" ht="17" customHeight="1">
      <c r="A5" s="8" t="inlineStr">
        <is>
          <t>NIFTY IT</t>
        </is>
      </c>
      <c r="B5" s="9" t="n">
        <v>10</v>
      </c>
      <c r="C5" s="9" t="n">
        <v>5</v>
      </c>
      <c r="D5" s="9" t="n">
        <v>5</v>
      </c>
      <c r="E5" s="9" t="n">
        <v>3</v>
      </c>
      <c r="F5" s="10" t="n">
        <v>0.5</v>
      </c>
      <c r="G5" s="10" t="n">
        <v>0.5</v>
      </c>
      <c r="H5" s="10" t="n">
        <v>0.3</v>
      </c>
      <c r="I5" s="11" t="n">
        <v>0.4333</v>
      </c>
    </row>
    <row r="6" ht="17" customHeight="1">
      <c r="A6" s="4" t="inlineStr">
        <is>
          <t>NIFTY MEDIA</t>
        </is>
      </c>
      <c r="B6" s="5" t="n">
        <v>10</v>
      </c>
      <c r="C6" s="5" t="n">
        <v>3</v>
      </c>
      <c r="D6" s="5" t="n">
        <v>4</v>
      </c>
      <c r="E6" s="5" t="n">
        <v>5</v>
      </c>
      <c r="F6" s="6" t="n">
        <v>0.3</v>
      </c>
      <c r="G6" s="6" t="n">
        <v>0.4</v>
      </c>
      <c r="H6" s="6" t="n">
        <v>0.5</v>
      </c>
      <c r="I6" s="7" t="n">
        <v>0.4</v>
      </c>
    </row>
    <row r="7" ht="17" customHeight="1">
      <c r="A7" s="8" t="inlineStr">
        <is>
          <t>NIFTY PHARMA</t>
        </is>
      </c>
      <c r="B7" s="9" t="n">
        <v>20</v>
      </c>
      <c r="C7" s="9" t="n">
        <v>2</v>
      </c>
      <c r="D7" s="9" t="n">
        <v>3</v>
      </c>
      <c r="E7" s="9" t="n">
        <v>9</v>
      </c>
      <c r="F7" s="10" t="n">
        <v>0.1</v>
      </c>
      <c r="G7" s="10" t="n">
        <v>0.15</v>
      </c>
      <c r="H7" s="10" t="n">
        <v>0.45</v>
      </c>
      <c r="I7" s="11" t="n">
        <v>0.2333</v>
      </c>
    </row>
    <row r="8" ht="17" customHeight="1">
      <c r="A8" s="4" t="inlineStr">
        <is>
          <t>NIFTY PSU BANK</t>
        </is>
      </c>
      <c r="B8" s="5" t="n">
        <v>12</v>
      </c>
      <c r="C8" s="5" t="n">
        <v>2</v>
      </c>
      <c r="D8" s="5" t="n">
        <v>2</v>
      </c>
      <c r="E8" s="5" t="n">
        <v>2</v>
      </c>
      <c r="F8" s="6" t="n">
        <v>0.167</v>
      </c>
      <c r="G8" s="6" t="n">
        <v>0.167</v>
      </c>
      <c r="H8" s="6" t="n">
        <v>0.167</v>
      </c>
      <c r="I8" s="7" t="n">
        <v>0.167</v>
      </c>
    </row>
    <row r="9" ht="17" customHeight="1">
      <c r="A9" s="8" t="inlineStr">
        <is>
          <t>NIFTY REALTY</t>
        </is>
      </c>
      <c r="B9" s="9" t="n">
        <v>10</v>
      </c>
      <c r="C9" s="9" t="n">
        <v>0</v>
      </c>
      <c r="D9" s="9" t="n">
        <v>1</v>
      </c>
      <c r="E9" s="9" t="n">
        <v>3</v>
      </c>
      <c r="F9" s="10" t="n">
        <v>0</v>
      </c>
      <c r="G9" s="10" t="n">
        <v>0.1</v>
      </c>
      <c r="H9" s="10" t="n">
        <v>0.3</v>
      </c>
      <c r="I9" s="11" t="n">
        <v>0.1333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</v>
      </c>
      <c r="D10" s="5" t="n">
        <v>1</v>
      </c>
      <c r="E10" s="5" t="n">
        <v>3</v>
      </c>
      <c r="F10" s="6" t="n">
        <v>0.067</v>
      </c>
      <c r="G10" s="6" t="n">
        <v>0.067</v>
      </c>
      <c r="H10" s="6" t="n">
        <v>0.2</v>
      </c>
      <c r="I10" s="7" t="n">
        <v>0.1113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</v>
      </c>
      <c r="D11" s="9" t="n">
        <v>2</v>
      </c>
      <c r="E11" s="9" t="n">
        <v>3</v>
      </c>
      <c r="F11" s="10" t="n">
        <v>0.05</v>
      </c>
      <c r="G11" s="10" t="n">
        <v>0.1</v>
      </c>
      <c r="H11" s="10" t="n">
        <v>0.15</v>
      </c>
      <c r="I11" s="11" t="n">
        <v>0.1</v>
      </c>
    </row>
    <row r="12" ht="17" customHeight="1">
      <c r="A12" s="4" t="inlineStr">
        <is>
          <t>NIFTY AUTO</t>
        </is>
      </c>
      <c r="B12" s="5" t="n">
        <v>15</v>
      </c>
      <c r="C12" s="5" t="n">
        <v>1</v>
      </c>
      <c r="D12" s="5" t="n">
        <v>0</v>
      </c>
      <c r="E12" s="5" t="n">
        <v>3</v>
      </c>
      <c r="F12" s="6" t="n">
        <v>0.067</v>
      </c>
      <c r="G12" s="6" t="n">
        <v>0</v>
      </c>
      <c r="H12" s="6" t="n">
        <v>0.2</v>
      </c>
      <c r="I12" s="7" t="n">
        <v>0.08900000000000001</v>
      </c>
    </row>
    <row r="13" ht="17" customHeight="1">
      <c r="A13" s="8" t="inlineStr">
        <is>
          <t>NIFTY BANK</t>
        </is>
      </c>
      <c r="B13" s="9" t="n">
        <v>12</v>
      </c>
      <c r="C13" s="9" t="n">
        <v>1</v>
      </c>
      <c r="D13" s="9" t="n">
        <v>1</v>
      </c>
      <c r="E13" s="9" t="n">
        <v>1</v>
      </c>
      <c r="F13" s="10" t="n">
        <v>0.083</v>
      </c>
      <c r="G13" s="10" t="n">
        <v>0.083</v>
      </c>
      <c r="H13" s="10" t="n">
        <v>0.083</v>
      </c>
      <c r="I13" s="11" t="n">
        <v>0.083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1</v>
      </c>
      <c r="D14" s="5" t="n">
        <v>0</v>
      </c>
      <c r="E14" s="5" t="n">
        <v>1</v>
      </c>
      <c r="F14" s="6" t="n">
        <v>0.067</v>
      </c>
      <c r="G14" s="6" t="n">
        <v>0</v>
      </c>
      <c r="H14" s="6" t="n">
        <v>0.067</v>
      </c>
      <c r="I14" s="7" t="n">
        <v>0.0447</v>
      </c>
    </row>
    <row r="15" ht="17" customHeight="1">
      <c r="A15" s="8" t="inlineStr">
        <is>
          <t>NIFTY FMCG</t>
        </is>
      </c>
      <c r="B15" s="9" t="n">
        <v>15</v>
      </c>
      <c r="C15" s="9" t="n">
        <v>0</v>
      </c>
      <c r="D15" s="9" t="n">
        <v>0</v>
      </c>
      <c r="E15" s="9" t="n">
        <v>2</v>
      </c>
      <c r="F15" s="10" t="n">
        <v>0</v>
      </c>
      <c r="G15" s="10" t="n">
        <v>0</v>
      </c>
      <c r="H15" s="10" t="n">
        <v>0.133</v>
      </c>
      <c r="I15" s="11" t="n">
        <v>0.0443</v>
      </c>
    </row>
    <row r="16" ht="17" customHeight="1">
      <c r="A16" s="4" t="inlineStr">
        <is>
          <t>NIFTY METAL</t>
        </is>
      </c>
      <c r="B16" s="5" t="n">
        <v>15</v>
      </c>
      <c r="C16" s="5" t="n">
        <v>0</v>
      </c>
      <c r="D16" s="5" t="n">
        <v>0</v>
      </c>
      <c r="E16" s="5" t="n">
        <v>2</v>
      </c>
      <c r="F16" s="6" t="n">
        <v>0</v>
      </c>
      <c r="G16" s="6" t="n">
        <v>0</v>
      </c>
      <c r="H16" s="6" t="n">
        <v>0.133</v>
      </c>
      <c r="I16" s="7" t="n">
        <v>0.0443</v>
      </c>
    </row>
    <row r="17" ht="17" customHeight="1">
      <c r="A17" s="8" t="inlineStr">
        <is>
          <t>NIFTY ENERGY</t>
        </is>
      </c>
      <c r="B17" s="9" t="n">
        <v>40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0.025</v>
      </c>
      <c r="I17" s="11" t="n">
        <v>0.0083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1900.5</v>
      </c>
      <c r="D3" s="14" t="n">
        <v>1880.72</v>
      </c>
      <c r="E3" s="14" t="n">
        <v>1824.95</v>
      </c>
      <c r="F3" s="14" t="n">
        <v>1650.94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1233</v>
      </c>
      <c r="D4" s="14" t="n">
        <v>1144.8</v>
      </c>
      <c r="E4" s="14" t="n">
        <v>1076.23</v>
      </c>
      <c r="F4" s="14" t="n">
        <v>1008.66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LTTS</t>
        </is>
      </c>
      <c r="C5" s="14" t="n">
        <v>3910.3</v>
      </c>
      <c r="D5" s="14" t="n">
        <v>3552.96</v>
      </c>
      <c r="E5" s="14" t="n">
        <v>3463.74</v>
      </c>
      <c r="F5" s="14" t="n">
        <v>3554.99</v>
      </c>
      <c r="G5" s="15">
        <f>HYPERLINK("https://www.tradingview.com/chart/?symbol=NSE:LTTS","Chart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MPHASIS</t>
        </is>
      </c>
      <c r="C6" s="14" t="n">
        <v>2480</v>
      </c>
      <c r="D6" s="14" t="n">
        <v>2406.97</v>
      </c>
      <c r="E6" s="14" t="n">
        <v>2371.47</v>
      </c>
      <c r="F6" s="14" t="n">
        <v>2389.3</v>
      </c>
      <c r="G6" s="15">
        <f>HYPERLINK("https://www.tradingview.com/chart/?symbol=NSE:MPHASIS","Chart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PERSISTENT</t>
        </is>
      </c>
      <c r="C7" s="14" t="n">
        <v>5727.5</v>
      </c>
      <c r="D7" s="14" t="n">
        <v>5660.69</v>
      </c>
      <c r="E7" s="14" t="n">
        <v>5539.15</v>
      </c>
      <c r="F7" s="14" t="n">
        <v>5423.45</v>
      </c>
      <c r="G7" s="15">
        <f>HYPERLINK("https://www.tradingview.com/chart/?symbol=NSE:PERSISTENT","Chart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TANLA</t>
        </is>
      </c>
      <c r="C8" s="14" t="n">
        <v>557.15</v>
      </c>
      <c r="D8" s="14" t="n">
        <v>532.74</v>
      </c>
      <c r="E8" s="14" t="n">
        <v>529.91</v>
      </c>
      <c r="F8" s="14" t="n">
        <v>532.6799999999999</v>
      </c>
      <c r="G8" s="15">
        <f>HYPERLINK("https://www.tradingview.com/chart/?symbol=NSE:TANLA","Chart 📈")</f>
        <v/>
      </c>
    </row>
    <row r="9" ht="16" customHeight="1">
      <c r="A9" s="8" t="inlineStr">
        <is>
          <t>NIFTY IT</t>
        </is>
      </c>
      <c r="B9" s="17" t="inlineStr">
        <is>
          <t>HCLTECH</t>
        </is>
      </c>
      <c r="C9" s="18" t="n">
        <v>1422.2</v>
      </c>
      <c r="D9" s="18" t="n">
        <v>1311.85</v>
      </c>
      <c r="E9" s="18" t="n">
        <v>1278.56</v>
      </c>
      <c r="F9" s="18" t="n">
        <v>1298.84</v>
      </c>
      <c r="G9" s="19">
        <f>HYPERLINK("https://www.tradingview.com/chart/?symbol=NSE:HCLTECH","Chart 📈")</f>
        <v/>
      </c>
    </row>
    <row r="10" ht="16" customHeight="1">
      <c r="A10" s="20" t="inlineStr">
        <is>
          <t>NIFTY IT</t>
        </is>
      </c>
      <c r="B10" s="17" t="inlineStr">
        <is>
          <t>TCS</t>
        </is>
      </c>
      <c r="C10" s="18" t="n">
        <v>2530</v>
      </c>
      <c r="D10" s="18" t="n">
        <v>2299.21</v>
      </c>
      <c r="E10" s="18" t="n">
        <v>2249.93</v>
      </c>
      <c r="F10" s="18" t="n">
        <v>2398.29</v>
      </c>
      <c r="G10" s="19">
        <f>HYPERLINK("https://www.tradingview.com/chart/?symbol=NSE:TCS","Chart 📈")</f>
        <v/>
      </c>
    </row>
    <row r="11" ht="16" customHeight="1">
      <c r="A11" s="20" t="inlineStr">
        <is>
          <t>NIFTY IT</t>
        </is>
      </c>
      <c r="B11" s="17" t="inlineStr">
        <is>
          <t>TECHM</t>
        </is>
      </c>
      <c r="C11" s="18" t="n">
        <v>1790</v>
      </c>
      <c r="D11" s="18" t="n">
        <v>1635.46</v>
      </c>
      <c r="E11" s="18" t="n">
        <v>1582.81</v>
      </c>
      <c r="F11" s="18" t="n">
        <v>1503.79</v>
      </c>
      <c r="G11" s="19">
        <f>HYPERLINK("https://www.tradingview.com/chart/?symbol=NSE:TECHM","Chart 📈")</f>
        <v/>
      </c>
    </row>
    <row r="12" ht="16" customHeight="1">
      <c r="A12" s="12" t="inlineStr">
        <is>
          <t>NIFTY MEDIA</t>
        </is>
      </c>
      <c r="B12" s="13" t="inlineStr">
        <is>
          <t>NAZARA</t>
        </is>
      </c>
      <c r="C12" s="14" t="n">
        <v>402.15</v>
      </c>
      <c r="D12" s="14" t="n">
        <v>391.42</v>
      </c>
      <c r="E12" s="14" t="n">
        <v>372.81</v>
      </c>
      <c r="F12" s="14" t="n">
        <v>319</v>
      </c>
      <c r="G12" s="15">
        <f>HYPERLINK("https://www.tradingview.com/chart/?symbol=NSE:NAZARA","Chart 📈")</f>
        <v/>
      </c>
    </row>
    <row r="13" ht="16" customHeight="1">
      <c r="A13" s="16" t="inlineStr">
        <is>
          <t>NIFTY MEDIA</t>
        </is>
      </c>
      <c r="B13" s="13" t="inlineStr">
        <is>
          <t>PVRINOX</t>
        </is>
      </c>
      <c r="C13" s="14" t="n">
        <v>1395.7</v>
      </c>
      <c r="D13" s="14" t="n">
        <v>1345.89</v>
      </c>
      <c r="E13" s="14" t="n">
        <v>1270.09</v>
      </c>
      <c r="F13" s="14" t="n">
        <v>1134.56</v>
      </c>
      <c r="G13" s="15">
        <f>HYPERLINK("https://www.tradingview.com/chart/?symbol=NSE:PVRINOX","Chart 📈")</f>
        <v/>
      </c>
    </row>
    <row r="14" ht="16" customHeight="1">
      <c r="A14" s="16" t="inlineStr">
        <is>
          <t>NIFTY MEDIA</t>
        </is>
      </c>
      <c r="B14" s="13" t="inlineStr">
        <is>
          <t>TIPSMUSIC</t>
        </is>
      </c>
      <c r="C14" s="14" t="n">
        <v>717.05</v>
      </c>
      <c r="D14" s="14" t="n">
        <v>689.1900000000001</v>
      </c>
      <c r="E14" s="14" t="n">
        <v>669.27</v>
      </c>
      <c r="F14" s="14" t="n">
        <v>622.63</v>
      </c>
      <c r="G14" s="15">
        <f>HYPERLINK("https://www.tradingview.com/chart/?symbol=NSE:TIPSMUSIC","Chart 📈")</f>
        <v/>
      </c>
    </row>
    <row r="15" ht="16" customHeight="1">
      <c r="A15" s="8" t="inlineStr">
        <is>
          <t>NIFTY PHARMA</t>
        </is>
      </c>
      <c r="B15" s="17" t="inlineStr">
        <is>
          <t>IPCALAB</t>
        </is>
      </c>
      <c r="C15" s="18" t="n">
        <v>1953.3</v>
      </c>
      <c r="D15" s="18" t="n">
        <v>1916.9</v>
      </c>
      <c r="E15" s="18" t="n">
        <v>1898.56</v>
      </c>
      <c r="F15" s="18" t="n">
        <v>1697.73</v>
      </c>
      <c r="G15" s="19">
        <f>HYPERLINK("https://www.tradingview.com/chart/?symbol=NSE:IPCALAB","Chart 📈")</f>
        <v/>
      </c>
    </row>
    <row r="16" ht="16" customHeight="1">
      <c r="A16" s="12" t="inlineStr">
        <is>
          <t>NIFTY PSU BANK</t>
        </is>
      </c>
      <c r="B16" s="13" t="inlineStr">
        <is>
          <t>PNB</t>
        </is>
      </c>
      <c r="C16" s="14" t="n">
        <v>120.37</v>
      </c>
      <c r="D16" s="14" t="n">
        <v>117.51</v>
      </c>
      <c r="E16" s="14" t="n">
        <v>115.66</v>
      </c>
      <c r="F16" s="14" t="n">
        <v>113.1</v>
      </c>
      <c r="G16" s="15">
        <f>HYPERLINK("https://www.tradingview.com/chart/?symbol=NSE:PNB","Chart 📈")</f>
        <v/>
      </c>
    </row>
    <row r="17" ht="16" customHeight="1">
      <c r="A17" s="16" t="inlineStr">
        <is>
          <t>NIFTY PSU BANK</t>
        </is>
      </c>
      <c r="B17" s="13" t="inlineStr">
        <is>
          <t>UNIONBANK</t>
        </is>
      </c>
      <c r="C17" s="14" t="n">
        <v>178.9</v>
      </c>
      <c r="D17" s="14" t="n">
        <v>176.1</v>
      </c>
      <c r="E17" s="14" t="n">
        <v>176.43</v>
      </c>
      <c r="F17" s="14" t="n">
        <v>169.66</v>
      </c>
      <c r="G17" s="15">
        <f>HYPERLINK("https://www.tradingview.com/chart/?symbol=NSE:UNIONBANK","Chart 📈")</f>
        <v/>
      </c>
    </row>
    <row r="18" ht="16" customHeight="1">
      <c r="A18" s="8" t="inlineStr">
        <is>
          <t>NIFTY FINANCIAL SERVICES</t>
        </is>
      </c>
      <c r="B18" s="17" t="inlineStr">
        <is>
          <t>ICICIBANK</t>
        </is>
      </c>
      <c r="C18" s="18" t="n">
        <v>1394.2</v>
      </c>
      <c r="D18" s="18" t="n">
        <v>1367.62</v>
      </c>
      <c r="E18" s="18" t="n">
        <v>1371.58</v>
      </c>
      <c r="F18" s="18" t="n">
        <v>1357.63</v>
      </c>
      <c r="G18" s="19">
        <f>HYPERLINK("https://www.tradingview.com/chart/?symbol=NSE:ICICIBANK","Chart 📈")</f>
        <v/>
      </c>
    </row>
    <row r="19" ht="16" customHeight="1">
      <c r="A19" s="12" t="inlineStr">
        <is>
          <t>NIFTY BANK</t>
        </is>
      </c>
      <c r="B19" s="13" t="inlineStr">
        <is>
          <t>FEDERALBNK</t>
        </is>
      </c>
      <c r="C19" s="14" t="n">
        <v>340.9</v>
      </c>
      <c r="D19" s="14" t="n">
        <v>335.3</v>
      </c>
      <c r="E19" s="14" t="n">
        <v>335.83</v>
      </c>
      <c r="F19" s="14" t="n">
        <v>310.59</v>
      </c>
      <c r="G19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2026-10-23T15:48:30Z</dcterms:created>
  <dcterms:modified xmlns:dcterms="http://purl.org/dc/terms/" xmlns:xsi="http://www.w3.org/2001/XMLSchema-instance" xsi:type="dcterms:W3CDTF">2026-10-23T15:48:30Z</dcterms:modified>
</cp:coreProperties>
</file>