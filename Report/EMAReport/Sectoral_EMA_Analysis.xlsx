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12-Jun-2026  14:20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PSU BANK</t>
        </is>
      </c>
      <c r="B4" s="5" t="n">
        <v>12</v>
      </c>
      <c r="C4" s="5" t="n">
        <v>11</v>
      </c>
      <c r="D4" s="5" t="n">
        <v>9</v>
      </c>
      <c r="E4" s="5" t="n">
        <v>7</v>
      </c>
      <c r="F4" s="6" t="n">
        <v>0.917</v>
      </c>
      <c r="G4" s="6" t="n">
        <v>0.75</v>
      </c>
      <c r="H4" s="6" t="n">
        <v>0.583</v>
      </c>
      <c r="I4" s="7" t="n">
        <v>0.75</v>
      </c>
    </row>
    <row r="5" ht="17" customHeight="1">
      <c r="A5" s="8" t="inlineStr">
        <is>
          <t>NIFTY PHARMA</t>
        </is>
      </c>
      <c r="B5" s="9" t="n">
        <v>20</v>
      </c>
      <c r="C5" s="9" t="n">
        <v>13</v>
      </c>
      <c r="D5" s="9" t="n">
        <v>15</v>
      </c>
      <c r="E5" s="9" t="n">
        <v>16</v>
      </c>
      <c r="F5" s="10" t="n">
        <v>0.65</v>
      </c>
      <c r="G5" s="10" t="n">
        <v>0.75</v>
      </c>
      <c r="H5" s="10" t="n">
        <v>0.8</v>
      </c>
      <c r="I5" s="11" t="n">
        <v>0.7333</v>
      </c>
    </row>
    <row r="6" ht="17" customHeight="1">
      <c r="A6" s="4" t="inlineStr">
        <is>
          <t>NIFTY AUTO</t>
        </is>
      </c>
      <c r="B6" s="5" t="n">
        <v>15</v>
      </c>
      <c r="C6" s="5" t="n">
        <v>11</v>
      </c>
      <c r="D6" s="5" t="n">
        <v>8</v>
      </c>
      <c r="E6" s="5" t="n">
        <v>6</v>
      </c>
      <c r="F6" s="6" t="n">
        <v>0.733</v>
      </c>
      <c r="G6" s="6" t="n">
        <v>0.5329999999999999</v>
      </c>
      <c r="H6" s="6" t="n">
        <v>0.4</v>
      </c>
      <c r="I6" s="7" t="n">
        <v>0.5553</v>
      </c>
    </row>
    <row r="7" ht="17" customHeight="1">
      <c r="A7" s="8" t="inlineStr">
        <is>
          <t>NIFTY OIL &amp; GAS</t>
        </is>
      </c>
      <c r="B7" s="9" t="n">
        <v>15</v>
      </c>
      <c r="C7" s="9" t="n">
        <v>10</v>
      </c>
      <c r="D7" s="9" t="n">
        <v>10</v>
      </c>
      <c r="E7" s="9" t="n">
        <v>3</v>
      </c>
      <c r="F7" s="10" t="n">
        <v>0.667</v>
      </c>
      <c r="G7" s="10" t="n">
        <v>0.667</v>
      </c>
      <c r="H7" s="10" t="n">
        <v>0.2</v>
      </c>
      <c r="I7" s="11" t="n">
        <v>0.5113</v>
      </c>
    </row>
    <row r="8" ht="17" customHeight="1">
      <c r="A8" s="4" t="inlineStr">
        <is>
          <t>NIFTY METAL</t>
        </is>
      </c>
      <c r="B8" s="5" t="n">
        <v>15</v>
      </c>
      <c r="C8" s="5" t="n">
        <v>5</v>
      </c>
      <c r="D8" s="5" t="n">
        <v>5</v>
      </c>
      <c r="E8" s="5" t="n">
        <v>12</v>
      </c>
      <c r="F8" s="6" t="n">
        <v>0.333</v>
      </c>
      <c r="G8" s="6" t="n">
        <v>0.333</v>
      </c>
      <c r="H8" s="6" t="n">
        <v>0.8</v>
      </c>
      <c r="I8" s="7" t="n">
        <v>0.4887</v>
      </c>
    </row>
    <row r="9" ht="17" customHeight="1">
      <c r="A9" s="8" t="inlineStr">
        <is>
          <t>NIFTY MEDIA</t>
        </is>
      </c>
      <c r="B9" s="9" t="n">
        <v>10</v>
      </c>
      <c r="C9" s="9" t="n">
        <v>6</v>
      </c>
      <c r="D9" s="9" t="n">
        <v>4</v>
      </c>
      <c r="E9" s="9" t="n">
        <v>4</v>
      </c>
      <c r="F9" s="10" t="n">
        <v>0.6</v>
      </c>
      <c r="G9" s="10" t="n">
        <v>0.4</v>
      </c>
      <c r="H9" s="10" t="n">
        <v>0.4</v>
      </c>
      <c r="I9" s="11" t="n">
        <v>0.4667</v>
      </c>
    </row>
    <row r="10" ht="17" customHeight="1">
      <c r="A10" s="4" t="inlineStr">
        <is>
          <t>NIFTY REALTY</t>
        </is>
      </c>
      <c r="B10" s="5" t="n">
        <v>10</v>
      </c>
      <c r="C10" s="5" t="n">
        <v>6</v>
      </c>
      <c r="D10" s="5" t="n">
        <v>5</v>
      </c>
      <c r="E10" s="5" t="n">
        <v>2</v>
      </c>
      <c r="F10" s="6" t="n">
        <v>0.6</v>
      </c>
      <c r="G10" s="6" t="n">
        <v>0.5</v>
      </c>
      <c r="H10" s="6" t="n">
        <v>0.2</v>
      </c>
      <c r="I10" s="7" t="n">
        <v>0.4333</v>
      </c>
    </row>
    <row r="11" ht="17" customHeight="1">
      <c r="A11" s="8" t="inlineStr">
        <is>
          <t>NIFTY FMCG</t>
        </is>
      </c>
      <c r="B11" s="9" t="n">
        <v>15</v>
      </c>
      <c r="C11" s="9" t="n">
        <v>9</v>
      </c>
      <c r="D11" s="9" t="n">
        <v>5</v>
      </c>
      <c r="E11" s="9" t="n">
        <v>5</v>
      </c>
      <c r="F11" s="10" t="n">
        <v>0.6</v>
      </c>
      <c r="G11" s="10" t="n">
        <v>0.333</v>
      </c>
      <c r="H11" s="10" t="n">
        <v>0.333</v>
      </c>
      <c r="I11" s="11" t="n">
        <v>0.422</v>
      </c>
    </row>
    <row r="12" ht="17" customHeight="1">
      <c r="A12" s="4" t="inlineStr">
        <is>
          <t>NIFTY FINANCIAL SERVICES</t>
        </is>
      </c>
      <c r="B12" s="5" t="n">
        <v>20</v>
      </c>
      <c r="C12" s="5" t="n">
        <v>9</v>
      </c>
      <c r="D12" s="5" t="n">
        <v>8</v>
      </c>
      <c r="E12" s="5" t="n">
        <v>7</v>
      </c>
      <c r="F12" s="6" t="n">
        <v>0.45</v>
      </c>
      <c r="G12" s="6" t="n">
        <v>0.4</v>
      </c>
      <c r="H12" s="6" t="n">
        <v>0.35</v>
      </c>
      <c r="I12" s="7" t="n">
        <v>0.4</v>
      </c>
    </row>
    <row r="13" ht="17" customHeight="1">
      <c r="A13" s="8" t="inlineStr">
        <is>
          <t>NIFTY MIDSMALL IT &amp; TELECOM</t>
        </is>
      </c>
      <c r="B13" s="9" t="n">
        <v>20</v>
      </c>
      <c r="C13" s="9" t="n">
        <v>6</v>
      </c>
      <c r="D13" s="9" t="n">
        <v>9</v>
      </c>
      <c r="E13" s="9" t="n">
        <v>7</v>
      </c>
      <c r="F13" s="10" t="n">
        <v>0.3</v>
      </c>
      <c r="G13" s="10" t="n">
        <v>0.45</v>
      </c>
      <c r="H13" s="10" t="n">
        <v>0.35</v>
      </c>
      <c r="I13" s="11" t="n">
        <v>0.3667</v>
      </c>
    </row>
    <row r="14" ht="17" customHeight="1">
      <c r="A14" s="4" t="inlineStr">
        <is>
          <t>NIFTY BANK</t>
        </is>
      </c>
      <c r="B14" s="5" t="n">
        <v>12</v>
      </c>
      <c r="C14" s="5" t="n">
        <v>4</v>
      </c>
      <c r="D14" s="5" t="n">
        <v>4</v>
      </c>
      <c r="E14" s="5" t="n">
        <v>4</v>
      </c>
      <c r="F14" s="6" t="n">
        <v>0.333</v>
      </c>
      <c r="G14" s="6" t="n">
        <v>0.333</v>
      </c>
      <c r="H14" s="6" t="n">
        <v>0.333</v>
      </c>
      <c r="I14" s="7" t="n">
        <v>0.333</v>
      </c>
    </row>
    <row r="15" ht="17" customHeight="1">
      <c r="A15" s="8" t="inlineStr">
        <is>
          <t>NIFTY ENERGY</t>
        </is>
      </c>
      <c r="B15" s="9" t="n">
        <v>40</v>
      </c>
      <c r="C15" s="9" t="n">
        <v>7</v>
      </c>
      <c r="D15" s="9" t="n">
        <v>12</v>
      </c>
      <c r="E15" s="9" t="n">
        <v>18</v>
      </c>
      <c r="F15" s="10" t="n">
        <v>0.175</v>
      </c>
      <c r="G15" s="10" t="n">
        <v>0.3</v>
      </c>
      <c r="H15" s="10" t="n">
        <v>0.45</v>
      </c>
      <c r="I15" s="11" t="n">
        <v>0.3083</v>
      </c>
    </row>
    <row r="16" ht="17" customHeight="1">
      <c r="A16" s="4" t="inlineStr">
        <is>
          <t>NIFTY CONSUMER DURABLES</t>
        </is>
      </c>
      <c r="B16" s="5" t="n">
        <v>15</v>
      </c>
      <c r="C16" s="5" t="n">
        <v>4</v>
      </c>
      <c r="D16" s="5" t="n">
        <v>3</v>
      </c>
      <c r="E16" s="5" t="n">
        <v>4</v>
      </c>
      <c r="F16" s="6" t="n">
        <v>0.267</v>
      </c>
      <c r="G16" s="6" t="n">
        <v>0.2</v>
      </c>
      <c r="H16" s="6" t="n">
        <v>0.267</v>
      </c>
      <c r="I16" s="7" t="n">
        <v>0.2447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0</v>
      </c>
      <c r="F17" s="10" t="n">
        <v>0</v>
      </c>
      <c r="G17" s="10" t="n">
        <v>0</v>
      </c>
      <c r="H17" s="10" t="n">
        <v>0</v>
      </c>
      <c r="I17" s="11" t="n">
        <v>0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PSU BANK</t>
        </is>
      </c>
      <c r="B3" s="13" t="inlineStr">
        <is>
          <t>BANKBARODA</t>
        </is>
      </c>
      <c r="C3" s="14" t="n">
        <v>274.75</v>
      </c>
      <c r="D3" s="14" t="n">
        <v>263.53</v>
      </c>
      <c r="E3" s="14" t="n">
        <v>263.96</v>
      </c>
      <c r="F3" s="14" t="n">
        <v>264.7</v>
      </c>
      <c r="G3" s="15">
        <f>HYPERLINK("https://www.tradingview.com/chart/?symbol=NSE:BANKBARODA","Chart 📈")</f>
        <v/>
      </c>
    </row>
    <row r="4" ht="16" customHeight="1">
      <c r="A4" s="16" t="inlineStr">
        <is>
          <t>NIFTY PSU BANK</t>
        </is>
      </c>
      <c r="B4" s="13" t="inlineStr">
        <is>
          <t>BANKINDIA</t>
        </is>
      </c>
      <c r="C4" s="14" t="n">
        <v>145.68</v>
      </c>
      <c r="D4" s="14" t="n">
        <v>140.94</v>
      </c>
      <c r="E4" s="14" t="n">
        <v>141.24</v>
      </c>
      <c r="F4" s="14" t="n">
        <v>138.05</v>
      </c>
      <c r="G4" s="15">
        <f>HYPERLINK("https://www.tradingview.com/chart/?symbol=NSE:BANKINDIA","Chart 📈")</f>
        <v/>
      </c>
    </row>
    <row r="5" ht="16" customHeight="1">
      <c r="A5" s="16" t="inlineStr">
        <is>
          <t>NIFTY PSU BANK</t>
        </is>
      </c>
      <c r="B5" s="13" t="inlineStr">
        <is>
          <t>CANBK</t>
        </is>
      </c>
      <c r="C5" s="14" t="n">
        <v>131.67</v>
      </c>
      <c r="D5" s="14" t="n">
        <v>128.61</v>
      </c>
      <c r="E5" s="14" t="n">
        <v>130.21</v>
      </c>
      <c r="F5" s="14" t="n">
        <v>130.33</v>
      </c>
      <c r="G5" s="15">
        <f>HYPERLINK("https://www.tradingview.com/chart/?symbol=NSE:CANBK","Chart 📈")</f>
        <v/>
      </c>
    </row>
    <row r="6" ht="16" customHeight="1">
      <c r="A6" s="16" t="inlineStr">
        <is>
          <t>NIFTY PSU BANK</t>
        </is>
      </c>
      <c r="B6" s="13" t="inlineStr">
        <is>
          <t>INDIANB</t>
        </is>
      </c>
      <c r="C6" s="14" t="n">
        <v>845.5</v>
      </c>
      <c r="D6" s="14" t="n">
        <v>826.97</v>
      </c>
      <c r="E6" s="14" t="n">
        <v>839.25</v>
      </c>
      <c r="F6" s="14" t="n">
        <v>809.28</v>
      </c>
      <c r="G6" s="15">
        <f>HYPERLINK("https://www.tradingview.com/chart/?symbol=NSE:INDIANB","Chart 📈")</f>
        <v/>
      </c>
    </row>
    <row r="7" ht="16" customHeight="1">
      <c r="A7" s="16" t="inlineStr">
        <is>
          <t>NIFTY PSU BANK</t>
        </is>
      </c>
      <c r="B7" s="13" t="inlineStr">
        <is>
          <t>MAHABANK</t>
        </is>
      </c>
      <c r="C7" s="14" t="n">
        <v>87.3</v>
      </c>
      <c r="D7" s="14" t="n">
        <v>80.40000000000001</v>
      </c>
      <c r="E7" s="14" t="n">
        <v>76.84</v>
      </c>
      <c r="F7" s="14" t="n">
        <v>66.45999999999999</v>
      </c>
      <c r="G7" s="15">
        <f>HYPERLINK("https://www.tradingview.com/chart/?symbol=NSE:MAHABANK","Chart 📈")</f>
        <v/>
      </c>
    </row>
    <row r="8" ht="16" customHeight="1">
      <c r="A8" s="16" t="inlineStr">
        <is>
          <t>NIFTY PSU BANK</t>
        </is>
      </c>
      <c r="B8" s="13" t="inlineStr">
        <is>
          <t>SBIN</t>
        </is>
      </c>
      <c r="C8" s="14" t="n">
        <v>1017.15</v>
      </c>
      <c r="D8" s="14" t="n">
        <v>986.67</v>
      </c>
      <c r="E8" s="14" t="n">
        <v>1004.25</v>
      </c>
      <c r="F8" s="14" t="n">
        <v>976.88</v>
      </c>
      <c r="G8" s="15">
        <f>HYPERLINK("https://www.tradingview.com/chart/?symbol=NSE:SBIN","Chart 📈")</f>
        <v/>
      </c>
    </row>
    <row r="9" ht="16" customHeight="1">
      <c r="A9" s="16" t="inlineStr">
        <is>
          <t>NIFTY PSU BANK</t>
        </is>
      </c>
      <c r="B9" s="13" t="inlineStr">
        <is>
          <t>UNIONBANK</t>
        </is>
      </c>
      <c r="C9" s="14" t="n">
        <v>170.05</v>
      </c>
      <c r="D9" s="14" t="n">
        <v>166.6</v>
      </c>
      <c r="E9" s="14" t="n">
        <v>169.29</v>
      </c>
      <c r="F9" s="14" t="n">
        <v>164.24</v>
      </c>
      <c r="G9" s="15">
        <f>HYPERLINK("https://www.tradingview.com/chart/?symbol=NSE:UNIONBANK","Chart 📈")</f>
        <v/>
      </c>
    </row>
    <row r="10" ht="16" customHeight="1">
      <c r="A10" s="8" t="inlineStr">
        <is>
          <t>NIFTY PHARMA</t>
        </is>
      </c>
      <c r="B10" s="17" t="inlineStr">
        <is>
          <t>AJANTPHARM</t>
        </is>
      </c>
      <c r="C10" s="18" t="n">
        <v>3131</v>
      </c>
      <c r="D10" s="18" t="n">
        <v>3033.59</v>
      </c>
      <c r="E10" s="18" t="n">
        <v>2986.53</v>
      </c>
      <c r="F10" s="18" t="n">
        <v>2820.6</v>
      </c>
      <c r="G10" s="19">
        <f>HYPERLINK("https://www.tradingview.com/chart/?symbol=NSE:AJANTPHARM","Chart 📈")</f>
        <v/>
      </c>
    </row>
    <row r="11" ht="16" customHeight="1">
      <c r="A11" s="20" t="inlineStr">
        <is>
          <t>NIFTY PHARMA</t>
        </is>
      </c>
      <c r="B11" s="17" t="inlineStr">
        <is>
          <t>AUROPHARMA</t>
        </is>
      </c>
      <c r="C11" s="18" t="n">
        <v>1472.8</v>
      </c>
      <c r="D11" s="18" t="n">
        <v>1456.09</v>
      </c>
      <c r="E11" s="18" t="n">
        <v>1420.11</v>
      </c>
      <c r="F11" s="18" t="n">
        <v>1279.61</v>
      </c>
      <c r="G11" s="19">
        <f>HYPERLINK("https://www.tradingview.com/chart/?symbol=NSE:AUROPHARMA","Chart 📈")</f>
        <v/>
      </c>
    </row>
    <row r="12" ht="16" customHeight="1">
      <c r="A12" s="20" t="inlineStr">
        <is>
          <t>NIFTY PHARMA</t>
        </is>
      </c>
      <c r="B12" s="17" t="inlineStr">
        <is>
          <t>BIOCON</t>
        </is>
      </c>
      <c r="C12" s="18" t="n">
        <v>419</v>
      </c>
      <c r="D12" s="18" t="n">
        <v>415.05</v>
      </c>
      <c r="E12" s="18" t="n">
        <v>401.17</v>
      </c>
      <c r="F12" s="18" t="n">
        <v>381.97</v>
      </c>
      <c r="G12" s="19">
        <f>HYPERLINK("https://www.tradingview.com/chart/?symbol=NSE:BIOCON","Chart 📈")</f>
        <v/>
      </c>
    </row>
    <row r="13" ht="16" customHeight="1">
      <c r="A13" s="20" t="inlineStr">
        <is>
          <t>NIFTY PHARMA</t>
        </is>
      </c>
      <c r="B13" s="17" t="inlineStr">
        <is>
          <t>CIPLA</t>
        </is>
      </c>
      <c r="C13" s="18" t="n">
        <v>1389.4</v>
      </c>
      <c r="D13" s="18" t="n">
        <v>1376.63</v>
      </c>
      <c r="E13" s="18" t="n">
        <v>1347.98</v>
      </c>
      <c r="F13" s="18" t="n">
        <v>1384.65</v>
      </c>
      <c r="G13" s="19">
        <f>HYPERLINK("https://www.tradingview.com/chart/?symbol=NSE:CIPLA","Chart 📈")</f>
        <v/>
      </c>
    </row>
    <row r="14" ht="16" customHeight="1">
      <c r="A14" s="20" t="inlineStr">
        <is>
          <t>NIFTY PHARMA</t>
        </is>
      </c>
      <c r="B14" s="17" t="inlineStr">
        <is>
          <t>GLAND</t>
        </is>
      </c>
      <c r="C14" s="18" t="n">
        <v>2262.2</v>
      </c>
      <c r="D14" s="18" t="n">
        <v>2212.59</v>
      </c>
      <c r="E14" s="18" t="n">
        <v>2052.39</v>
      </c>
      <c r="F14" s="18" t="n">
        <v>1866.77</v>
      </c>
      <c r="G14" s="19">
        <f>HYPERLINK("https://www.tradingview.com/chart/?symbol=NSE:GLAND","Chart 📈")</f>
        <v/>
      </c>
    </row>
    <row r="15" ht="16" customHeight="1">
      <c r="A15" s="20" t="inlineStr">
        <is>
          <t>NIFTY PHARMA</t>
        </is>
      </c>
      <c r="B15" s="17" t="inlineStr">
        <is>
          <t>GRANULES</t>
        </is>
      </c>
      <c r="C15" s="18" t="n">
        <v>766.45</v>
      </c>
      <c r="D15" s="18" t="n">
        <v>762.7</v>
      </c>
      <c r="E15" s="18" t="n">
        <v>723.27</v>
      </c>
      <c r="F15" s="18" t="n">
        <v>624.08</v>
      </c>
      <c r="G15" s="19">
        <f>HYPERLINK("https://www.tradingview.com/chart/?symbol=NSE:GRANULES","Chart 📈")</f>
        <v/>
      </c>
    </row>
    <row r="16" ht="16" customHeight="1">
      <c r="A16" s="20" t="inlineStr">
        <is>
          <t>NIFTY PHARMA</t>
        </is>
      </c>
      <c r="B16" s="17" t="inlineStr">
        <is>
          <t>JBCHEPHARM</t>
        </is>
      </c>
      <c r="C16" s="18" t="n">
        <v>2257.7</v>
      </c>
      <c r="D16" s="18" t="n">
        <v>2175.16</v>
      </c>
      <c r="E16" s="18" t="n">
        <v>2117.43</v>
      </c>
      <c r="F16" s="18" t="n">
        <v>1941.33</v>
      </c>
      <c r="G16" s="19">
        <f>HYPERLINK("https://www.tradingview.com/chart/?symbol=NSE:JBCHEPHARM","Chart 📈")</f>
        <v/>
      </c>
    </row>
    <row r="17" ht="16" customHeight="1">
      <c r="A17" s="20" t="inlineStr">
        <is>
          <t>NIFTY PHARMA</t>
        </is>
      </c>
      <c r="B17" s="17" t="inlineStr">
        <is>
          <t>LAURUSLABS</t>
        </is>
      </c>
      <c r="C17" s="18" t="n">
        <v>1394.3</v>
      </c>
      <c r="D17" s="18" t="n">
        <v>1365.67</v>
      </c>
      <c r="E17" s="18" t="n">
        <v>1267.59</v>
      </c>
      <c r="F17" s="18" t="n">
        <v>1062.24</v>
      </c>
      <c r="G17" s="19">
        <f>HYPERLINK("https://www.tradingview.com/chart/?symbol=NSE:LAURUSLABS","Chart 📈")</f>
        <v/>
      </c>
    </row>
    <row r="18" ht="16" customHeight="1">
      <c r="A18" s="20" t="inlineStr">
        <is>
          <t>NIFTY PHARMA</t>
        </is>
      </c>
      <c r="B18" s="17" t="inlineStr">
        <is>
          <t>LUPIN</t>
        </is>
      </c>
      <c r="C18" s="18" t="n">
        <v>2293.3</v>
      </c>
      <c r="D18" s="18" t="n">
        <v>2273.19</v>
      </c>
      <c r="E18" s="18" t="n">
        <v>2280.77</v>
      </c>
      <c r="F18" s="18" t="n">
        <v>2184.01</v>
      </c>
      <c r="G18" s="19">
        <f>HYPERLINK("https://www.tradingview.com/chart/?symbol=NSE:LUPIN","Chart 📈")</f>
        <v/>
      </c>
    </row>
    <row r="19" ht="16" customHeight="1">
      <c r="A19" s="20" t="inlineStr">
        <is>
          <t>NIFTY PHARMA</t>
        </is>
      </c>
      <c r="B19" s="17" t="inlineStr">
        <is>
          <t>MANKIND</t>
        </is>
      </c>
      <c r="C19" s="18" t="n">
        <v>2381.1</v>
      </c>
      <c r="D19" s="18" t="n">
        <v>2377.92</v>
      </c>
      <c r="E19" s="18" t="n">
        <v>2322.74</v>
      </c>
      <c r="F19" s="18" t="n">
        <v>2282.78</v>
      </c>
      <c r="G19" s="19">
        <f>HYPERLINK("https://www.tradingview.com/chart/?symbol=NSE:MANKIND","Chart 📈")</f>
        <v/>
      </c>
    </row>
    <row r="20" ht="16" customHeight="1">
      <c r="A20" s="20" t="inlineStr">
        <is>
          <t>NIFTY PHARMA</t>
        </is>
      </c>
      <c r="B20" s="17" t="inlineStr">
        <is>
          <t>SUNPHARMA</t>
        </is>
      </c>
      <c r="C20" s="18" t="n">
        <v>1807.7</v>
      </c>
      <c r="D20" s="18" t="n">
        <v>1806.01</v>
      </c>
      <c r="E20" s="18" t="n">
        <v>1793.5</v>
      </c>
      <c r="F20" s="18" t="n">
        <v>1736.99</v>
      </c>
      <c r="G20" s="19">
        <f>HYPERLINK("https://www.tradingview.com/chart/?symbol=NSE:SUNPHARMA","Chart 📈")</f>
        <v/>
      </c>
    </row>
    <row r="21" ht="16" customHeight="1">
      <c r="A21" s="20" t="inlineStr">
        <is>
          <t>NIFTY PHARMA</t>
        </is>
      </c>
      <c r="B21" s="17" t="inlineStr">
        <is>
          <t>TORNTPHARM</t>
        </is>
      </c>
      <c r="C21" s="18" t="n">
        <v>4571.2</v>
      </c>
      <c r="D21" s="18" t="n">
        <v>4435.17</v>
      </c>
      <c r="E21" s="18" t="n">
        <v>4346.79</v>
      </c>
      <c r="F21" s="18" t="n">
        <v>4006.92</v>
      </c>
      <c r="G21" s="19">
        <f>HYPERLINK("https://www.tradingview.com/chart/?symbol=NSE:TORNTPHARM","Chart 📈")</f>
        <v/>
      </c>
    </row>
    <row r="22" ht="16" customHeight="1">
      <c r="A22" s="20" t="inlineStr">
        <is>
          <t>NIFTY PHARMA</t>
        </is>
      </c>
      <c r="B22" s="17" t="inlineStr">
        <is>
          <t>ZYDUSLIFE</t>
        </is>
      </c>
      <c r="C22" s="18" t="n">
        <v>1104.7</v>
      </c>
      <c r="D22" s="18" t="n">
        <v>1065.67</v>
      </c>
      <c r="E22" s="18" t="n">
        <v>1008.2</v>
      </c>
      <c r="F22" s="18" t="n">
        <v>958.04</v>
      </c>
      <c r="G22" s="19">
        <f>HYPERLINK("https://www.tradingview.com/chart/?symbol=NSE:ZYDUSLIFE","Chart 📈")</f>
        <v/>
      </c>
    </row>
    <row r="23" ht="16" customHeight="1">
      <c r="A23" s="12" t="inlineStr">
        <is>
          <t>NIFTY AUTO</t>
        </is>
      </c>
      <c r="B23" s="13" t="inlineStr">
        <is>
          <t>BHARATFORG</t>
        </is>
      </c>
      <c r="C23" s="14" t="n">
        <v>1945.1</v>
      </c>
      <c r="D23" s="14" t="n">
        <v>1924.01</v>
      </c>
      <c r="E23" s="14" t="n">
        <v>1878</v>
      </c>
      <c r="F23" s="14" t="n">
        <v>1633.08</v>
      </c>
      <c r="G23" s="15">
        <f>HYPERLINK("https://www.tradingview.com/chart/?symbol=NSE:BHARATFORG","Chart 📈")</f>
        <v/>
      </c>
    </row>
    <row r="24" ht="16" customHeight="1">
      <c r="A24" s="16" t="inlineStr">
        <is>
          <t>NIFTY AUTO</t>
        </is>
      </c>
      <c r="B24" s="13" t="inlineStr">
        <is>
          <t>BOSCHLTD</t>
        </is>
      </c>
      <c r="C24" s="14" t="n">
        <v>39060</v>
      </c>
      <c r="D24" s="14" t="n">
        <v>37165.26</v>
      </c>
      <c r="E24" s="14" t="n">
        <v>36436.76</v>
      </c>
      <c r="F24" s="14" t="n">
        <v>35786.31</v>
      </c>
      <c r="G24" s="15">
        <f>HYPERLINK("https://www.tradingview.com/chart/?symbol=NSE:BOSCHLTD","Chart 📈")</f>
        <v/>
      </c>
    </row>
    <row r="25" ht="16" customHeight="1">
      <c r="A25" s="16" t="inlineStr">
        <is>
          <t>NIFTY AUTO</t>
        </is>
      </c>
      <c r="B25" s="13" t="inlineStr">
        <is>
          <t>EICHERMOT</t>
        </is>
      </c>
      <c r="C25" s="14" t="n">
        <v>7312</v>
      </c>
      <c r="D25" s="14" t="n">
        <v>7167.39</v>
      </c>
      <c r="E25" s="14" t="n">
        <v>7161.85</v>
      </c>
      <c r="F25" s="14" t="n">
        <v>6924.75</v>
      </c>
      <c r="G25" s="15">
        <f>HYPERLINK("https://www.tradingview.com/chart/?symbol=NSE:EICHERMOT","Chart 📈")</f>
        <v/>
      </c>
    </row>
    <row r="26" ht="16" customHeight="1">
      <c r="A26" s="16" t="inlineStr">
        <is>
          <t>NIFTY AUTO</t>
        </is>
      </c>
      <c r="B26" s="13" t="inlineStr">
        <is>
          <t>EXIDEIND</t>
        </is>
      </c>
      <c r="C26" s="14" t="n">
        <v>391.95</v>
      </c>
      <c r="D26" s="14" t="n">
        <v>380.47</v>
      </c>
      <c r="E26" s="14" t="n">
        <v>361.85</v>
      </c>
      <c r="F26" s="14" t="n">
        <v>358.51</v>
      </c>
      <c r="G26" s="15">
        <f>HYPERLINK("https://www.tradingview.com/chart/?symbol=NSE:EXIDEIND","Chart 📈")</f>
        <v/>
      </c>
    </row>
    <row r="27" ht="16" customHeight="1">
      <c r="A27" s="16" t="inlineStr">
        <is>
          <t>NIFTY AUTO</t>
        </is>
      </c>
      <c r="B27" s="13" t="inlineStr">
        <is>
          <t>MOTHERSON</t>
        </is>
      </c>
      <c r="C27" s="14" t="n">
        <v>143.4</v>
      </c>
      <c r="D27" s="14" t="n">
        <v>139.34</v>
      </c>
      <c r="E27" s="14" t="n">
        <v>132.46</v>
      </c>
      <c r="F27" s="14" t="n">
        <v>119.63</v>
      </c>
      <c r="G27" s="15">
        <f>HYPERLINK("https://www.tradingview.com/chart/?symbol=NSE:MOTHERSON","Chart 📈")</f>
        <v/>
      </c>
    </row>
    <row r="28" ht="16" customHeight="1">
      <c r="A28" s="8" t="inlineStr">
        <is>
          <t>NIFTY OIL &amp; GAS</t>
        </is>
      </c>
      <c r="B28" s="17" t="inlineStr">
        <is>
          <t>AEGISLOG</t>
        </is>
      </c>
      <c r="C28" s="18" t="n">
        <v>944.4</v>
      </c>
      <c r="D28" s="18" t="n">
        <v>778.34</v>
      </c>
      <c r="E28" s="18" t="n">
        <v>730.51</v>
      </c>
      <c r="F28" s="18" t="n">
        <v>721.54</v>
      </c>
      <c r="G28" s="19">
        <f>HYPERLINK("https://www.tradingview.com/chart/?symbol=NSE:AEGISLOG","Chart 📈")</f>
        <v/>
      </c>
    </row>
    <row r="29" ht="16" customHeight="1">
      <c r="A29" s="20" t="inlineStr">
        <is>
          <t>NIFTY OIL &amp; GAS</t>
        </is>
      </c>
      <c r="B29" s="17" t="inlineStr">
        <is>
          <t>ATGL</t>
        </is>
      </c>
      <c r="C29" s="18" t="n">
        <v>728.5</v>
      </c>
      <c r="D29" s="18" t="n">
        <v>712.59</v>
      </c>
      <c r="E29" s="18" t="n">
        <v>661.8</v>
      </c>
      <c r="F29" s="18" t="n">
        <v>613.16</v>
      </c>
      <c r="G29" s="19">
        <f>HYPERLINK("https://www.tradingview.com/chart/?symbol=NSE:ATGL","Chart 📈")</f>
        <v/>
      </c>
    </row>
    <row r="30" ht="16" customHeight="1">
      <c r="A30" s="20" t="inlineStr">
        <is>
          <t>NIFTY OIL &amp; GAS</t>
        </is>
      </c>
      <c r="B30" s="17" t="inlineStr">
        <is>
          <t>GAIL</t>
        </is>
      </c>
      <c r="C30" s="18" t="n">
        <v>170.5</v>
      </c>
      <c r="D30" s="18" t="n">
        <v>165.75</v>
      </c>
      <c r="E30" s="18" t="n">
        <v>162.67</v>
      </c>
      <c r="F30" s="18" t="n">
        <v>165.05</v>
      </c>
      <c r="G30" s="19">
        <f>HYPERLINK("https://www.tradingview.com/chart/?symbol=NSE:GAIL","Chart 📈")</f>
        <v/>
      </c>
    </row>
    <row r="31" ht="16" customHeight="1">
      <c r="A31" s="12" t="inlineStr">
        <is>
          <t>NIFTY METAL</t>
        </is>
      </c>
      <c r="B31" s="13" t="inlineStr">
        <is>
          <t>ADANIENT</t>
        </is>
      </c>
      <c r="C31" s="14" t="n">
        <v>2921.6</v>
      </c>
      <c r="D31" s="14" t="n">
        <v>2857.54</v>
      </c>
      <c r="E31" s="14" t="n">
        <v>2622.29</v>
      </c>
      <c r="F31" s="14" t="n">
        <v>2392.44</v>
      </c>
      <c r="G31" s="15">
        <f>HYPERLINK("https://www.tradingview.com/chart/?symbol=NSE:ADANIENT","Chart 📈")</f>
        <v/>
      </c>
    </row>
    <row r="32" ht="16" customHeight="1">
      <c r="A32" s="16" t="inlineStr">
        <is>
          <t>NIFTY METAL</t>
        </is>
      </c>
      <c r="B32" s="13" t="inlineStr">
        <is>
          <t>JSWSTEEL</t>
        </is>
      </c>
      <c r="C32" s="14" t="n">
        <v>1297.6</v>
      </c>
      <c r="D32" s="14" t="n">
        <v>1283.71</v>
      </c>
      <c r="E32" s="14" t="n">
        <v>1264.05</v>
      </c>
      <c r="F32" s="14" t="n">
        <v>1187.17</v>
      </c>
      <c r="G32" s="15">
        <f>HYPERLINK("https://www.tradingview.com/chart/?symbol=NSE:JSWSTEEL","Chart 📈")</f>
        <v/>
      </c>
    </row>
    <row r="33" ht="16" customHeight="1">
      <c r="A33" s="16" t="inlineStr">
        <is>
          <t>NIFTY METAL</t>
        </is>
      </c>
      <c r="B33" s="13" t="inlineStr">
        <is>
          <t>NMDC</t>
        </is>
      </c>
      <c r="C33" s="14" t="n">
        <v>90.93000000000001</v>
      </c>
      <c r="D33" s="14" t="n">
        <v>90.64</v>
      </c>
      <c r="E33" s="14" t="n">
        <v>88.53</v>
      </c>
      <c r="F33" s="14" t="n">
        <v>80.78</v>
      </c>
      <c r="G33" s="15">
        <f>HYPERLINK("https://www.tradingview.com/chart/?symbol=NSE:NMDC","Chart 📈")</f>
        <v/>
      </c>
    </row>
    <row r="34" ht="16" customHeight="1">
      <c r="A34" s="16" t="inlineStr">
        <is>
          <t>NIFTY METAL</t>
        </is>
      </c>
      <c r="B34" s="13" t="inlineStr">
        <is>
          <t>RATNAMANI</t>
        </is>
      </c>
      <c r="C34" s="14" t="n">
        <v>2580.5</v>
      </c>
      <c r="D34" s="14" t="n">
        <v>2578.5</v>
      </c>
      <c r="E34" s="14" t="n">
        <v>2543.84</v>
      </c>
      <c r="F34" s="14" t="n">
        <v>2476.08</v>
      </c>
      <c r="G34" s="15">
        <f>HYPERLINK("https://www.tradingview.com/chart/?symbol=NSE:RATNAMANI","Chart 📈")</f>
        <v/>
      </c>
    </row>
    <row r="35" ht="16" customHeight="1">
      <c r="A35" s="16" t="inlineStr">
        <is>
          <t>NIFTY METAL</t>
        </is>
      </c>
      <c r="B35" s="13" t="inlineStr">
        <is>
          <t>WELCORP</t>
        </is>
      </c>
      <c r="C35" s="14" t="n">
        <v>1402.3</v>
      </c>
      <c r="D35" s="14" t="n">
        <v>1355.49</v>
      </c>
      <c r="E35" s="14" t="n">
        <v>1238.61</v>
      </c>
      <c r="F35" s="14" t="n">
        <v>1003.98</v>
      </c>
      <c r="G35" s="15">
        <f>HYPERLINK("https://www.tradingview.com/chart/?symbol=NSE:WELCORP","Chart 📈")</f>
        <v/>
      </c>
    </row>
    <row r="36" ht="16" customHeight="1">
      <c r="A36" s="8" t="inlineStr">
        <is>
          <t>NIFTY MEDIA</t>
        </is>
      </c>
      <c r="B36" s="17" t="inlineStr">
        <is>
          <t>NAZARA</t>
        </is>
      </c>
      <c r="C36" s="18" t="n">
        <v>285.85</v>
      </c>
      <c r="D36" s="18" t="n">
        <v>278.21</v>
      </c>
      <c r="E36" s="18" t="n">
        <v>272.62</v>
      </c>
      <c r="F36" s="18" t="n">
        <v>273.37</v>
      </c>
      <c r="G36" s="19">
        <f>HYPERLINK("https://www.tradingview.com/chart/?symbol=NSE:NAZARA","Chart 📈")</f>
        <v/>
      </c>
    </row>
    <row r="37" ht="16" customHeight="1">
      <c r="A37" s="20" t="inlineStr">
        <is>
          <t>NIFTY MEDIA</t>
        </is>
      </c>
      <c r="B37" s="17" t="inlineStr">
        <is>
          <t>SAREGAMA</t>
        </is>
      </c>
      <c r="C37" s="18" t="n">
        <v>455.85</v>
      </c>
      <c r="D37" s="18" t="n">
        <v>430.39</v>
      </c>
      <c r="E37" s="18" t="n">
        <v>395.81</v>
      </c>
      <c r="F37" s="18" t="n">
        <v>396.82</v>
      </c>
      <c r="G37" s="19">
        <f>HYPERLINK("https://www.tradingview.com/chart/?symbol=NSE:SAREGAMA","Chart 📈")</f>
        <v/>
      </c>
    </row>
    <row r="38" ht="16" customHeight="1">
      <c r="A38" s="20" t="inlineStr">
        <is>
          <t>NIFTY MEDIA</t>
        </is>
      </c>
      <c r="B38" s="17" t="inlineStr">
        <is>
          <t>ZEEL</t>
        </is>
      </c>
      <c r="C38" s="18" t="n">
        <v>112.6</v>
      </c>
      <c r="D38" s="18" t="n">
        <v>99.40000000000001</v>
      </c>
      <c r="E38" s="18" t="n">
        <v>92.66</v>
      </c>
      <c r="F38" s="18" t="n">
        <v>96.64</v>
      </c>
      <c r="G38" s="19">
        <f>HYPERLINK("https://www.tradingview.com/chart/?symbol=NSE:ZEEL","Chart 📈")</f>
        <v/>
      </c>
    </row>
    <row r="39" ht="16" customHeight="1">
      <c r="A39" s="12" t="inlineStr">
        <is>
          <t>NIFTY REALTY</t>
        </is>
      </c>
      <c r="B39" s="13" t="inlineStr">
        <is>
          <t>PHOENIXLTD</t>
        </is>
      </c>
      <c r="C39" s="14" t="n">
        <v>1757.6</v>
      </c>
      <c r="D39" s="14" t="n">
        <v>1752.28</v>
      </c>
      <c r="E39" s="14" t="n">
        <v>1741.79</v>
      </c>
      <c r="F39" s="14" t="n">
        <v>1699.78</v>
      </c>
      <c r="G39" s="15">
        <f>HYPERLINK("https://www.tradingview.com/chart/?symbol=NSE:PHOENIXLTD","Chart 📈")</f>
        <v/>
      </c>
    </row>
    <row r="40" ht="16" customHeight="1">
      <c r="A40" s="16" t="inlineStr">
        <is>
          <t>NIFTY REALTY</t>
        </is>
      </c>
      <c r="B40" s="13" t="inlineStr">
        <is>
          <t>RAYMOND</t>
        </is>
      </c>
      <c r="C40" s="14" t="n">
        <v>580.7</v>
      </c>
      <c r="D40" s="14" t="n">
        <v>528.4</v>
      </c>
      <c r="E40" s="14" t="n">
        <v>490.02</v>
      </c>
      <c r="F40" s="14" t="n">
        <v>485.16</v>
      </c>
      <c r="G40" s="15">
        <f>HYPERLINK("https://www.tradingview.com/chart/?symbol=NSE:RAYMOND","Chart 📈")</f>
        <v/>
      </c>
    </row>
    <row r="41" ht="16" customHeight="1">
      <c r="A41" s="8" t="inlineStr">
        <is>
          <t>NIFTY FMCG</t>
        </is>
      </c>
      <c r="B41" s="17" t="inlineStr">
        <is>
          <t>BALRAMCHIN</t>
        </is>
      </c>
      <c r="C41" s="18" t="n">
        <v>539.95</v>
      </c>
      <c r="D41" s="18" t="n">
        <v>534.91</v>
      </c>
      <c r="E41" s="18" t="n">
        <v>521.36</v>
      </c>
      <c r="F41" s="18" t="n">
        <v>504.66</v>
      </c>
      <c r="G41" s="19">
        <f>HYPERLINK("https://www.tradingview.com/chart/?symbol=NSE:BALRAMCHIN","Chart 📈")</f>
        <v/>
      </c>
    </row>
    <row r="42" ht="16" customHeight="1">
      <c r="A42" s="20" t="inlineStr">
        <is>
          <t>NIFTY FMCG</t>
        </is>
      </c>
      <c r="B42" s="17" t="inlineStr">
        <is>
          <t>MARICO</t>
        </is>
      </c>
      <c r="C42" s="18" t="n">
        <v>819.05</v>
      </c>
      <c r="D42" s="18" t="n">
        <v>816.29</v>
      </c>
      <c r="E42" s="18" t="n">
        <v>803.62</v>
      </c>
      <c r="F42" s="18" t="n">
        <v>761.88</v>
      </c>
      <c r="G42" s="19">
        <f>HYPERLINK("https://www.tradingview.com/chart/?symbol=NSE:MARICO","Chart 📈")</f>
        <v/>
      </c>
    </row>
    <row r="43" ht="16" customHeight="1">
      <c r="A43" s="20" t="inlineStr">
        <is>
          <t>NIFTY FMCG</t>
        </is>
      </c>
      <c r="B43" s="17" t="inlineStr">
        <is>
          <t>RADICO</t>
        </is>
      </c>
      <c r="C43" s="18" t="n">
        <v>3541.7</v>
      </c>
      <c r="D43" s="18" t="n">
        <v>3476.82</v>
      </c>
      <c r="E43" s="18" t="n">
        <v>3334.51</v>
      </c>
      <c r="F43" s="18" t="n">
        <v>3055.3</v>
      </c>
      <c r="G43" s="19">
        <f>HYPERLINK("https://www.tradingview.com/chart/?symbol=NSE:RADICO","Chart 📈")</f>
        <v/>
      </c>
    </row>
    <row r="44" ht="16" customHeight="1">
      <c r="A44" s="20" t="inlineStr">
        <is>
          <t>NIFTY FMCG</t>
        </is>
      </c>
      <c r="B44" s="17" t="inlineStr">
        <is>
          <t>VBL</t>
        </is>
      </c>
      <c r="C44" s="18" t="n">
        <v>522.2</v>
      </c>
      <c r="D44" s="18" t="n">
        <v>521.8200000000001</v>
      </c>
      <c r="E44" s="18" t="n">
        <v>501.77</v>
      </c>
      <c r="F44" s="18" t="n">
        <v>476.57</v>
      </c>
      <c r="G44" s="19">
        <f>HYPERLINK("https://www.tradingview.com/chart/?symbol=NSE:VBL","Chart 📈")</f>
        <v/>
      </c>
    </row>
    <row r="45" ht="16" customHeight="1">
      <c r="A45" s="12" t="inlineStr">
        <is>
          <t>NIFTY FINANCIAL SERVICES</t>
        </is>
      </c>
      <c r="B45" s="13" t="inlineStr">
        <is>
          <t>AXISBANK</t>
        </is>
      </c>
      <c r="C45" s="14" t="n">
        <v>1356.3</v>
      </c>
      <c r="D45" s="14" t="n">
        <v>1289.73</v>
      </c>
      <c r="E45" s="14" t="n">
        <v>1286.96</v>
      </c>
      <c r="F45" s="14" t="n">
        <v>1262.37</v>
      </c>
      <c r="G45" s="15">
        <f>HYPERLINK("https://www.tradingview.com/chart/?symbol=NSE:AXISBANK","Chart 📈")</f>
        <v/>
      </c>
    </row>
    <row r="46" ht="16" customHeight="1">
      <c r="A46" s="16" t="inlineStr">
        <is>
          <t>NIFTY FINANCIAL SERVICES</t>
        </is>
      </c>
      <c r="B46" s="13" t="inlineStr">
        <is>
          <t>ICICIBANK</t>
        </is>
      </c>
      <c r="C46" s="14" t="n">
        <v>1340.8</v>
      </c>
      <c r="D46" s="14" t="n">
        <v>1274.85</v>
      </c>
      <c r="E46" s="14" t="n">
        <v>1281.37</v>
      </c>
      <c r="F46" s="14" t="n">
        <v>1335.87</v>
      </c>
      <c r="G46" s="15">
        <f>HYPERLINK("https://www.tradingview.com/chart/?symbol=NSE:ICICIBANK","Chart 📈")</f>
        <v/>
      </c>
    </row>
    <row r="47" ht="16" customHeight="1">
      <c r="A47" s="16" t="inlineStr">
        <is>
          <t>NIFTY FINANCIAL SERVICES</t>
        </is>
      </c>
      <c r="B47" s="13" t="inlineStr">
        <is>
          <t>KOTAKBANK</t>
        </is>
      </c>
      <c r="C47" s="14" t="n">
        <v>403.3</v>
      </c>
      <c r="D47" s="14" t="n">
        <v>385.17</v>
      </c>
      <c r="E47" s="14" t="n">
        <v>384.46</v>
      </c>
      <c r="F47" s="14" t="n">
        <v>400.8</v>
      </c>
      <c r="G47" s="15">
        <f>HYPERLINK("https://www.tradingview.com/chart/?symbol=NSE:KOTAKBANK","Chart 📈")</f>
        <v/>
      </c>
    </row>
    <row r="48" ht="16" customHeight="1">
      <c r="A48" s="16" t="inlineStr">
        <is>
          <t>NIFTY FINANCIAL SERVICES</t>
        </is>
      </c>
      <c r="B48" s="13" t="inlineStr">
        <is>
          <t>LICHSGFIN</t>
        </is>
      </c>
      <c r="C48" s="14" t="n">
        <v>559.5</v>
      </c>
      <c r="D48" s="14" t="n">
        <v>546.84</v>
      </c>
      <c r="E48" s="14" t="n">
        <v>543.64</v>
      </c>
      <c r="F48" s="14" t="n">
        <v>546.45</v>
      </c>
      <c r="G48" s="15">
        <f>HYPERLINK("https://www.tradingview.com/chart/?symbol=NSE:LICHSGFIN","Chart 📈")</f>
        <v/>
      </c>
    </row>
    <row r="49" ht="16" customHeight="1">
      <c r="A49" s="16" t="inlineStr">
        <is>
          <t>NIFTY FINANCIAL SERVICES</t>
        </is>
      </c>
      <c r="B49" s="13" t="inlineStr">
        <is>
          <t>SHRIRAMFIN</t>
        </is>
      </c>
      <c r="C49" s="14" t="n">
        <v>954.95</v>
      </c>
      <c r="D49" s="14" t="n">
        <v>928.36</v>
      </c>
      <c r="E49" s="14" t="n">
        <v>949.17</v>
      </c>
      <c r="F49" s="14" t="n">
        <v>893.08</v>
      </c>
      <c r="G49" s="15">
        <f>HYPERLINK("https://www.tradingview.com/chart/?symbol=NSE:SHRIRAMFIN","Chart 📈")</f>
        <v/>
      </c>
    </row>
    <row r="50" ht="16" customHeight="1">
      <c r="A50" s="8" t="inlineStr">
        <is>
          <t>NIFTY MIDSMALL IT &amp; TELECOM</t>
        </is>
      </c>
      <c r="B50" s="17" t="inlineStr">
        <is>
          <t>HFCL</t>
        </is>
      </c>
      <c r="C50" s="18" t="n">
        <v>171.86</v>
      </c>
      <c r="D50" s="18" t="n">
        <v>167.72</v>
      </c>
      <c r="E50" s="18" t="n">
        <v>141.12</v>
      </c>
      <c r="F50" s="18" t="n">
        <v>98.93000000000001</v>
      </c>
      <c r="G50" s="19">
        <f>HYPERLINK("https://www.tradingview.com/chart/?symbol=NSE:HFCL","Chart 📈")</f>
        <v/>
      </c>
    </row>
    <row r="51" ht="16" customHeight="1">
      <c r="A51" s="20" t="inlineStr">
        <is>
          <t>NIFTY MIDSMALL IT &amp; TELECOM</t>
        </is>
      </c>
      <c r="B51" s="17" t="inlineStr">
        <is>
          <t>IDEA</t>
        </is>
      </c>
      <c r="C51" s="18" t="n">
        <v>14.9</v>
      </c>
      <c r="D51" s="18" t="n">
        <v>13.86</v>
      </c>
      <c r="E51" s="18" t="n">
        <v>12.52</v>
      </c>
      <c r="F51" s="18" t="n">
        <v>10.44</v>
      </c>
      <c r="G51" s="19">
        <f>HYPERLINK("https://www.tradingview.com/chart/?symbol=NSE:IDEA","Chart 📈")</f>
        <v/>
      </c>
    </row>
    <row r="52" ht="16" customHeight="1">
      <c r="A52" s="20" t="inlineStr">
        <is>
          <t>NIFTY MIDSMALL IT &amp; TELECOM</t>
        </is>
      </c>
      <c r="B52" s="17" t="inlineStr">
        <is>
          <t>TATACOMM</t>
        </is>
      </c>
      <c r="C52" s="18" t="n">
        <v>1966.6</v>
      </c>
      <c r="D52" s="18" t="n">
        <v>1893.96</v>
      </c>
      <c r="E52" s="18" t="n">
        <v>1761.54</v>
      </c>
      <c r="F52" s="18" t="n">
        <v>1687.02</v>
      </c>
      <c r="G52" s="19">
        <f>HYPERLINK("https://www.tradingview.com/chart/?symbol=NSE:TATACOMM","Chart 📈")</f>
        <v/>
      </c>
    </row>
    <row r="53" ht="16" customHeight="1">
      <c r="A53" s="20" t="inlineStr">
        <is>
          <t>NIFTY MIDSMALL IT &amp; TELECOM</t>
        </is>
      </c>
      <c r="B53" s="17" t="inlineStr">
        <is>
          <t>TATATECH</t>
        </is>
      </c>
      <c r="C53" s="18" t="n">
        <v>761</v>
      </c>
      <c r="D53" s="18" t="n">
        <v>716.36</v>
      </c>
      <c r="E53" s="18" t="n">
        <v>664.39</v>
      </c>
      <c r="F53" s="18" t="n">
        <v>651.12</v>
      </c>
      <c r="G53" s="19">
        <f>HYPERLINK("https://www.tradingview.com/chart/?symbol=NSE:TATATECH","Chart 📈")</f>
        <v/>
      </c>
    </row>
    <row r="54" ht="16" customHeight="1">
      <c r="A54" s="20" t="inlineStr">
        <is>
          <t>NIFTY MIDSMALL IT &amp; TELECOM</t>
        </is>
      </c>
      <c r="B54" s="17" t="inlineStr">
        <is>
          <t>TEJASNET</t>
        </is>
      </c>
      <c r="C54" s="18" t="n">
        <v>598.85</v>
      </c>
      <c r="D54" s="18" t="n">
        <v>530.33</v>
      </c>
      <c r="E54" s="18" t="n">
        <v>486.25</v>
      </c>
      <c r="F54" s="18" t="n">
        <v>489.54</v>
      </c>
      <c r="G54" s="19">
        <f>HYPERLINK("https://www.tradingview.com/chart/?symbol=NSE:TEJASNET","Chart 📈")</f>
        <v/>
      </c>
    </row>
    <row r="55" ht="16" customHeight="1">
      <c r="A55" s="12" t="inlineStr">
        <is>
          <t>NIFTY BANK</t>
        </is>
      </c>
      <c r="B55" s="13" t="inlineStr">
        <is>
          <t>AUBANK</t>
        </is>
      </c>
      <c r="C55" s="14" t="n">
        <v>1015.5</v>
      </c>
      <c r="D55" s="14" t="n">
        <v>982.05</v>
      </c>
      <c r="E55" s="14" t="n">
        <v>981.78</v>
      </c>
      <c r="F55" s="14" t="n">
        <v>929.6</v>
      </c>
      <c r="G55" s="15">
        <f>HYPERLINK("https://www.tradingview.com/chart/?symbol=NSE:AUBANK","Chart 📈")</f>
        <v/>
      </c>
    </row>
    <row r="56" ht="16" customHeight="1">
      <c r="A56" s="16" t="inlineStr">
        <is>
          <t>NIFTY BANK</t>
        </is>
      </c>
      <c r="B56" s="13" t="inlineStr">
        <is>
          <t>FEDERALBNK</t>
        </is>
      </c>
      <c r="C56" s="14" t="n">
        <v>315.7</v>
      </c>
      <c r="D56" s="14" t="n">
        <v>299.6</v>
      </c>
      <c r="E56" s="14" t="n">
        <v>291.71</v>
      </c>
      <c r="F56" s="14" t="n">
        <v>264.58</v>
      </c>
      <c r="G56" s="15">
        <f>HYPERLINK("https://www.tradingview.com/chart/?symbol=NSE:FEDERALBNK","Chart 📈")</f>
        <v/>
      </c>
    </row>
    <row r="57" ht="16" customHeight="1">
      <c r="A57" s="16" t="inlineStr">
        <is>
          <t>NIFTY BANK</t>
        </is>
      </c>
      <c r="B57" s="13" t="inlineStr">
        <is>
          <t>IDFCFIRSTB</t>
        </is>
      </c>
      <c r="C57" s="14" t="n">
        <v>76.5</v>
      </c>
      <c r="D57" s="14" t="n">
        <v>71.67</v>
      </c>
      <c r="E57" s="14" t="n">
        <v>70.47</v>
      </c>
      <c r="F57" s="14" t="n">
        <v>72.81999999999999</v>
      </c>
      <c r="G57" s="15">
        <f>HYPERLINK("https://www.tradingview.com/chart/?symbol=NSE:IDFCFIRSTB","Chart 📈")</f>
        <v/>
      </c>
    </row>
    <row r="58" ht="16" customHeight="1">
      <c r="A58" s="16" t="inlineStr">
        <is>
          <t>NIFTY BANK</t>
        </is>
      </c>
      <c r="B58" s="13" t="inlineStr">
        <is>
          <t>INDUSINDBK</t>
        </is>
      </c>
      <c r="C58" s="14" t="n">
        <v>917.35</v>
      </c>
      <c r="D58" s="14" t="n">
        <v>905.1</v>
      </c>
      <c r="E58" s="14" t="n">
        <v>895.08</v>
      </c>
      <c r="F58" s="14" t="n">
        <v>864.84</v>
      </c>
      <c r="G58" s="15">
        <f>HYPERLINK("https://www.tradingview.com/chart/?symbol=NSE:INDUSINDBK","Chart 📈")</f>
        <v/>
      </c>
    </row>
    <row r="59" ht="16" customHeight="1">
      <c r="A59" s="8" t="inlineStr">
        <is>
          <t>NIFTY ENERGY</t>
        </is>
      </c>
      <c r="B59" s="17" t="inlineStr">
        <is>
          <t>ADANIENSOL</t>
        </is>
      </c>
      <c r="C59" s="18" t="n">
        <v>1489.6</v>
      </c>
      <c r="D59" s="18" t="n">
        <v>1476.19</v>
      </c>
      <c r="E59" s="18" t="n">
        <v>1361.02</v>
      </c>
      <c r="F59" s="18" t="n">
        <v>1111.23</v>
      </c>
      <c r="G59" s="19">
        <f>HYPERLINK("https://www.tradingview.com/chart/?symbol=NSE:ADANIENSOL","Chart 📈")</f>
        <v/>
      </c>
    </row>
    <row r="60" ht="16" customHeight="1">
      <c r="A60" s="20" t="inlineStr">
        <is>
          <t>NIFTY ENERGY</t>
        </is>
      </c>
      <c r="B60" s="17" t="inlineStr">
        <is>
          <t>ADANIGREEN</t>
        </is>
      </c>
      <c r="C60" s="18" t="n">
        <v>1485.7</v>
      </c>
      <c r="D60" s="18" t="n">
        <v>1438.52</v>
      </c>
      <c r="E60" s="18" t="n">
        <v>1313.36</v>
      </c>
      <c r="F60" s="18" t="n">
        <v>1107.25</v>
      </c>
      <c r="G60" s="19">
        <f>HYPERLINK("https://www.tradingview.com/chart/?symbol=NSE:ADANIGREEN","Chart 📈")</f>
        <v/>
      </c>
    </row>
    <row r="61" ht="16" customHeight="1">
      <c r="A61" s="20" t="inlineStr">
        <is>
          <t>NIFTY ENERGY</t>
        </is>
      </c>
      <c r="B61" s="17" t="inlineStr">
        <is>
          <t>CGPOWER</t>
        </is>
      </c>
      <c r="C61" s="18" t="n">
        <v>914.45</v>
      </c>
      <c r="D61" s="18" t="n">
        <v>893.63</v>
      </c>
      <c r="E61" s="18" t="n">
        <v>841.6900000000001</v>
      </c>
      <c r="F61" s="18" t="n">
        <v>744.9299999999999</v>
      </c>
      <c r="G61" s="19">
        <f>HYPERLINK("https://www.tradingview.com/chart/?symbol=NSE:CGPOWER","Chart 📈")</f>
        <v/>
      </c>
    </row>
    <row r="62" ht="16" customHeight="1">
      <c r="A62" s="20" t="inlineStr">
        <is>
          <t>NIFTY ENERGY</t>
        </is>
      </c>
      <c r="B62" s="17" t="inlineStr">
        <is>
          <t>GVT&amp;D</t>
        </is>
      </c>
      <c r="C62" s="18" t="n">
        <v>4942.5</v>
      </c>
      <c r="D62" s="18" t="n">
        <v>4814.23</v>
      </c>
      <c r="E62" s="18" t="n">
        <v>4524.14</v>
      </c>
      <c r="F62" s="18" t="n">
        <v>3649.12</v>
      </c>
      <c r="G62" s="19">
        <f>HYPERLINK("https://www.tradingview.com/chart/?symbol=NSE:GVT&amp;D","Chart 📈")</f>
        <v/>
      </c>
    </row>
    <row r="63" ht="16" customHeight="1">
      <c r="A63" s="20" t="inlineStr">
        <is>
          <t>NIFTY ENERGY</t>
        </is>
      </c>
      <c r="B63" s="17" t="inlineStr">
        <is>
          <t>SUZLON</t>
        </is>
      </c>
      <c r="C63" s="18" t="n">
        <v>55.08</v>
      </c>
      <c r="D63" s="18" t="n">
        <v>54.47</v>
      </c>
      <c r="E63" s="18" t="n">
        <v>52.61</v>
      </c>
      <c r="F63" s="18" t="n">
        <v>52.83</v>
      </c>
      <c r="G63" s="19">
        <f>HYPERLINK("https://www.tradingview.com/chart/?symbol=NSE:SUZLON","Chart 📈")</f>
        <v/>
      </c>
    </row>
    <row r="64" ht="16" customHeight="1">
      <c r="A64" s="20" t="inlineStr">
        <is>
          <t>NIFTY ENERGY</t>
        </is>
      </c>
      <c r="B64" s="17" t="inlineStr">
        <is>
          <t>THERMAX</t>
        </is>
      </c>
      <c r="C64" s="18" t="n">
        <v>4726.3</v>
      </c>
      <c r="D64" s="18" t="n">
        <v>4642.78</v>
      </c>
      <c r="E64" s="18" t="n">
        <v>4302.64</v>
      </c>
      <c r="F64" s="18" t="n">
        <v>3635.5</v>
      </c>
      <c r="G64" s="19">
        <f>HYPERLINK("https://www.tradingview.com/chart/?symbol=NSE:THERMAX","Chart 📈")</f>
        <v/>
      </c>
    </row>
    <row r="65" ht="16" customHeight="1">
      <c r="A65" s="20" t="inlineStr">
        <is>
          <t>NIFTY ENERGY</t>
        </is>
      </c>
      <c r="B65" s="17" t="inlineStr">
        <is>
          <t>TRITURBINE</t>
        </is>
      </c>
      <c r="C65" s="18" t="n">
        <v>671.2</v>
      </c>
      <c r="D65" s="18" t="n">
        <v>661.55</v>
      </c>
      <c r="E65" s="18" t="n">
        <v>612.61</v>
      </c>
      <c r="F65" s="18" t="n">
        <v>555.46</v>
      </c>
      <c r="G65" s="19">
        <f>HYPERLINK("https://www.tradingview.com/chart/?symbol=NSE:TRITURBINE","Chart 📈")</f>
        <v/>
      </c>
    </row>
    <row r="66" ht="16" customHeight="1">
      <c r="A66" s="12" t="inlineStr">
        <is>
          <t>NIFTY CONSUMER DURABLES</t>
        </is>
      </c>
      <c r="B66" s="13" t="inlineStr">
        <is>
          <t>CERA</t>
        </is>
      </c>
      <c r="C66" s="14" t="n">
        <v>6144</v>
      </c>
      <c r="D66" s="14" t="n">
        <v>5708.3</v>
      </c>
      <c r="E66" s="14" t="n">
        <v>5518.84</v>
      </c>
      <c r="F66" s="14" t="n">
        <v>5589.7</v>
      </c>
      <c r="G66" s="15">
        <f>HYPERLINK("https://www.tradingview.com/chart/?symbol=NSE:CERA","Chart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2026-06-12T14:20:41Z</dcterms:created>
  <dcterms:modified xsi:type="dcterms:W3CDTF">2026-06-12T14:20:41Z</dcterms:modified>
</cp:coreProperties>
</file>