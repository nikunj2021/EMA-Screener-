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04-Aug-2026  13:09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AUTO</t>
        </is>
      </c>
      <c r="B4" s="5" t="n">
        <v>15</v>
      </c>
      <c r="C4" s="5" t="n">
        <v>15</v>
      </c>
      <c r="D4" s="5" t="n">
        <v>15</v>
      </c>
      <c r="E4" s="5" t="n">
        <v>13</v>
      </c>
      <c r="F4" s="6" t="n">
        <v>1</v>
      </c>
      <c r="G4" s="6" t="n">
        <v>1</v>
      </c>
      <c r="H4" s="6" t="n">
        <v>0.867</v>
      </c>
      <c r="I4" s="7" t="n">
        <v>0.9556999999999999</v>
      </c>
    </row>
    <row r="5" ht="17" customHeight="1">
      <c r="A5" s="8" t="inlineStr">
        <is>
          <t>NIFTY METAL</t>
        </is>
      </c>
      <c r="B5" s="9" t="n">
        <v>15</v>
      </c>
      <c r="C5" s="9" t="n">
        <v>12</v>
      </c>
      <c r="D5" s="9" t="n">
        <v>10</v>
      </c>
      <c r="E5" s="9" t="n">
        <v>12</v>
      </c>
      <c r="F5" s="10" t="n">
        <v>0.8</v>
      </c>
      <c r="G5" s="10" t="n">
        <v>0.667</v>
      </c>
      <c r="H5" s="10" t="n">
        <v>0.8</v>
      </c>
      <c r="I5" s="11" t="n">
        <v>0.7556999999999999</v>
      </c>
    </row>
    <row r="6" ht="17" customHeight="1">
      <c r="A6" s="4" t="inlineStr">
        <is>
          <t>NIFTY PHARMA</t>
        </is>
      </c>
      <c r="B6" s="5" t="n">
        <v>20</v>
      </c>
      <c r="C6" s="5" t="n">
        <v>12</v>
      </c>
      <c r="D6" s="5" t="n">
        <v>15</v>
      </c>
      <c r="E6" s="5" t="n">
        <v>18</v>
      </c>
      <c r="F6" s="6" t="n">
        <v>0.6</v>
      </c>
      <c r="G6" s="6" t="n">
        <v>0.75</v>
      </c>
      <c r="H6" s="6" t="n">
        <v>0.9</v>
      </c>
      <c r="I6" s="7" t="n">
        <v>0.75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16</v>
      </c>
      <c r="D7" s="9" t="n">
        <v>15</v>
      </c>
      <c r="E7" s="9" t="n">
        <v>11</v>
      </c>
      <c r="F7" s="10" t="n">
        <v>0.8</v>
      </c>
      <c r="G7" s="10" t="n">
        <v>0.75</v>
      </c>
      <c r="H7" s="10" t="n">
        <v>0.55</v>
      </c>
      <c r="I7" s="11" t="n">
        <v>0.7</v>
      </c>
    </row>
    <row r="8" ht="17" customHeight="1">
      <c r="A8" s="4" t="inlineStr">
        <is>
          <t>NIFTY REALTY</t>
        </is>
      </c>
      <c r="B8" s="5" t="n">
        <v>10</v>
      </c>
      <c r="C8" s="5" t="n">
        <v>4</v>
      </c>
      <c r="D8" s="5" t="n">
        <v>7</v>
      </c>
      <c r="E8" s="5" t="n">
        <v>9</v>
      </c>
      <c r="F8" s="6" t="n">
        <v>0.4</v>
      </c>
      <c r="G8" s="6" t="n">
        <v>0.7</v>
      </c>
      <c r="H8" s="6" t="n">
        <v>0.9</v>
      </c>
      <c r="I8" s="7" t="n">
        <v>0.6667000000000001</v>
      </c>
    </row>
    <row r="9" ht="17" customHeight="1">
      <c r="A9" s="8" t="inlineStr">
        <is>
          <t>NIFTY CONSUMER DURABLES</t>
        </is>
      </c>
      <c r="B9" s="9" t="n">
        <v>15</v>
      </c>
      <c r="C9" s="9" t="n">
        <v>11</v>
      </c>
      <c r="D9" s="9" t="n">
        <v>12</v>
      </c>
      <c r="E9" s="9" t="n">
        <v>6</v>
      </c>
      <c r="F9" s="10" t="n">
        <v>0.733</v>
      </c>
      <c r="G9" s="10" t="n">
        <v>0.8</v>
      </c>
      <c r="H9" s="10" t="n">
        <v>0.4</v>
      </c>
      <c r="I9" s="11" t="n">
        <v>0.6443000000000001</v>
      </c>
    </row>
    <row r="10" ht="17" customHeight="1">
      <c r="A10" s="4" t="inlineStr">
        <is>
          <t>NIFTY FINANCIAL SERVICES</t>
        </is>
      </c>
      <c r="B10" s="5" t="n">
        <v>20</v>
      </c>
      <c r="C10" s="5" t="n">
        <v>11</v>
      </c>
      <c r="D10" s="5" t="n">
        <v>11</v>
      </c>
      <c r="E10" s="5" t="n">
        <v>10</v>
      </c>
      <c r="F10" s="6" t="n">
        <v>0.55</v>
      </c>
      <c r="G10" s="6" t="n">
        <v>0.55</v>
      </c>
      <c r="H10" s="6" t="n">
        <v>0.5</v>
      </c>
      <c r="I10" s="7" t="n">
        <v>0.5333</v>
      </c>
    </row>
    <row r="11" ht="17" customHeight="1">
      <c r="A11" s="8" t="inlineStr">
        <is>
          <t>NIFTY PSU BANK</t>
        </is>
      </c>
      <c r="B11" s="9" t="n">
        <v>12</v>
      </c>
      <c r="C11" s="9" t="n">
        <v>6</v>
      </c>
      <c r="D11" s="9" t="n">
        <v>7</v>
      </c>
      <c r="E11" s="9" t="n">
        <v>6</v>
      </c>
      <c r="F11" s="10" t="n">
        <v>0.5</v>
      </c>
      <c r="G11" s="10" t="n">
        <v>0.583</v>
      </c>
      <c r="H11" s="10" t="n">
        <v>0.5</v>
      </c>
      <c r="I11" s="11" t="n">
        <v>0.5277000000000001</v>
      </c>
    </row>
    <row r="12" ht="17" customHeight="1">
      <c r="A12" s="4" t="inlineStr">
        <is>
          <t>NIFTY OIL &amp; GAS</t>
        </is>
      </c>
      <c r="B12" s="5" t="n">
        <v>15</v>
      </c>
      <c r="C12" s="5" t="n">
        <v>9</v>
      </c>
      <c r="D12" s="5" t="n">
        <v>7</v>
      </c>
      <c r="E12" s="5" t="n">
        <v>7</v>
      </c>
      <c r="F12" s="6" t="n">
        <v>0.6</v>
      </c>
      <c r="G12" s="6" t="n">
        <v>0.467</v>
      </c>
      <c r="H12" s="6" t="n">
        <v>0.467</v>
      </c>
      <c r="I12" s="7" t="n">
        <v>0.5113</v>
      </c>
    </row>
    <row r="13" ht="17" customHeight="1">
      <c r="A13" s="8" t="inlineStr">
        <is>
          <t>NIFTY FMCG</t>
        </is>
      </c>
      <c r="B13" s="9" t="n">
        <v>15</v>
      </c>
      <c r="C13" s="9" t="n">
        <v>8</v>
      </c>
      <c r="D13" s="9" t="n">
        <v>9</v>
      </c>
      <c r="E13" s="9" t="n">
        <v>5</v>
      </c>
      <c r="F13" s="10" t="n">
        <v>0.5329999999999999</v>
      </c>
      <c r="G13" s="10" t="n">
        <v>0.6</v>
      </c>
      <c r="H13" s="10" t="n">
        <v>0.333</v>
      </c>
      <c r="I13" s="11" t="n">
        <v>0.4887</v>
      </c>
    </row>
    <row r="14" ht="17" customHeight="1">
      <c r="A14" s="4" t="inlineStr">
        <is>
          <t>NIFTY MEDIA</t>
        </is>
      </c>
      <c r="B14" s="5" t="n">
        <v>10</v>
      </c>
      <c r="C14" s="5" t="n">
        <v>5</v>
      </c>
      <c r="D14" s="5" t="n">
        <v>4</v>
      </c>
      <c r="E14" s="5" t="n">
        <v>5</v>
      </c>
      <c r="F14" s="6" t="n">
        <v>0.5</v>
      </c>
      <c r="G14" s="6" t="n">
        <v>0.4</v>
      </c>
      <c r="H14" s="6" t="n">
        <v>0.5</v>
      </c>
      <c r="I14" s="7" t="n">
        <v>0.4667</v>
      </c>
    </row>
    <row r="15" ht="17" customHeight="1">
      <c r="A15" s="8" t="inlineStr">
        <is>
          <t>NIFTY IT</t>
        </is>
      </c>
      <c r="B15" s="9" t="n">
        <v>10</v>
      </c>
      <c r="C15" s="9" t="n">
        <v>5</v>
      </c>
      <c r="D15" s="9" t="n">
        <v>5</v>
      </c>
      <c r="E15" s="9" t="n">
        <v>2</v>
      </c>
      <c r="F15" s="10" t="n">
        <v>0.5</v>
      </c>
      <c r="G15" s="10" t="n">
        <v>0.5</v>
      </c>
      <c r="H15" s="10" t="n">
        <v>0.2</v>
      </c>
      <c r="I15" s="11" t="n">
        <v>0.4</v>
      </c>
    </row>
    <row r="16" ht="17" customHeight="1">
      <c r="A16" s="4" t="inlineStr">
        <is>
          <t>NIFTY BANK</t>
        </is>
      </c>
      <c r="B16" s="5" t="n">
        <v>12</v>
      </c>
      <c r="C16" s="5" t="n">
        <v>4</v>
      </c>
      <c r="D16" s="5" t="n">
        <v>4</v>
      </c>
      <c r="E16" s="5" t="n">
        <v>4</v>
      </c>
      <c r="F16" s="6" t="n">
        <v>0.333</v>
      </c>
      <c r="G16" s="6" t="n">
        <v>0.333</v>
      </c>
      <c r="H16" s="6" t="n">
        <v>0.333</v>
      </c>
      <c r="I16" s="7" t="n">
        <v>0.333</v>
      </c>
    </row>
    <row r="17" ht="17" customHeight="1">
      <c r="A17" s="8" t="inlineStr">
        <is>
          <t>NIFTY ENERGY</t>
        </is>
      </c>
      <c r="B17" s="9" t="n">
        <v>40</v>
      </c>
      <c r="C17" s="9" t="n">
        <v>8</v>
      </c>
      <c r="D17" s="9" t="n">
        <v>8</v>
      </c>
      <c r="E17" s="9" t="n">
        <v>16</v>
      </c>
      <c r="F17" s="10" t="n">
        <v>0.2</v>
      </c>
      <c r="G17" s="10" t="n">
        <v>0.2</v>
      </c>
      <c r="H17" s="10" t="n">
        <v>0.4</v>
      </c>
      <c r="I17" s="11" t="n">
        <v>0.2667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AUTO</t>
        </is>
      </c>
      <c r="B3" s="13" t="inlineStr">
        <is>
          <t>APOLLOTYRE</t>
        </is>
      </c>
      <c r="C3" s="14" t="n">
        <v>438.35</v>
      </c>
      <c r="D3" s="14" t="n">
        <v>427.59</v>
      </c>
      <c r="E3" s="14" t="n">
        <v>423.09</v>
      </c>
      <c r="F3" s="14" t="n">
        <v>437.98</v>
      </c>
      <c r="G3" s="15">
        <f>HYPERLINK("https://www.tradingview.com/chart/?symbol=NSE:APOLLOTYRE","Chart 📈")</f>
        <v/>
      </c>
    </row>
    <row r="4" ht="16" customHeight="1">
      <c r="A4" s="16" t="inlineStr">
        <is>
          <t>NIFTY AUTO</t>
        </is>
      </c>
      <c r="B4" s="13" t="inlineStr">
        <is>
          <t>ASHOKLEY</t>
        </is>
      </c>
      <c r="C4" s="14" t="n">
        <v>172.08</v>
      </c>
      <c r="D4" s="14" t="n">
        <v>159.92</v>
      </c>
      <c r="E4" s="14" t="n">
        <v>158.58</v>
      </c>
      <c r="F4" s="14" t="n">
        <v>158.22</v>
      </c>
      <c r="G4" s="15">
        <f>HYPERLINK("https://www.tradingview.com/chart/?symbol=NSE:ASHOKLEY","Chart 📈")</f>
        <v/>
      </c>
    </row>
    <row r="5" ht="16" customHeight="1">
      <c r="A5" s="16" t="inlineStr">
        <is>
          <t>NIFTY AUTO</t>
        </is>
      </c>
      <c r="B5" s="13" t="inlineStr">
        <is>
          <t>BAJAJ-AUTO</t>
        </is>
      </c>
      <c r="C5" s="14" t="n">
        <v>11600</v>
      </c>
      <c r="D5" s="14" t="n">
        <v>10918.1</v>
      </c>
      <c r="E5" s="14" t="n">
        <v>10472.44</v>
      </c>
      <c r="F5" s="14" t="n">
        <v>9675.040000000001</v>
      </c>
      <c r="G5" s="15">
        <f>HYPERLINK("https://www.tradingview.com/chart/?symbol=NSE:BAJAJ-AUTO","Chart 📈")</f>
        <v/>
      </c>
    </row>
    <row r="6" ht="16" customHeight="1">
      <c r="A6" s="16" t="inlineStr">
        <is>
          <t>NIFTY AUTO</t>
        </is>
      </c>
      <c r="B6" s="13" t="inlineStr">
        <is>
          <t>BALKRISIND</t>
        </is>
      </c>
      <c r="C6" s="14" t="n">
        <v>2491.9</v>
      </c>
      <c r="D6" s="14" t="n">
        <v>2209.31</v>
      </c>
      <c r="E6" s="14" t="n">
        <v>2185.85</v>
      </c>
      <c r="F6" s="14" t="n">
        <v>2268.4</v>
      </c>
      <c r="G6" s="15">
        <f>HYPERLINK("https://www.tradingview.com/chart/?symbol=NSE:BALKRISIND","Chart 📈")</f>
        <v/>
      </c>
    </row>
    <row r="7" ht="16" customHeight="1">
      <c r="A7" s="16" t="inlineStr">
        <is>
          <t>NIFTY AUTO</t>
        </is>
      </c>
      <c r="B7" s="13" t="inlineStr">
        <is>
          <t>BHARATFORG</t>
        </is>
      </c>
      <c r="C7" s="14" t="n">
        <v>2195</v>
      </c>
      <c r="D7" s="14" t="n">
        <v>2161.34</v>
      </c>
      <c r="E7" s="14" t="n">
        <v>2086.2</v>
      </c>
      <c r="F7" s="14" t="n">
        <v>1776.64</v>
      </c>
      <c r="G7" s="15">
        <f>HYPERLINK("https://www.tradingview.com/chart/?symbol=NSE:BHARATFORG","Chart 📈")</f>
        <v/>
      </c>
    </row>
    <row r="8" ht="16" customHeight="1">
      <c r="A8" s="16" t="inlineStr">
        <is>
          <t>NIFTY AUTO</t>
        </is>
      </c>
      <c r="B8" s="13" t="inlineStr">
        <is>
          <t>BOSCHLTD</t>
        </is>
      </c>
      <c r="C8" s="14" t="n">
        <v>41200</v>
      </c>
      <c r="D8" s="14" t="n">
        <v>41189.79</v>
      </c>
      <c r="E8" s="14" t="n">
        <v>39993.25</v>
      </c>
      <c r="F8" s="14" t="n">
        <v>38064.83</v>
      </c>
      <c r="G8" s="15">
        <f>HYPERLINK("https://www.tradingview.com/chart/?symbol=NSE:BOSCHLTD","Chart 📈")</f>
        <v/>
      </c>
    </row>
    <row r="9" ht="16" customHeight="1">
      <c r="A9" s="16" t="inlineStr">
        <is>
          <t>NIFTY AUTO</t>
        </is>
      </c>
      <c r="B9" s="13" t="inlineStr">
        <is>
          <t>EICHERMOT</t>
        </is>
      </c>
      <c r="C9" s="14" t="n">
        <v>7935</v>
      </c>
      <c r="D9" s="14" t="n">
        <v>7634.05</v>
      </c>
      <c r="E9" s="14" t="n">
        <v>7440.28</v>
      </c>
      <c r="F9" s="14" t="n">
        <v>7076.89</v>
      </c>
      <c r="G9" s="15">
        <f>HYPERLINK("https://www.tradingview.com/chart/?symbol=NSE:EICHERMOT","Chart 📈")</f>
        <v/>
      </c>
    </row>
    <row r="10" ht="16" customHeight="1">
      <c r="A10" s="16" t="inlineStr">
        <is>
          <t>NIFTY AUTO</t>
        </is>
      </c>
      <c r="B10" s="13" t="inlineStr">
        <is>
          <t>EXIDEIND</t>
        </is>
      </c>
      <c r="C10" s="14" t="n">
        <v>458.35</v>
      </c>
      <c r="D10" s="14" t="n">
        <v>431.83</v>
      </c>
      <c r="E10" s="14" t="n">
        <v>408.39</v>
      </c>
      <c r="F10" s="14" t="n">
        <v>375.04</v>
      </c>
      <c r="G10" s="15">
        <f>HYPERLINK("https://www.tradingview.com/chart/?symbol=NSE:EXIDEIND","Chart 📈")</f>
        <v/>
      </c>
    </row>
    <row r="11" ht="16" customHeight="1">
      <c r="A11" s="16" t="inlineStr">
        <is>
          <t>NIFTY AUTO</t>
        </is>
      </c>
      <c r="B11" s="13" t="inlineStr">
        <is>
          <t>HEROMOTOCO</t>
        </is>
      </c>
      <c r="C11" s="14" t="n">
        <v>5548</v>
      </c>
      <c r="D11" s="14" t="n">
        <v>5117.82</v>
      </c>
      <c r="E11" s="14" t="n">
        <v>5010.08</v>
      </c>
      <c r="F11" s="14" t="n">
        <v>5071.95</v>
      </c>
      <c r="G11" s="15">
        <f>HYPERLINK("https://www.tradingview.com/chart/?symbol=NSE:HEROMOTOCO","Chart 📈")</f>
        <v/>
      </c>
    </row>
    <row r="12" ht="16" customHeight="1">
      <c r="A12" s="16" t="inlineStr">
        <is>
          <t>NIFTY AUTO</t>
        </is>
      </c>
      <c r="B12" s="13" t="inlineStr">
        <is>
          <t>M&amp;M</t>
        </is>
      </c>
      <c r="C12" s="14" t="n">
        <v>3433</v>
      </c>
      <c r="D12" s="14" t="n">
        <v>3241.49</v>
      </c>
      <c r="E12" s="14" t="n">
        <v>3169.73</v>
      </c>
      <c r="F12" s="14" t="n">
        <v>3232.59</v>
      </c>
      <c r="G12" s="15">
        <f>HYPERLINK("https://www.tradingview.com/chart/?symbol=NSE:M&amp;M","Chart 📈")</f>
        <v/>
      </c>
    </row>
    <row r="13" ht="16" customHeight="1">
      <c r="A13" s="16" t="inlineStr">
        <is>
          <t>NIFTY AUTO</t>
        </is>
      </c>
      <c r="B13" s="13" t="inlineStr">
        <is>
          <t>MARUTI</t>
        </is>
      </c>
      <c r="C13" s="14" t="n">
        <v>14168</v>
      </c>
      <c r="D13" s="14" t="n">
        <v>13829.54</v>
      </c>
      <c r="E13" s="14" t="n">
        <v>13695.65</v>
      </c>
      <c r="F13" s="14" t="n">
        <v>13950.2</v>
      </c>
      <c r="G13" s="15">
        <f>HYPERLINK("https://www.tradingview.com/chart/?symbol=NSE:MARUTI","Chart 📈")</f>
        <v/>
      </c>
    </row>
    <row r="14" ht="16" customHeight="1">
      <c r="A14" s="16" t="inlineStr">
        <is>
          <t>NIFTY AUTO</t>
        </is>
      </c>
      <c r="B14" s="13" t="inlineStr">
        <is>
          <t>MOTHERSON</t>
        </is>
      </c>
      <c r="C14" s="14" t="n">
        <v>151</v>
      </c>
      <c r="D14" s="14" t="n">
        <v>147.06</v>
      </c>
      <c r="E14" s="14" t="n">
        <v>143.16</v>
      </c>
      <c r="F14" s="14" t="n">
        <v>127.33</v>
      </c>
      <c r="G14" s="15">
        <f>HYPERLINK("https://www.tradingview.com/chart/?symbol=NSE:MOTHERSON","Chart 📈")</f>
        <v/>
      </c>
    </row>
    <row r="15" ht="16" customHeight="1">
      <c r="A15" s="16" t="inlineStr">
        <is>
          <t>NIFTY AUTO</t>
        </is>
      </c>
      <c r="B15" s="13" t="inlineStr">
        <is>
          <t>TVSMOTOR</t>
        </is>
      </c>
      <c r="C15" s="14" t="n">
        <v>4360</v>
      </c>
      <c r="D15" s="14" t="n">
        <v>3853.2</v>
      </c>
      <c r="E15" s="14" t="n">
        <v>3680.02</v>
      </c>
      <c r="F15" s="14" t="n">
        <v>3535.91</v>
      </c>
      <c r="G15" s="15">
        <f>HYPERLINK("https://www.tradingview.com/chart/?symbol=NSE:TVSMOTOR","Chart 📈")</f>
        <v/>
      </c>
    </row>
    <row r="16" ht="16" customHeight="1">
      <c r="A16" s="8" t="inlineStr">
        <is>
          <t>NIFTY METAL</t>
        </is>
      </c>
      <c r="B16" s="17" t="inlineStr">
        <is>
          <t>APLAPOLLO</t>
        </is>
      </c>
      <c r="C16" s="18" t="n">
        <v>1920</v>
      </c>
      <c r="D16" s="18" t="n">
        <v>1848.94</v>
      </c>
      <c r="E16" s="18" t="n">
        <v>1848.7</v>
      </c>
      <c r="F16" s="18" t="n">
        <v>1861.31</v>
      </c>
      <c r="G16" s="19">
        <f>HYPERLINK("https://www.tradingview.com/chart/?symbol=NSE:APLAPOLLO","Chart 📈")</f>
        <v/>
      </c>
    </row>
    <row r="17" ht="16" customHeight="1">
      <c r="A17" s="20" t="inlineStr">
        <is>
          <t>NIFTY METAL</t>
        </is>
      </c>
      <c r="B17" s="17" t="inlineStr">
        <is>
          <t>HINDALCO</t>
        </is>
      </c>
      <c r="C17" s="18" t="n">
        <v>1020</v>
      </c>
      <c r="D17" s="18" t="n">
        <v>968.79</v>
      </c>
      <c r="E17" s="18" t="n">
        <v>983.73</v>
      </c>
      <c r="F17" s="18" t="n">
        <v>931.9299999999999</v>
      </c>
      <c r="G17" s="19">
        <f>HYPERLINK("https://www.tradingview.com/chart/?symbol=NSE:HINDALCO","Chart 📈")</f>
        <v/>
      </c>
    </row>
    <row r="18" ht="16" customHeight="1">
      <c r="A18" s="20" t="inlineStr">
        <is>
          <t>NIFTY METAL</t>
        </is>
      </c>
      <c r="B18" s="17" t="inlineStr">
        <is>
          <t>HINDZINC</t>
        </is>
      </c>
      <c r="C18" s="18" t="n">
        <v>562.9</v>
      </c>
      <c r="D18" s="18" t="n">
        <v>538.24</v>
      </c>
      <c r="E18" s="18" t="n">
        <v>550.21</v>
      </c>
      <c r="F18" s="18" t="n">
        <v>546.51</v>
      </c>
      <c r="G18" s="19">
        <f>HYPERLINK("https://www.tradingview.com/chart/?symbol=NSE:HINDZINC","Chart 📈")</f>
        <v/>
      </c>
    </row>
    <row r="19" ht="16" customHeight="1">
      <c r="A19" s="20" t="inlineStr">
        <is>
          <t>NIFTY METAL</t>
        </is>
      </c>
      <c r="B19" s="17" t="inlineStr">
        <is>
          <t>JINDALSTEL</t>
        </is>
      </c>
      <c r="C19" s="18" t="n">
        <v>1124</v>
      </c>
      <c r="D19" s="18" t="n">
        <v>1069.98</v>
      </c>
      <c r="E19" s="18" t="n">
        <v>1096.05</v>
      </c>
      <c r="F19" s="18" t="n">
        <v>1110.4</v>
      </c>
      <c r="G19" s="19">
        <f>HYPERLINK("https://www.tradingview.com/chart/?symbol=NSE:JINDALSTEL","Chart 📈")</f>
        <v/>
      </c>
    </row>
    <row r="20" ht="16" customHeight="1">
      <c r="A20" s="20" t="inlineStr">
        <is>
          <t>NIFTY METAL</t>
        </is>
      </c>
      <c r="B20" s="17" t="inlineStr">
        <is>
          <t>JSWSTEEL</t>
        </is>
      </c>
      <c r="C20" s="18" t="n">
        <v>1300</v>
      </c>
      <c r="D20" s="18" t="n">
        <v>1259.89</v>
      </c>
      <c r="E20" s="18" t="n">
        <v>1252.99</v>
      </c>
      <c r="F20" s="18" t="n">
        <v>1205.98</v>
      </c>
      <c r="G20" s="19">
        <f>HYPERLINK("https://www.tradingview.com/chart/?symbol=NSE:JSWSTEEL","Chart 📈")</f>
        <v/>
      </c>
    </row>
    <row r="21" ht="16" customHeight="1">
      <c r="A21" s="20" t="inlineStr">
        <is>
          <t>NIFTY METAL</t>
        </is>
      </c>
      <c r="B21" s="17" t="inlineStr">
        <is>
          <t>NATIONALUM</t>
        </is>
      </c>
      <c r="C21" s="18" t="n">
        <v>377</v>
      </c>
      <c r="D21" s="18" t="n">
        <v>352.64</v>
      </c>
      <c r="E21" s="18" t="n">
        <v>362.21</v>
      </c>
      <c r="F21" s="18" t="n">
        <v>339.09</v>
      </c>
      <c r="G21" s="19">
        <f>HYPERLINK("https://www.tradingview.com/chart/?symbol=NSE:NATIONALUM","Chart 📈")</f>
        <v/>
      </c>
    </row>
    <row r="22" ht="16" customHeight="1">
      <c r="A22" s="20" t="inlineStr">
        <is>
          <t>NIFTY METAL</t>
        </is>
      </c>
      <c r="B22" s="17" t="inlineStr">
        <is>
          <t>SAIL</t>
        </is>
      </c>
      <c r="C22" s="18" t="n">
        <v>173.55</v>
      </c>
      <c r="D22" s="18" t="n">
        <v>167.53</v>
      </c>
      <c r="E22" s="18" t="n">
        <v>171.63</v>
      </c>
      <c r="F22" s="18" t="n">
        <v>161.79</v>
      </c>
      <c r="G22" s="19">
        <f>HYPERLINK("https://www.tradingview.com/chart/?symbol=NSE:SAIL","Chart 📈")</f>
        <v/>
      </c>
    </row>
    <row r="23" ht="16" customHeight="1">
      <c r="A23" s="20" t="inlineStr">
        <is>
          <t>NIFTY METAL</t>
        </is>
      </c>
      <c r="B23" s="17" t="inlineStr">
        <is>
          <t>WELCORP</t>
        </is>
      </c>
      <c r="C23" s="18" t="n">
        <v>1736.6</v>
      </c>
      <c r="D23" s="18" t="n">
        <v>1626.24</v>
      </c>
      <c r="E23" s="18" t="n">
        <v>1509.24</v>
      </c>
      <c r="F23" s="18" t="n">
        <v>1171.22</v>
      </c>
      <c r="G23" s="19">
        <f>HYPERLINK("https://www.tradingview.com/chart/?symbol=NSE:WELCORP","Chart 📈")</f>
        <v/>
      </c>
    </row>
    <row r="24" ht="16" customHeight="1">
      <c r="A24" s="12" t="inlineStr">
        <is>
          <t>NIFTY PHARMA</t>
        </is>
      </c>
      <c r="B24" s="13" t="inlineStr">
        <is>
          <t>ABBOTINDIA</t>
        </is>
      </c>
      <c r="C24" s="14" t="n">
        <v>27825</v>
      </c>
      <c r="D24" s="14" t="n">
        <v>27254.81</v>
      </c>
      <c r="E24" s="14" t="n">
        <v>26597.76</v>
      </c>
      <c r="F24" s="14" t="n">
        <v>27244.69</v>
      </c>
      <c r="G24" s="15">
        <f>HYPERLINK("https://www.tradingview.com/chart/?symbol=NSE:ABBOTINDIA","Chart 📈")</f>
        <v/>
      </c>
    </row>
    <row r="25" ht="16" customHeight="1">
      <c r="A25" s="16" t="inlineStr">
        <is>
          <t>NIFTY PHARMA</t>
        </is>
      </c>
      <c r="B25" s="13" t="inlineStr">
        <is>
          <t>AJANTPHARM</t>
        </is>
      </c>
      <c r="C25" s="14" t="n">
        <v>3525.1</v>
      </c>
      <c r="D25" s="14" t="n">
        <v>3402.23</v>
      </c>
      <c r="E25" s="14" t="n">
        <v>3280.18</v>
      </c>
      <c r="F25" s="14" t="n">
        <v>2971.43</v>
      </c>
      <c r="G25" s="15">
        <f>HYPERLINK("https://www.tradingview.com/chart/?symbol=NSE:AJANTPHARM","Chart 📈")</f>
        <v/>
      </c>
    </row>
    <row r="26" ht="16" customHeight="1">
      <c r="A26" s="16" t="inlineStr">
        <is>
          <t>NIFTY PHARMA</t>
        </is>
      </c>
      <c r="B26" s="13" t="inlineStr">
        <is>
          <t>AUROPHARMA</t>
        </is>
      </c>
      <c r="C26" s="14" t="n">
        <v>1585.9</v>
      </c>
      <c r="D26" s="14" t="n">
        <v>1555.08</v>
      </c>
      <c r="E26" s="14" t="n">
        <v>1519.38</v>
      </c>
      <c r="F26" s="14" t="n">
        <v>1354.48</v>
      </c>
      <c r="G26" s="15">
        <f>HYPERLINK("https://www.tradingview.com/chart/?symbol=NSE:AUROPHARMA","Chart 📈")</f>
        <v/>
      </c>
    </row>
    <row r="27" ht="16" customHeight="1">
      <c r="A27" s="16" t="inlineStr">
        <is>
          <t>NIFTY PHARMA</t>
        </is>
      </c>
      <c r="B27" s="13" t="inlineStr">
        <is>
          <t>CIPLA</t>
        </is>
      </c>
      <c r="C27" s="14" t="n">
        <v>1460</v>
      </c>
      <c r="D27" s="14" t="n">
        <v>1442.61</v>
      </c>
      <c r="E27" s="14" t="n">
        <v>1417.1</v>
      </c>
      <c r="F27" s="14" t="n">
        <v>1401.52</v>
      </c>
      <c r="G27" s="15">
        <f>HYPERLINK("https://www.tradingview.com/chart/?symbol=NSE:CIPLA","Chart 📈")</f>
        <v/>
      </c>
    </row>
    <row r="28" ht="16" customHeight="1">
      <c r="A28" s="16" t="inlineStr">
        <is>
          <t>NIFTY PHARMA</t>
        </is>
      </c>
      <c r="B28" s="13" t="inlineStr">
        <is>
          <t>DIVISLAB</t>
        </is>
      </c>
      <c r="C28" s="14" t="n">
        <v>8378</v>
      </c>
      <c r="D28" s="14" t="n">
        <v>7419.09</v>
      </c>
      <c r="E28" s="14" t="n">
        <v>7040.85</v>
      </c>
      <c r="F28" s="14" t="n">
        <v>6584.98</v>
      </c>
      <c r="G28" s="15">
        <f>HYPERLINK("https://www.tradingview.com/chart/?symbol=NSE:DIVISLAB","Chart 📈")</f>
        <v/>
      </c>
    </row>
    <row r="29" ht="16" customHeight="1">
      <c r="A29" s="16" t="inlineStr">
        <is>
          <t>NIFTY PHARMA</t>
        </is>
      </c>
      <c r="B29" s="13" t="inlineStr">
        <is>
          <t>GLAND</t>
        </is>
      </c>
      <c r="C29" s="14" t="n">
        <v>2583.1</v>
      </c>
      <c r="D29" s="14" t="n">
        <v>2468.48</v>
      </c>
      <c r="E29" s="14" t="n">
        <v>2350.43</v>
      </c>
      <c r="F29" s="14" t="n">
        <v>2053.84</v>
      </c>
      <c r="G29" s="15">
        <f>HYPERLINK("https://www.tradingview.com/chart/?symbol=NSE:GLAND","Chart 📈")</f>
        <v/>
      </c>
    </row>
    <row r="30" ht="16" customHeight="1">
      <c r="A30" s="16" t="inlineStr">
        <is>
          <t>NIFTY PHARMA</t>
        </is>
      </c>
      <c r="B30" s="13" t="inlineStr">
        <is>
          <t>JBCHEPHARM</t>
        </is>
      </c>
      <c r="C30" s="14" t="n">
        <v>2408.9</v>
      </c>
      <c r="D30" s="14" t="n">
        <v>2383.66</v>
      </c>
      <c r="E30" s="14" t="n">
        <v>2287.69</v>
      </c>
      <c r="F30" s="14" t="n">
        <v>2041.77</v>
      </c>
      <c r="G30" s="15">
        <f>HYPERLINK("https://www.tradingview.com/chart/?symbol=NSE:JBCHEPHARM","Chart 📈")</f>
        <v/>
      </c>
    </row>
    <row r="31" ht="16" customHeight="1">
      <c r="A31" s="16" t="inlineStr">
        <is>
          <t>NIFTY PHARMA</t>
        </is>
      </c>
      <c r="B31" s="13" t="inlineStr">
        <is>
          <t>LAURUSLABS</t>
        </is>
      </c>
      <c r="C31" s="14" t="n">
        <v>1850</v>
      </c>
      <c r="D31" s="14" t="n">
        <v>1665.39</v>
      </c>
      <c r="E31" s="14" t="n">
        <v>1527.93</v>
      </c>
      <c r="F31" s="14" t="n">
        <v>1231.17</v>
      </c>
      <c r="G31" s="15">
        <f>HYPERLINK("https://www.tradingview.com/chart/?symbol=NSE:LAURUSLABS","Chart 📈")</f>
        <v/>
      </c>
    </row>
    <row r="32" ht="16" customHeight="1">
      <c r="A32" s="16" t="inlineStr">
        <is>
          <t>NIFTY PHARMA</t>
        </is>
      </c>
      <c r="B32" s="13" t="inlineStr">
        <is>
          <t>SUNPHARMA</t>
        </is>
      </c>
      <c r="C32" s="14" t="n">
        <v>1964</v>
      </c>
      <c r="D32" s="14" t="n">
        <v>1949.57</v>
      </c>
      <c r="E32" s="14" t="n">
        <v>1898.14</v>
      </c>
      <c r="F32" s="14" t="n">
        <v>1785.47</v>
      </c>
      <c r="G32" s="15">
        <f>HYPERLINK("https://www.tradingview.com/chart/?symbol=NSE:SUNPHARMA","Chart 📈")</f>
        <v/>
      </c>
    </row>
    <row r="33" ht="16" customHeight="1">
      <c r="A33" s="16" t="inlineStr">
        <is>
          <t>NIFTY PHARMA</t>
        </is>
      </c>
      <c r="B33" s="13" t="inlineStr">
        <is>
          <t>TORNTPHARM</t>
        </is>
      </c>
      <c r="C33" s="14" t="n">
        <v>5030</v>
      </c>
      <c r="D33" s="14" t="n">
        <v>4931.75</v>
      </c>
      <c r="E33" s="14" t="n">
        <v>4748.72</v>
      </c>
      <c r="F33" s="14" t="n">
        <v>4280.24</v>
      </c>
      <c r="G33" s="15">
        <f>HYPERLINK("https://www.tradingview.com/chart/?symbol=NSE:TORNTPHARM","Chart 📈")</f>
        <v/>
      </c>
    </row>
    <row r="34" ht="16" customHeight="1">
      <c r="A34" s="16" t="inlineStr">
        <is>
          <t>NIFTY PHARMA</t>
        </is>
      </c>
      <c r="B34" s="13" t="inlineStr">
        <is>
          <t>ZYDUSLIFE</t>
        </is>
      </c>
      <c r="C34" s="14" t="n">
        <v>1130</v>
      </c>
      <c r="D34" s="14" t="n">
        <v>1122.41</v>
      </c>
      <c r="E34" s="14" t="n">
        <v>1095.05</v>
      </c>
      <c r="F34" s="14" t="n">
        <v>1005.46</v>
      </c>
      <c r="G34" s="15">
        <f>HYPERLINK("https://www.tradingview.com/chart/?symbol=NSE:ZYDUSLIFE","Chart 📈")</f>
        <v/>
      </c>
    </row>
    <row r="35" ht="16" customHeight="1">
      <c r="A35" s="8" t="inlineStr">
        <is>
          <t>NIFTY MIDSMALL IT &amp; TELECOM</t>
        </is>
      </c>
      <c r="B35" s="17" t="inlineStr">
        <is>
          <t>AFFLE</t>
        </is>
      </c>
      <c r="C35" s="18" t="n">
        <v>1683.3</v>
      </c>
      <c r="D35" s="18" t="n">
        <v>1557.03</v>
      </c>
      <c r="E35" s="18" t="n">
        <v>1512.19</v>
      </c>
      <c r="F35" s="18" t="n">
        <v>1576.18</v>
      </c>
      <c r="G35" s="19">
        <f>HYPERLINK("https://www.tradingview.com/chart/?symbol=NSE:AFFLE","Chart 📈")</f>
        <v/>
      </c>
    </row>
    <row r="36" ht="16" customHeight="1">
      <c r="A36" s="20" t="inlineStr">
        <is>
          <t>NIFTY MIDSMALL IT &amp; TELECOM</t>
        </is>
      </c>
      <c r="B36" s="17" t="inlineStr">
        <is>
          <t>COFORGE</t>
        </is>
      </c>
      <c r="C36" s="18" t="n">
        <v>1749.9</v>
      </c>
      <c r="D36" s="18" t="n">
        <v>1593.68</v>
      </c>
      <c r="E36" s="18" t="n">
        <v>1502.14</v>
      </c>
      <c r="F36" s="18" t="n">
        <v>1489.18</v>
      </c>
      <c r="G36" s="19">
        <f>HYPERLINK("https://www.tradingview.com/chart/?symbol=NSE:COFORGE","Chart 📈")</f>
        <v/>
      </c>
    </row>
    <row r="37" ht="16" customHeight="1">
      <c r="A37" s="20" t="inlineStr">
        <is>
          <t>NIFTY MIDSMALL IT &amp; TELECOM</t>
        </is>
      </c>
      <c r="B37" s="17" t="inlineStr">
        <is>
          <t>OFSS</t>
        </is>
      </c>
      <c r="C37" s="18" t="n">
        <v>11600</v>
      </c>
      <c r="D37" s="18" t="n">
        <v>11198.39</v>
      </c>
      <c r="E37" s="18" t="n">
        <v>10620.97</v>
      </c>
      <c r="F37" s="18" t="n">
        <v>9017.219999999999</v>
      </c>
      <c r="G37" s="19">
        <f>HYPERLINK("https://www.tradingview.com/chart/?symbol=NSE:OFSS","Chart 📈")</f>
        <v/>
      </c>
    </row>
    <row r="38" ht="16" customHeight="1">
      <c r="A38" s="20" t="inlineStr">
        <is>
          <t>NIFTY MIDSMALL IT &amp; TELECOM</t>
        </is>
      </c>
      <c r="B38" s="17" t="inlineStr">
        <is>
          <t>PERSISTENT</t>
        </is>
      </c>
      <c r="C38" s="18" t="n">
        <v>5499</v>
      </c>
      <c r="D38" s="18" t="n">
        <v>5210.08</v>
      </c>
      <c r="E38" s="18" t="n">
        <v>5068.05</v>
      </c>
      <c r="F38" s="18" t="n">
        <v>5218.18</v>
      </c>
      <c r="G38" s="19">
        <f>HYPERLINK("https://www.tradingview.com/chart/?symbol=NSE:PERSISTENT","Chart 📈")</f>
        <v/>
      </c>
    </row>
    <row r="39" ht="16" customHeight="1">
      <c r="A39" s="20" t="inlineStr">
        <is>
          <t>NIFTY MIDSMALL IT &amp; TELECOM</t>
        </is>
      </c>
      <c r="B39" s="17" t="inlineStr">
        <is>
          <t>SONATSOFTW</t>
        </is>
      </c>
      <c r="C39" s="18" t="n">
        <v>350.3</v>
      </c>
      <c r="D39" s="18" t="n">
        <v>304.62</v>
      </c>
      <c r="E39" s="18" t="n">
        <v>289.07</v>
      </c>
      <c r="F39" s="18" t="n">
        <v>295.19</v>
      </c>
      <c r="G39" s="19">
        <f>HYPERLINK("https://www.tradingview.com/chart/?symbol=NSE:SONATSOFTW","Chart 📈")</f>
        <v/>
      </c>
    </row>
    <row r="40" ht="16" customHeight="1">
      <c r="A40" s="20" t="inlineStr">
        <is>
          <t>NIFTY MIDSMALL IT &amp; TELECOM</t>
        </is>
      </c>
      <c r="B40" s="17" t="inlineStr">
        <is>
          <t>TANLA</t>
        </is>
      </c>
      <c r="C40" s="18" t="n">
        <v>612.5</v>
      </c>
      <c r="D40" s="18" t="n">
        <v>580.91</v>
      </c>
      <c r="E40" s="18" t="n">
        <v>552.67</v>
      </c>
      <c r="F40" s="18" t="n">
        <v>533.9</v>
      </c>
      <c r="G40" s="19">
        <f>HYPERLINK("https://www.tradingview.com/chart/?symbol=NSE:TANLA","Chart 📈")</f>
        <v/>
      </c>
    </row>
    <row r="41" ht="16" customHeight="1">
      <c r="A41" s="20" t="inlineStr">
        <is>
          <t>NIFTY MIDSMALL IT &amp; TELECOM</t>
        </is>
      </c>
      <c r="B41" s="17" t="inlineStr">
        <is>
          <t>TATATECH</t>
        </is>
      </c>
      <c r="C41" s="18" t="n">
        <v>762.55</v>
      </c>
      <c r="D41" s="18" t="n">
        <v>738.3099999999999</v>
      </c>
      <c r="E41" s="18" t="n">
        <v>717.53</v>
      </c>
      <c r="F41" s="18" t="n">
        <v>666.74</v>
      </c>
      <c r="G41" s="19">
        <f>HYPERLINK("https://www.tradingview.com/chart/?symbol=NSE:TATATECH","Chart 📈")</f>
        <v/>
      </c>
    </row>
    <row r="42" ht="16" customHeight="1">
      <c r="A42" s="20" t="inlineStr">
        <is>
          <t>NIFTY MIDSMALL IT &amp; TELECOM</t>
        </is>
      </c>
      <c r="B42" s="17" t="inlineStr">
        <is>
          <t>TEJASNET</t>
        </is>
      </c>
      <c r="C42" s="18" t="n">
        <v>533.95</v>
      </c>
      <c r="D42" s="18" t="n">
        <v>530.5700000000001</v>
      </c>
      <c r="E42" s="18" t="n">
        <v>533.4400000000001</v>
      </c>
      <c r="F42" s="18" t="n">
        <v>502.07</v>
      </c>
      <c r="G42" s="19">
        <f>HYPERLINK("https://www.tradingview.com/chart/?symbol=NSE:TEJASNET","Chart 📈")</f>
        <v/>
      </c>
    </row>
    <row r="43" ht="16" customHeight="1">
      <c r="A43" s="12" t="inlineStr">
        <is>
          <t>NIFTY REALTY</t>
        </is>
      </c>
      <c r="B43" s="13" t="inlineStr">
        <is>
          <t>BRIGADE</t>
        </is>
      </c>
      <c r="C43" s="14" t="n">
        <v>580.2</v>
      </c>
      <c r="D43" s="14" t="n">
        <v>549.8</v>
      </c>
      <c r="E43" s="14" t="n">
        <v>539.36</v>
      </c>
      <c r="F43" s="14" t="n">
        <v>580.12</v>
      </c>
      <c r="G43" s="15">
        <f>HYPERLINK("https://www.tradingview.com/chart/?symbol=NSE:BRIGADE","Chart 📈")</f>
        <v/>
      </c>
    </row>
    <row r="44" ht="16" customHeight="1">
      <c r="A44" s="16" t="inlineStr">
        <is>
          <t>NIFTY REALTY</t>
        </is>
      </c>
      <c r="B44" s="13" t="inlineStr">
        <is>
          <t>LODHA</t>
        </is>
      </c>
      <c r="C44" s="14" t="n">
        <v>1229.8</v>
      </c>
      <c r="D44" s="14" t="n">
        <v>1182.5</v>
      </c>
      <c r="E44" s="14" t="n">
        <v>1079.64</v>
      </c>
      <c r="F44" s="14" t="n">
        <v>1031.81</v>
      </c>
      <c r="G44" s="15">
        <f>HYPERLINK("https://www.tradingview.com/chart/?symbol=NSE:LODHA","Chart 📈")</f>
        <v/>
      </c>
    </row>
    <row r="45" ht="16" customHeight="1">
      <c r="A45" s="16" t="inlineStr">
        <is>
          <t>NIFTY REALTY</t>
        </is>
      </c>
      <c r="B45" s="13" t="inlineStr">
        <is>
          <t>MAHLIFE</t>
        </is>
      </c>
      <c r="C45" s="14" t="n">
        <v>397.55</v>
      </c>
      <c r="D45" s="14" t="n">
        <v>379.57</v>
      </c>
      <c r="E45" s="14" t="n">
        <v>364.81</v>
      </c>
      <c r="F45" s="14" t="n">
        <v>356.8</v>
      </c>
      <c r="G45" s="15">
        <f>HYPERLINK("https://www.tradingview.com/chart/?symbol=NSE:MAHLIFE","Chart 📈")</f>
        <v/>
      </c>
    </row>
    <row r="46" ht="16" customHeight="1">
      <c r="A46" s="16" t="inlineStr">
        <is>
          <t>NIFTY REALTY</t>
        </is>
      </c>
      <c r="B46" s="13" t="inlineStr">
        <is>
          <t>RAYMOND</t>
        </is>
      </c>
      <c r="C46" s="14" t="n">
        <v>605.1</v>
      </c>
      <c r="D46" s="14" t="n">
        <v>596.5599999999999</v>
      </c>
      <c r="E46" s="14" t="n">
        <v>574.85</v>
      </c>
      <c r="F46" s="14" t="n">
        <v>521.8</v>
      </c>
      <c r="G46" s="15">
        <f>HYPERLINK("https://www.tradingview.com/chart/?symbol=NSE:RAYMOND","Chart 📈")</f>
        <v/>
      </c>
    </row>
    <row r="47" ht="16" customHeight="1">
      <c r="A47" s="8" t="inlineStr">
        <is>
          <t>NIFTY CONSUMER DURABLES</t>
        </is>
      </c>
      <c r="B47" s="17" t="inlineStr">
        <is>
          <t>CERA</t>
        </is>
      </c>
      <c r="C47" s="18" t="n">
        <v>6301</v>
      </c>
      <c r="D47" s="18" t="n">
        <v>6175.83</v>
      </c>
      <c r="E47" s="18" t="n">
        <v>6031.57</v>
      </c>
      <c r="F47" s="18" t="n">
        <v>5710.85</v>
      </c>
      <c r="G47" s="19">
        <f>HYPERLINK("https://www.tradingview.com/chart/?symbol=NSE:CERA","Chart 📈")</f>
        <v/>
      </c>
    </row>
    <row r="48" ht="16" customHeight="1">
      <c r="A48" s="20" t="inlineStr">
        <is>
          <t>NIFTY CONSUMER DURABLES</t>
        </is>
      </c>
      <c r="B48" s="17" t="inlineStr">
        <is>
          <t>DIXON</t>
        </is>
      </c>
      <c r="C48" s="18" t="n">
        <v>13988</v>
      </c>
      <c r="D48" s="18" t="n">
        <v>13742.13</v>
      </c>
      <c r="E48" s="18" t="n">
        <v>12968</v>
      </c>
      <c r="F48" s="18" t="n">
        <v>12828.93</v>
      </c>
      <c r="G48" s="19">
        <f>HYPERLINK("https://www.tradingview.com/chart/?symbol=NSE:DIXON","Chart 📈")</f>
        <v/>
      </c>
    </row>
    <row r="49" ht="16" customHeight="1">
      <c r="A49" s="20" t="inlineStr">
        <is>
          <t>NIFTY CONSUMER DURABLES</t>
        </is>
      </c>
      <c r="B49" s="17" t="inlineStr">
        <is>
          <t>KALYANKJIL</t>
        </is>
      </c>
      <c r="C49" s="18" t="n">
        <v>591.4</v>
      </c>
      <c r="D49" s="18" t="n">
        <v>555.09</v>
      </c>
      <c r="E49" s="18" t="n">
        <v>482.94</v>
      </c>
      <c r="F49" s="18" t="n">
        <v>453.65</v>
      </c>
      <c r="G49" s="19">
        <f>HYPERLINK("https://www.tradingview.com/chart/?symbol=NSE:KALYANKJIL","Chart 📈")</f>
        <v/>
      </c>
    </row>
    <row r="50" ht="16" customHeight="1">
      <c r="A50" s="20" t="inlineStr">
        <is>
          <t>NIFTY CONSUMER DURABLES</t>
        </is>
      </c>
      <c r="B50" s="17" t="inlineStr">
        <is>
          <t>TITAN</t>
        </is>
      </c>
      <c r="C50" s="18" t="n">
        <v>4935</v>
      </c>
      <c r="D50" s="18" t="n">
        <v>4696.98</v>
      </c>
      <c r="E50" s="18" t="n">
        <v>4512.71</v>
      </c>
      <c r="F50" s="18" t="n">
        <v>4162.76</v>
      </c>
      <c r="G50" s="19">
        <f>HYPERLINK("https://www.tradingview.com/chart/?symbol=NSE:TITAN","Chart 📈")</f>
        <v/>
      </c>
    </row>
    <row r="51" ht="16" customHeight="1">
      <c r="A51" s="12" t="inlineStr">
        <is>
          <t>NIFTY FINANCIAL SERVICES</t>
        </is>
      </c>
      <c r="B51" s="13" t="inlineStr">
        <is>
          <t>BAJAJFINSV</t>
        </is>
      </c>
      <c r="C51" s="14" t="n">
        <v>2105</v>
      </c>
      <c r="D51" s="14" t="n">
        <v>1928.56</v>
      </c>
      <c r="E51" s="14" t="n">
        <v>1862.79</v>
      </c>
      <c r="F51" s="14" t="n">
        <v>1877.66</v>
      </c>
      <c r="G51" s="15">
        <f>HYPERLINK("https://www.tradingview.com/chart/?symbol=NSE:BAJAJFINSV","Chart 📈")</f>
        <v/>
      </c>
    </row>
    <row r="52" ht="16" customHeight="1">
      <c r="A52" s="16" t="inlineStr">
        <is>
          <t>NIFTY FINANCIAL SERVICES</t>
        </is>
      </c>
      <c r="B52" s="13" t="inlineStr">
        <is>
          <t>BAJFINANCE</t>
        </is>
      </c>
      <c r="C52" s="14" t="n">
        <v>1149</v>
      </c>
      <c r="D52" s="14" t="n">
        <v>1061.5</v>
      </c>
      <c r="E52" s="14" t="n">
        <v>1010.22</v>
      </c>
      <c r="F52" s="14" t="n">
        <v>959.08</v>
      </c>
      <c r="G52" s="15">
        <f>HYPERLINK("https://www.tradingview.com/chart/?symbol=NSE:BAJFINANCE","Chart 📈")</f>
        <v/>
      </c>
    </row>
    <row r="53" ht="16" customHeight="1">
      <c r="A53" s="16" t="inlineStr">
        <is>
          <t>NIFTY FINANCIAL SERVICES</t>
        </is>
      </c>
      <c r="B53" s="13" t="inlineStr">
        <is>
          <t>CHOLAFIN</t>
        </is>
      </c>
      <c r="C53" s="14" t="n">
        <v>1875</v>
      </c>
      <c r="D53" s="14" t="n">
        <v>1781.69</v>
      </c>
      <c r="E53" s="14" t="n">
        <v>1724</v>
      </c>
      <c r="F53" s="14" t="n">
        <v>1637.87</v>
      </c>
      <c r="G53" s="15">
        <f>HYPERLINK("https://www.tradingview.com/chart/?symbol=NSE:CHOLAFIN","Chart 📈")</f>
        <v/>
      </c>
    </row>
    <row r="54" ht="16" customHeight="1">
      <c r="A54" s="16" t="inlineStr">
        <is>
          <t>NIFTY FINANCIAL SERVICES</t>
        </is>
      </c>
      <c r="B54" s="13" t="inlineStr">
        <is>
          <t>ICICIBANK</t>
        </is>
      </c>
      <c r="C54" s="14" t="n">
        <v>1454.6</v>
      </c>
      <c r="D54" s="14" t="n">
        <v>1418.32</v>
      </c>
      <c r="E54" s="14" t="n">
        <v>1375.67</v>
      </c>
      <c r="F54" s="14" t="n">
        <v>1349.28</v>
      </c>
      <c r="G54" s="15">
        <f>HYPERLINK("https://www.tradingview.com/chart/?symbol=NSE:ICICIBANK","Chart 📈")</f>
        <v/>
      </c>
    </row>
    <row r="55" ht="16" customHeight="1">
      <c r="A55" s="16" t="inlineStr">
        <is>
          <t>NIFTY FINANCIAL SERVICES</t>
        </is>
      </c>
      <c r="B55" s="13" t="inlineStr">
        <is>
          <t>KOTAKBANK</t>
        </is>
      </c>
      <c r="C55" s="14" t="n">
        <v>398</v>
      </c>
      <c r="D55" s="14" t="n">
        <v>388.02</v>
      </c>
      <c r="E55" s="14" t="n">
        <v>387.72</v>
      </c>
      <c r="F55" s="14" t="n">
        <v>394.99</v>
      </c>
      <c r="G55" s="15">
        <f>HYPERLINK("https://www.tradingview.com/chart/?symbol=NSE:KOTAKBANK","Chart 📈")</f>
        <v/>
      </c>
    </row>
    <row r="56" ht="16" customHeight="1">
      <c r="A56" s="16" t="inlineStr">
        <is>
          <t>NIFTY FINANCIAL SERVICES</t>
        </is>
      </c>
      <c r="B56" s="13" t="inlineStr">
        <is>
          <t>PFC</t>
        </is>
      </c>
      <c r="C56" s="14" t="n">
        <v>420</v>
      </c>
      <c r="D56" s="14" t="n">
        <v>415.53</v>
      </c>
      <c r="E56" s="14" t="n">
        <v>417.87</v>
      </c>
      <c r="F56" s="14" t="n">
        <v>407.51</v>
      </c>
      <c r="G56" s="15">
        <f>HYPERLINK("https://www.tradingview.com/chart/?symbol=NSE:PFC","Chart 📈")</f>
        <v/>
      </c>
    </row>
    <row r="57" ht="16" customHeight="1">
      <c r="A57" s="16" t="inlineStr">
        <is>
          <t>NIFTY FINANCIAL SERVICES</t>
        </is>
      </c>
      <c r="B57" s="13" t="inlineStr">
        <is>
          <t>RECLTD</t>
        </is>
      </c>
      <c r="C57" s="14" t="n">
        <v>368</v>
      </c>
      <c r="D57" s="14" t="n">
        <v>361.08</v>
      </c>
      <c r="E57" s="14" t="n">
        <v>354.9</v>
      </c>
      <c r="F57" s="14" t="n">
        <v>351.42</v>
      </c>
      <c r="G57" s="15">
        <f>HYPERLINK("https://www.tradingview.com/chart/?symbol=NSE:RECLTD","Chart 📈")</f>
        <v/>
      </c>
    </row>
    <row r="58" ht="16" customHeight="1">
      <c r="A58" s="16" t="inlineStr">
        <is>
          <t>NIFTY FINANCIAL SERVICES</t>
        </is>
      </c>
      <c r="B58" s="13" t="inlineStr">
        <is>
          <t>SBILIFE</t>
        </is>
      </c>
      <c r="C58" s="14" t="n">
        <v>1899</v>
      </c>
      <c r="D58" s="14" t="n">
        <v>1847.95</v>
      </c>
      <c r="E58" s="14" t="n">
        <v>1833.5</v>
      </c>
      <c r="F58" s="14" t="n">
        <v>1874.61</v>
      </c>
      <c r="G58" s="15">
        <f>HYPERLINK("https://www.tradingview.com/chart/?symbol=NSE:SBILIFE","Chart 📈")</f>
        <v/>
      </c>
    </row>
    <row r="59" ht="16" customHeight="1">
      <c r="A59" s="16" t="inlineStr">
        <is>
          <t>NIFTY FINANCIAL SERVICES</t>
        </is>
      </c>
      <c r="B59" s="13" t="inlineStr">
        <is>
          <t>SHRIRAMFIN</t>
        </is>
      </c>
      <c r="C59" s="14" t="n">
        <v>1087.3</v>
      </c>
      <c r="D59" s="14" t="n">
        <v>1042.88</v>
      </c>
      <c r="E59" s="14" t="n">
        <v>1017.07</v>
      </c>
      <c r="F59" s="14" t="n">
        <v>930.0599999999999</v>
      </c>
      <c r="G59" s="15">
        <f>HYPERLINK("https://www.tradingview.com/chart/?symbol=NSE:SHRIRAMFIN","Chart 📈")</f>
        <v/>
      </c>
    </row>
    <row r="60" ht="16" customHeight="1">
      <c r="A60" s="8" t="inlineStr">
        <is>
          <t>NIFTY PSU BANK</t>
        </is>
      </c>
      <c r="B60" s="17" t="inlineStr">
        <is>
          <t>INDIANB</t>
        </is>
      </c>
      <c r="C60" s="18" t="n">
        <v>845</v>
      </c>
      <c r="D60" s="18" t="n">
        <v>832.5</v>
      </c>
      <c r="E60" s="18" t="n">
        <v>833.48</v>
      </c>
      <c r="F60" s="18" t="n">
        <v>817.13</v>
      </c>
      <c r="G60" s="19">
        <f>HYPERLINK("https://www.tradingview.com/chart/?symbol=NSE:INDIANB","Chart 📈")</f>
        <v/>
      </c>
    </row>
    <row r="61" ht="16" customHeight="1">
      <c r="A61" s="20" t="inlineStr">
        <is>
          <t>NIFTY PSU BANK</t>
        </is>
      </c>
      <c r="B61" s="17" t="inlineStr">
        <is>
          <t>PNB</t>
        </is>
      </c>
      <c r="C61" s="18" t="n">
        <v>113.99</v>
      </c>
      <c r="D61" s="18" t="n">
        <v>110.04</v>
      </c>
      <c r="E61" s="18" t="n">
        <v>108.08</v>
      </c>
      <c r="F61" s="18" t="n">
        <v>109.07</v>
      </c>
      <c r="G61" s="19">
        <f>HYPERLINK("https://www.tradingview.com/chart/?symbol=NSE:PNB","Chart 📈")</f>
        <v/>
      </c>
    </row>
    <row r="62" ht="16" customHeight="1">
      <c r="A62" s="20" t="inlineStr">
        <is>
          <t>NIFTY PSU BANK</t>
        </is>
      </c>
      <c r="B62" s="17" t="inlineStr">
        <is>
          <t>SBIN</t>
        </is>
      </c>
      <c r="C62" s="18" t="n">
        <v>1042.7</v>
      </c>
      <c r="D62" s="18" t="n">
        <v>1029.16</v>
      </c>
      <c r="E62" s="18" t="n">
        <v>1025.08</v>
      </c>
      <c r="F62" s="18" t="n">
        <v>993.04</v>
      </c>
      <c r="G62" s="19">
        <f>HYPERLINK("https://www.tradingview.com/chart/?symbol=NSE:SBIN","Chart 📈")</f>
        <v/>
      </c>
    </row>
    <row r="63" ht="16" customHeight="1">
      <c r="A63" s="20" t="inlineStr">
        <is>
          <t>NIFTY PSU BANK</t>
        </is>
      </c>
      <c r="B63" s="17" t="inlineStr">
        <is>
          <t>UNIONBANK</t>
        </is>
      </c>
      <c r="C63" s="18" t="n">
        <v>174</v>
      </c>
      <c r="D63" s="18" t="n">
        <v>169.98</v>
      </c>
      <c r="E63" s="18" t="n">
        <v>168.08</v>
      </c>
      <c r="F63" s="18" t="n">
        <v>161.13</v>
      </c>
      <c r="G63" s="19">
        <f>HYPERLINK("https://www.tradingview.com/chart/?symbol=NSE:UNIONBANK","Chart 📈")</f>
        <v/>
      </c>
    </row>
    <row r="64" ht="16" customHeight="1">
      <c r="A64" s="12" t="inlineStr">
        <is>
          <t>NIFTY OIL &amp; GAS</t>
        </is>
      </c>
      <c r="B64" s="13" t="inlineStr">
        <is>
          <t>AEGISLOG</t>
        </is>
      </c>
      <c r="C64" s="14" t="n">
        <v>1357.9</v>
      </c>
      <c r="D64" s="14" t="n">
        <v>1289.54</v>
      </c>
      <c r="E64" s="14" t="n">
        <v>1145.66</v>
      </c>
      <c r="F64" s="14" t="n">
        <v>875.52</v>
      </c>
      <c r="G64" s="15">
        <f>HYPERLINK("https://www.tradingview.com/chart/?symbol=NSE:AEGISLOG","Chart 📈")</f>
        <v/>
      </c>
    </row>
    <row r="65" ht="16" customHeight="1">
      <c r="A65" s="16" t="inlineStr">
        <is>
          <t>NIFTY OIL &amp; GAS</t>
        </is>
      </c>
      <c r="B65" s="13" t="inlineStr">
        <is>
          <t>BPCL</t>
        </is>
      </c>
      <c r="C65" s="14" t="n">
        <v>324</v>
      </c>
      <c r="D65" s="14" t="n">
        <v>315.79</v>
      </c>
      <c r="E65" s="14" t="n">
        <v>311.04</v>
      </c>
      <c r="F65" s="14" t="n">
        <v>317.18</v>
      </c>
      <c r="G65" s="15">
        <f>HYPERLINK("https://www.tradingview.com/chart/?symbol=NSE:BPCL","Chart 📈")</f>
        <v/>
      </c>
    </row>
    <row r="66" ht="16" customHeight="1">
      <c r="A66" s="16" t="inlineStr">
        <is>
          <t>NIFTY OIL &amp; GAS</t>
        </is>
      </c>
      <c r="B66" s="13" t="inlineStr">
        <is>
          <t>CASTROLIND</t>
        </is>
      </c>
      <c r="C66" s="14" t="n">
        <v>187.06</v>
      </c>
      <c r="D66" s="14" t="n">
        <v>184.89</v>
      </c>
      <c r="E66" s="14" t="n">
        <v>184.32</v>
      </c>
      <c r="F66" s="14" t="n">
        <v>186.27</v>
      </c>
      <c r="G66" s="15">
        <f>HYPERLINK("https://www.tradingview.com/chart/?symbol=NSE:CASTROLIND","Chart 📈")</f>
        <v/>
      </c>
    </row>
    <row r="67" ht="16" customHeight="1">
      <c r="A67" s="16" t="inlineStr">
        <is>
          <t>NIFTY OIL &amp; GAS</t>
        </is>
      </c>
      <c r="B67" s="13" t="inlineStr">
        <is>
          <t>GAIL</t>
        </is>
      </c>
      <c r="C67" s="14" t="n">
        <v>175</v>
      </c>
      <c r="D67" s="14" t="n">
        <v>173.95</v>
      </c>
      <c r="E67" s="14" t="n">
        <v>171.29</v>
      </c>
      <c r="F67" s="14" t="n">
        <v>166.6</v>
      </c>
      <c r="G67" s="15">
        <f>HYPERLINK("https://www.tradingview.com/chart/?symbol=NSE:GAIL","Chart 📈")</f>
        <v/>
      </c>
    </row>
    <row r="68" ht="16" customHeight="1">
      <c r="A68" s="16" t="inlineStr">
        <is>
          <t>NIFTY OIL &amp; GAS</t>
        </is>
      </c>
      <c r="B68" s="13" t="inlineStr">
        <is>
          <t>OIL</t>
        </is>
      </c>
      <c r="C68" s="14" t="n">
        <v>450</v>
      </c>
      <c r="D68" s="14" t="n">
        <v>444.18</v>
      </c>
      <c r="E68" s="14" t="n">
        <v>445.73</v>
      </c>
      <c r="F68" s="14" t="n">
        <v>446.04</v>
      </c>
      <c r="G68" s="15">
        <f>HYPERLINK("https://www.tradingview.com/chart/?symbol=NSE:OIL","Chart 📈")</f>
        <v/>
      </c>
    </row>
    <row r="69" ht="16" customHeight="1">
      <c r="A69" s="16" t="inlineStr">
        <is>
          <t>NIFTY OIL &amp; GAS</t>
        </is>
      </c>
      <c r="B69" s="13" t="inlineStr">
        <is>
          <t>PETRONET</t>
        </is>
      </c>
      <c r="C69" s="14" t="n">
        <v>285</v>
      </c>
      <c r="D69" s="14" t="n">
        <v>278.43</v>
      </c>
      <c r="E69" s="14" t="n">
        <v>276.98</v>
      </c>
      <c r="F69" s="14" t="n">
        <v>275.28</v>
      </c>
      <c r="G69" s="15">
        <f>HYPERLINK("https://www.tradingview.com/chart/?symbol=NSE:PETRONET","Chart 📈")</f>
        <v/>
      </c>
    </row>
    <row r="70" ht="16" customHeight="1">
      <c r="A70" s="8" t="inlineStr">
        <is>
          <t>NIFTY FMCG</t>
        </is>
      </c>
      <c r="B70" s="17" t="inlineStr">
        <is>
          <t>BALRAMCHIN</t>
        </is>
      </c>
      <c r="C70" s="18" t="n">
        <v>658.7</v>
      </c>
      <c r="D70" s="18" t="n">
        <v>603.64</v>
      </c>
      <c r="E70" s="18" t="n">
        <v>573.64</v>
      </c>
      <c r="F70" s="18" t="n">
        <v>524.34</v>
      </c>
      <c r="G70" s="19">
        <f>HYPERLINK("https://www.tradingview.com/chart/?symbol=NSE:BALRAMCHIN","Chart 📈")</f>
        <v/>
      </c>
    </row>
    <row r="71" ht="16" customHeight="1">
      <c r="A71" s="20" t="inlineStr">
        <is>
          <t>NIFTY FMCG</t>
        </is>
      </c>
      <c r="B71" s="17" t="inlineStr">
        <is>
          <t>MARICO</t>
        </is>
      </c>
      <c r="C71" s="18" t="n">
        <v>875</v>
      </c>
      <c r="D71" s="18" t="n">
        <v>857.35</v>
      </c>
      <c r="E71" s="18" t="n">
        <v>837.23</v>
      </c>
      <c r="F71" s="18" t="n">
        <v>786.5</v>
      </c>
      <c r="G71" s="19">
        <f>HYPERLINK("https://www.tradingview.com/chart/?symbol=NSE:MARICO","Chart 📈")</f>
        <v/>
      </c>
    </row>
    <row r="72" ht="16" customHeight="1">
      <c r="A72" s="20" t="inlineStr">
        <is>
          <t>NIFTY FMCG</t>
        </is>
      </c>
      <c r="B72" s="17" t="inlineStr">
        <is>
          <t>NESTLEIND</t>
        </is>
      </c>
      <c r="C72" s="18" t="n">
        <v>1520</v>
      </c>
      <c r="D72" s="18" t="n">
        <v>1473</v>
      </c>
      <c r="E72" s="18" t="n">
        <v>1437.43</v>
      </c>
      <c r="F72" s="18" t="n">
        <v>1333.83</v>
      </c>
      <c r="G72" s="19">
        <f>HYPERLINK("https://www.tradingview.com/chart/?symbol=NSE:NESTLEIND","Chart 📈")</f>
        <v/>
      </c>
    </row>
    <row r="73" ht="16" customHeight="1">
      <c r="A73" s="20" t="inlineStr">
        <is>
          <t>NIFTY FMCG</t>
        </is>
      </c>
      <c r="B73" s="17" t="inlineStr">
        <is>
          <t>RADICO</t>
        </is>
      </c>
      <c r="C73" s="18" t="n">
        <v>4450</v>
      </c>
      <c r="D73" s="18" t="n">
        <v>4169.82</v>
      </c>
      <c r="E73" s="18" t="n">
        <v>3906.25</v>
      </c>
      <c r="F73" s="18" t="n">
        <v>3358.05</v>
      </c>
      <c r="G73" s="19">
        <f>HYPERLINK("https://www.tradingview.com/chart/?symbol=NSE:RADICO","Chart 📈")</f>
        <v/>
      </c>
    </row>
    <row r="74" ht="16" customHeight="1">
      <c r="A74" s="20" t="inlineStr">
        <is>
          <t>NIFTY FMCG</t>
        </is>
      </c>
      <c r="B74" s="17" t="inlineStr">
        <is>
          <t>UNITDSPR</t>
        </is>
      </c>
      <c r="C74" s="18" t="n">
        <v>1525</v>
      </c>
      <c r="D74" s="18" t="n">
        <v>1435.76</v>
      </c>
      <c r="E74" s="18" t="n">
        <v>1378.38</v>
      </c>
      <c r="F74" s="18" t="n">
        <v>1341.02</v>
      </c>
      <c r="G74" s="19">
        <f>HYPERLINK("https://www.tradingview.com/chart/?symbol=NSE:UNITDSPR","Chart 📈")</f>
        <v/>
      </c>
    </row>
    <row r="75" ht="16" customHeight="1">
      <c r="A75" s="12" t="inlineStr">
        <is>
          <t>NIFTY MEDIA</t>
        </is>
      </c>
      <c r="B75" s="13" t="inlineStr">
        <is>
          <t>NAZARA</t>
        </is>
      </c>
      <c r="C75" s="14" t="n">
        <v>349.5</v>
      </c>
      <c r="D75" s="14" t="n">
        <v>308.04</v>
      </c>
      <c r="E75" s="14" t="n">
        <v>297.71</v>
      </c>
      <c r="F75" s="14" t="n">
        <v>284.25</v>
      </c>
      <c r="G75" s="15">
        <f>HYPERLINK("https://www.tradingview.com/chart/?symbol=NSE:NAZARA","Chart 📈")</f>
        <v/>
      </c>
    </row>
    <row r="76" ht="16" customHeight="1">
      <c r="A76" s="16" t="inlineStr">
        <is>
          <t>NIFTY MEDIA</t>
        </is>
      </c>
      <c r="B76" s="13" t="inlineStr">
        <is>
          <t>PVRINOX</t>
        </is>
      </c>
      <c r="C76" s="14" t="n">
        <v>1188.1</v>
      </c>
      <c r="D76" s="14" t="n">
        <v>1066.69</v>
      </c>
      <c r="E76" s="14" t="n">
        <v>1025.63</v>
      </c>
      <c r="F76" s="14" t="n">
        <v>1020.11</v>
      </c>
      <c r="G76" s="15">
        <f>HYPERLINK("https://www.tradingview.com/chart/?symbol=NSE:PVRINOX","Chart 📈")</f>
        <v/>
      </c>
    </row>
    <row r="77" ht="16" customHeight="1">
      <c r="A77" s="16" t="inlineStr">
        <is>
          <t>NIFTY MEDIA</t>
        </is>
      </c>
      <c r="B77" s="13" t="inlineStr">
        <is>
          <t>SAREGAMA</t>
        </is>
      </c>
      <c r="C77" s="14" t="n">
        <v>542.55</v>
      </c>
      <c r="D77" s="14" t="n">
        <v>504.32</v>
      </c>
      <c r="E77" s="14" t="n">
        <v>472.72</v>
      </c>
      <c r="F77" s="14" t="n">
        <v>420.5</v>
      </c>
      <c r="G77" s="15">
        <f>HYPERLINK("https://www.tradingview.com/chart/?symbol=NSE:SAREGAMA","Chart 📈")</f>
        <v/>
      </c>
    </row>
    <row r="78" ht="16" customHeight="1">
      <c r="A78" s="8" t="inlineStr">
        <is>
          <t>NIFTY IT</t>
        </is>
      </c>
      <c r="B78" s="17" t="inlineStr">
        <is>
          <t>HCLTECH</t>
        </is>
      </c>
      <c r="C78" s="18" t="n">
        <v>1369.9</v>
      </c>
      <c r="D78" s="18" t="n">
        <v>1266.64</v>
      </c>
      <c r="E78" s="18" t="n">
        <v>1217.1</v>
      </c>
      <c r="F78" s="18" t="n">
        <v>1307.06</v>
      </c>
      <c r="G78" s="19">
        <f>HYPERLINK("https://www.tradingview.com/chart/?symbol=NSE:HCLTECH","Chart 📈")</f>
        <v/>
      </c>
    </row>
    <row r="79" ht="16" customHeight="1">
      <c r="A79" s="20" t="inlineStr">
        <is>
          <t>NIFTY IT</t>
        </is>
      </c>
      <c r="B79" s="17" t="inlineStr">
        <is>
          <t>TECHM</t>
        </is>
      </c>
      <c r="C79" s="18" t="n">
        <v>1648.5</v>
      </c>
      <c r="D79" s="18" t="n">
        <v>1570.45</v>
      </c>
      <c r="E79" s="18" t="n">
        <v>1500.78</v>
      </c>
      <c r="F79" s="18" t="n">
        <v>1456.51</v>
      </c>
      <c r="G79" s="19">
        <f>HYPERLINK("https://www.tradingview.com/chart/?symbol=NSE:TECHM","Chart 📈")</f>
        <v/>
      </c>
    </row>
    <row r="80" ht="16" customHeight="1">
      <c r="A80" s="12" t="inlineStr">
        <is>
          <t>NIFTY BANK</t>
        </is>
      </c>
      <c r="B80" s="13" t="inlineStr">
        <is>
          <t>AUBANK</t>
        </is>
      </c>
      <c r="C80" s="14" t="n">
        <v>1059</v>
      </c>
      <c r="D80" s="14" t="n">
        <v>1031.83</v>
      </c>
      <c r="E80" s="14" t="n">
        <v>1021.54</v>
      </c>
      <c r="F80" s="14" t="n">
        <v>958.5700000000001</v>
      </c>
      <c r="G80" s="15">
        <f>HYPERLINK("https://www.tradingview.com/chart/?symbol=NSE:AUBANK","Chart 📈")</f>
        <v/>
      </c>
    </row>
    <row r="81" ht="16" customHeight="1">
      <c r="A81" s="16" t="inlineStr">
        <is>
          <t>NIFTY BANK</t>
        </is>
      </c>
      <c r="B81" s="13" t="inlineStr">
        <is>
          <t>FEDERALBNK</t>
        </is>
      </c>
      <c r="C81" s="14" t="n">
        <v>362.45</v>
      </c>
      <c r="D81" s="14" t="n">
        <v>348.18</v>
      </c>
      <c r="E81" s="14" t="n">
        <v>330.09</v>
      </c>
      <c r="F81" s="14" t="n">
        <v>285.77</v>
      </c>
      <c r="G81" s="15">
        <f>HYPERLINK("https://www.tradingview.com/chart/?symbol=NSE:FEDERALBNK","Chart 📈")</f>
        <v/>
      </c>
    </row>
    <row r="82" ht="16" customHeight="1">
      <c r="A82" s="16" t="inlineStr">
        <is>
          <t>NIFTY BANK</t>
        </is>
      </c>
      <c r="B82" s="13" t="inlineStr">
        <is>
          <t>IDFCFIRSTB</t>
        </is>
      </c>
      <c r="C82" s="14" t="n">
        <v>86</v>
      </c>
      <c r="D82" s="14" t="n">
        <v>82.56</v>
      </c>
      <c r="E82" s="14" t="n">
        <v>79.04000000000001</v>
      </c>
      <c r="F82" s="14" t="n">
        <v>75.15000000000001</v>
      </c>
      <c r="G82" s="15">
        <f>HYPERLINK("https://www.tradingview.com/chart/?symbol=NSE:IDFCFIRSTB","Chart 📈")</f>
        <v/>
      </c>
    </row>
    <row r="83" ht="16" customHeight="1">
      <c r="A83" s="16" t="inlineStr">
        <is>
          <t>NIFTY BANK</t>
        </is>
      </c>
      <c r="B83" s="13" t="inlineStr">
        <is>
          <t>INDUSINDBK</t>
        </is>
      </c>
      <c r="C83" s="14" t="n">
        <v>1026</v>
      </c>
      <c r="D83" s="14" t="n">
        <v>1006.93</v>
      </c>
      <c r="E83" s="14" t="n">
        <v>971.5700000000001</v>
      </c>
      <c r="F83" s="14" t="n">
        <v>897.78</v>
      </c>
      <c r="G83" s="15">
        <f>HYPERLINK("https://www.tradingview.com/chart/?symbol=NSE:INDUSINDBK","Chart 📈")</f>
        <v/>
      </c>
    </row>
    <row r="84" ht="16" customHeight="1">
      <c r="A84" s="8" t="inlineStr">
        <is>
          <t>NIFTY ENERGY</t>
        </is>
      </c>
      <c r="B84" s="17" t="inlineStr">
        <is>
          <t>ABB</t>
        </is>
      </c>
      <c r="C84" s="18" t="n">
        <v>7700</v>
      </c>
      <c r="D84" s="18" t="n">
        <v>7327.27</v>
      </c>
      <c r="E84" s="18" t="n">
        <v>7129.41</v>
      </c>
      <c r="F84" s="18" t="n">
        <v>6348.69</v>
      </c>
      <c r="G84" s="19">
        <f>HYPERLINK("https://www.tradingview.com/chart/?symbol=NSE:ABB","Chart 📈")</f>
        <v/>
      </c>
    </row>
    <row r="85" ht="16" customHeight="1">
      <c r="A85" s="20" t="inlineStr">
        <is>
          <t>NIFTY ENERGY</t>
        </is>
      </c>
      <c r="B85" s="17" t="inlineStr">
        <is>
          <t>BHEL</t>
        </is>
      </c>
      <c r="C85" s="18" t="n">
        <v>411.95</v>
      </c>
      <c r="D85" s="18" t="n">
        <v>407.99</v>
      </c>
      <c r="E85" s="18" t="n">
        <v>396.72</v>
      </c>
      <c r="F85" s="18" t="n">
        <v>332.22</v>
      </c>
      <c r="G85" s="19">
        <f>HYPERLINK("https://www.tradingview.com/chart/?symbol=NSE:BHEL","Chart 📈")</f>
        <v/>
      </c>
    </row>
    <row r="86" ht="16" customHeight="1">
      <c r="A86" s="20" t="inlineStr">
        <is>
          <t>NIFTY ENERGY</t>
        </is>
      </c>
      <c r="B86" s="17" t="inlineStr">
        <is>
          <t>JPPOWER</t>
        </is>
      </c>
      <c r="C86" s="18" t="n">
        <v>18.84</v>
      </c>
      <c r="D86" s="18" t="n">
        <v>17.61</v>
      </c>
      <c r="E86" s="18" t="n">
        <v>17.74</v>
      </c>
      <c r="F86" s="18" t="n">
        <v>17.72</v>
      </c>
      <c r="G86" s="19">
        <f>HYPERLINK("https://www.tradingview.com/chart/?symbol=NSE:JPPOWER","Chart 📈")</f>
        <v/>
      </c>
    </row>
    <row r="87" ht="16" customHeight="1">
      <c r="A87" s="20" t="inlineStr">
        <is>
          <t>NIFTY ENERGY</t>
        </is>
      </c>
      <c r="B87" s="17" t="inlineStr">
        <is>
          <t>JSWENERGY</t>
        </is>
      </c>
      <c r="C87" s="18" t="n">
        <v>568</v>
      </c>
      <c r="D87" s="18" t="n">
        <v>555.98</v>
      </c>
      <c r="E87" s="18" t="n">
        <v>555.34</v>
      </c>
      <c r="F87" s="18" t="n">
        <v>532.98</v>
      </c>
      <c r="G87" s="19">
        <f>HYPERLINK("https://www.tradingview.com/chart/?symbol=NSE:JSWENERGY","Chart 📈")</f>
        <v/>
      </c>
    </row>
    <row r="88" ht="16" customHeight="1">
      <c r="A88" s="20" t="inlineStr">
        <is>
          <t>NIFTY ENERGY</t>
        </is>
      </c>
      <c r="B88" s="17" t="inlineStr">
        <is>
          <t>NHPC</t>
        </is>
      </c>
      <c r="C88" s="18" t="n">
        <v>80.5</v>
      </c>
      <c r="D88" s="18" t="n">
        <v>79.19</v>
      </c>
      <c r="E88" s="18" t="n">
        <v>78.77</v>
      </c>
      <c r="F88" s="18" t="n">
        <v>78.72</v>
      </c>
      <c r="G88" s="19">
        <f>HYPERLINK("https://www.tradingview.com/chart/?symbol=NSE:NHPC","Chart 📈")</f>
        <v/>
      </c>
    </row>
    <row r="89" ht="16" customHeight="1">
      <c r="A89" s="20" t="inlineStr">
        <is>
          <t>NIFTY ENERGY</t>
        </is>
      </c>
      <c r="B89" s="17" t="inlineStr">
        <is>
          <t>SIEMENS</t>
        </is>
      </c>
      <c r="C89" s="18" t="n">
        <v>4000.5</v>
      </c>
      <c r="D89" s="18" t="n">
        <v>3681.52</v>
      </c>
      <c r="E89" s="18" t="n">
        <v>3626.83</v>
      </c>
      <c r="F89" s="18" t="n">
        <v>3405.84</v>
      </c>
      <c r="G89" s="19">
        <f>HYPERLINK("https://www.tradingview.com/chart/?symbol=NSE:SIEMENS","Chart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2026-08-04T13:09:29Z</dcterms:created>
  <dcterms:modified xsi:type="dcterms:W3CDTF">2026-08-04T13:09:29Z</dcterms:modified>
</cp:coreProperties>
</file>