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11-Jun-2026  05:45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12</v>
      </c>
      <c r="D4" s="5" t="n">
        <v>13</v>
      </c>
      <c r="E4" s="5" t="n">
        <v>16</v>
      </c>
      <c r="F4" s="6" t="n">
        <v>0.6</v>
      </c>
      <c r="G4" s="6" t="n">
        <v>0.65</v>
      </c>
      <c r="H4" s="6" t="n">
        <v>0.8</v>
      </c>
      <c r="I4" s="7" t="n">
        <v>0.6833</v>
      </c>
    </row>
    <row r="5" ht="17" customHeight="1">
      <c r="A5" s="8" t="inlineStr">
        <is>
          <t>NIFTY AUTO</t>
        </is>
      </c>
      <c r="B5" s="9" t="n">
        <v>15</v>
      </c>
      <c r="C5" s="9" t="n">
        <v>5</v>
      </c>
      <c r="D5" s="9" t="n">
        <v>6</v>
      </c>
      <c r="E5" s="9" t="n">
        <v>6</v>
      </c>
      <c r="F5" s="10" t="n">
        <v>0.333</v>
      </c>
      <c r="G5" s="10" t="n">
        <v>0.4</v>
      </c>
      <c r="H5" s="10" t="n">
        <v>0.4</v>
      </c>
      <c r="I5" s="11" t="n">
        <v>0.3777</v>
      </c>
    </row>
    <row r="6" ht="17" customHeight="1">
      <c r="A6" s="4" t="inlineStr">
        <is>
          <t>NIFTY MEDIA</t>
        </is>
      </c>
      <c r="B6" s="5" t="n">
        <v>10</v>
      </c>
      <c r="C6" s="5" t="n">
        <v>3</v>
      </c>
      <c r="D6" s="5" t="n">
        <v>4</v>
      </c>
      <c r="E6" s="5" t="n">
        <v>4</v>
      </c>
      <c r="F6" s="6" t="n">
        <v>0.3</v>
      </c>
      <c r="G6" s="6" t="n">
        <v>0.4</v>
      </c>
      <c r="H6" s="6" t="n">
        <v>0.4</v>
      </c>
      <c r="I6" s="7" t="n">
        <v>0.3667</v>
      </c>
    </row>
    <row r="7" ht="17" customHeight="1">
      <c r="A7" s="8" t="inlineStr">
        <is>
          <t>NIFTY METAL</t>
        </is>
      </c>
      <c r="B7" s="9" t="n">
        <v>15</v>
      </c>
      <c r="C7" s="9" t="n">
        <v>2</v>
      </c>
      <c r="D7" s="9" t="n">
        <v>3</v>
      </c>
      <c r="E7" s="9" t="n">
        <v>11</v>
      </c>
      <c r="F7" s="10" t="n">
        <v>0.133</v>
      </c>
      <c r="G7" s="10" t="n">
        <v>0.2</v>
      </c>
      <c r="H7" s="10" t="n">
        <v>0.733</v>
      </c>
      <c r="I7" s="11" t="n">
        <v>0.3553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5</v>
      </c>
      <c r="D8" s="5" t="n">
        <v>9</v>
      </c>
      <c r="E8" s="5" t="n">
        <v>6</v>
      </c>
      <c r="F8" s="6" t="n">
        <v>0.25</v>
      </c>
      <c r="G8" s="6" t="n">
        <v>0.45</v>
      </c>
      <c r="H8" s="6" t="n">
        <v>0.3</v>
      </c>
      <c r="I8" s="7" t="n">
        <v>0.3333</v>
      </c>
    </row>
    <row r="9" ht="17" customHeight="1">
      <c r="A9" s="8" t="inlineStr">
        <is>
          <t>NIFTY FMCG</t>
        </is>
      </c>
      <c r="B9" s="9" t="n">
        <v>15</v>
      </c>
      <c r="C9" s="9" t="n">
        <v>4</v>
      </c>
      <c r="D9" s="9" t="n">
        <v>5</v>
      </c>
      <c r="E9" s="9" t="n">
        <v>5</v>
      </c>
      <c r="F9" s="10" t="n">
        <v>0.267</v>
      </c>
      <c r="G9" s="10" t="n">
        <v>0.333</v>
      </c>
      <c r="H9" s="10" t="n">
        <v>0.333</v>
      </c>
      <c r="I9" s="11" t="n">
        <v>0.311</v>
      </c>
    </row>
    <row r="10" ht="17" customHeight="1">
      <c r="A10" s="4" t="inlineStr">
        <is>
          <t>NIFTY PSU BANK</t>
        </is>
      </c>
      <c r="B10" s="5" t="n">
        <v>12</v>
      </c>
      <c r="C10" s="5" t="n">
        <v>4</v>
      </c>
      <c r="D10" s="5" t="n">
        <v>3</v>
      </c>
      <c r="E10" s="5" t="n">
        <v>4</v>
      </c>
      <c r="F10" s="6" t="n">
        <v>0.333</v>
      </c>
      <c r="G10" s="6" t="n">
        <v>0.25</v>
      </c>
      <c r="H10" s="6" t="n">
        <v>0.333</v>
      </c>
      <c r="I10" s="7" t="n">
        <v>0.3053</v>
      </c>
    </row>
    <row r="11" ht="17" customHeight="1">
      <c r="A11" s="8" t="inlineStr">
        <is>
          <t>NIFTY ENERGY</t>
        </is>
      </c>
      <c r="B11" s="9" t="n">
        <v>40</v>
      </c>
      <c r="C11" s="9" t="n">
        <v>3</v>
      </c>
      <c r="D11" s="9" t="n">
        <v>11</v>
      </c>
      <c r="E11" s="9" t="n">
        <v>17</v>
      </c>
      <c r="F11" s="10" t="n">
        <v>0.075</v>
      </c>
      <c r="G11" s="10" t="n">
        <v>0.275</v>
      </c>
      <c r="H11" s="10" t="n">
        <v>0.425</v>
      </c>
      <c r="I11" s="11" t="n">
        <v>0.2583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3</v>
      </c>
      <c r="D12" s="5" t="n">
        <v>3</v>
      </c>
      <c r="E12" s="5" t="n">
        <v>4</v>
      </c>
      <c r="F12" s="6" t="n">
        <v>0.2</v>
      </c>
      <c r="G12" s="6" t="n">
        <v>0.2</v>
      </c>
      <c r="H12" s="6" t="n">
        <v>0.267</v>
      </c>
      <c r="I12" s="7" t="n">
        <v>0.2223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3</v>
      </c>
      <c r="D13" s="9" t="n">
        <v>4</v>
      </c>
      <c r="E13" s="9" t="n">
        <v>2</v>
      </c>
      <c r="F13" s="10" t="n">
        <v>0.2</v>
      </c>
      <c r="G13" s="10" t="n">
        <v>0.267</v>
      </c>
      <c r="H13" s="10" t="n">
        <v>0.133</v>
      </c>
      <c r="I13" s="11" t="n">
        <v>0.2</v>
      </c>
    </row>
    <row r="14" ht="17" customHeight="1">
      <c r="A14" s="4" t="inlineStr">
        <is>
          <t>NIFTY BANK</t>
        </is>
      </c>
      <c r="B14" s="5" t="n">
        <v>12</v>
      </c>
      <c r="C14" s="5" t="n">
        <v>2</v>
      </c>
      <c r="D14" s="5" t="n">
        <v>2</v>
      </c>
      <c r="E14" s="5" t="n">
        <v>3</v>
      </c>
      <c r="F14" s="6" t="n">
        <v>0.167</v>
      </c>
      <c r="G14" s="6" t="n">
        <v>0.167</v>
      </c>
      <c r="H14" s="6" t="n">
        <v>0.25</v>
      </c>
      <c r="I14" s="7" t="n">
        <v>0.1947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4</v>
      </c>
      <c r="D15" s="9" t="n">
        <v>3</v>
      </c>
      <c r="E15" s="9" t="n">
        <v>3</v>
      </c>
      <c r="F15" s="10" t="n">
        <v>0.2</v>
      </c>
      <c r="G15" s="10" t="n">
        <v>0.15</v>
      </c>
      <c r="H15" s="10" t="n">
        <v>0.15</v>
      </c>
      <c r="I15" s="11" t="n">
        <v>0.1667</v>
      </c>
    </row>
    <row r="16" ht="17" customHeight="1">
      <c r="A16" s="4" t="inlineStr">
        <is>
          <t>NIFTY REALTY</t>
        </is>
      </c>
      <c r="B16" s="5" t="n">
        <v>10</v>
      </c>
      <c r="C16" s="5" t="n">
        <v>1</v>
      </c>
      <c r="D16" s="5" t="n">
        <v>2</v>
      </c>
      <c r="E16" s="5" t="n">
        <v>2</v>
      </c>
      <c r="F16" s="6" t="n">
        <v>0.1</v>
      </c>
      <c r="G16" s="6" t="n">
        <v>0.2</v>
      </c>
      <c r="H16" s="6" t="n">
        <v>0.2</v>
      </c>
      <c r="I16" s="7" t="n">
        <v>0.1667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1</v>
      </c>
      <c r="E17" s="9" t="n">
        <v>0</v>
      </c>
      <c r="F17" s="10" t="n">
        <v>0</v>
      </c>
      <c r="G17" s="10" t="n">
        <v>0.1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3087.6</v>
      </c>
      <c r="D3" s="14" t="n">
        <v>3018.02</v>
      </c>
      <c r="E3" s="14" t="n">
        <v>2978.45</v>
      </c>
      <c r="F3" s="14" t="n">
        <v>2810.01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1462.7</v>
      </c>
      <c r="D4" s="14" t="n">
        <v>1454.2</v>
      </c>
      <c r="E4" s="14" t="n">
        <v>1417.9</v>
      </c>
      <c r="F4" s="14" t="n">
        <v>1278.14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6702.5</v>
      </c>
      <c r="D5" s="14" t="n">
        <v>6661.04</v>
      </c>
      <c r="E5" s="14" t="n">
        <v>6554.14</v>
      </c>
      <c r="F5" s="14" t="n">
        <v>6423.29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2298.7</v>
      </c>
      <c r="D6" s="14" t="n">
        <v>2206.63</v>
      </c>
      <c r="E6" s="14" t="n">
        <v>2043.52</v>
      </c>
      <c r="F6" s="14" t="n">
        <v>1863.74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GRANULES</t>
        </is>
      </c>
      <c r="C7" s="14" t="n">
        <v>773.3</v>
      </c>
      <c r="D7" s="14" t="n">
        <v>763.28</v>
      </c>
      <c r="E7" s="14" t="n">
        <v>721.91</v>
      </c>
      <c r="F7" s="14" t="n">
        <v>623.78</v>
      </c>
      <c r="G7" s="15">
        <f>HYPERLINK("https://www.tradingview.com/chart/?symbol=NSE:GRANULES","Chart 📈")</f>
        <v/>
      </c>
    </row>
    <row r="8" ht="16" customHeight="1">
      <c r="A8" s="16" t="inlineStr">
        <is>
          <t>NIFTY PHARMA</t>
        </is>
      </c>
      <c r="B8" s="13" t="inlineStr">
        <is>
          <t>IPCALAB</t>
        </is>
      </c>
      <c r="C8" s="14" t="n">
        <v>1626.1</v>
      </c>
      <c r="D8" s="14" t="n">
        <v>1591.19</v>
      </c>
      <c r="E8" s="14" t="n">
        <v>1560.02</v>
      </c>
      <c r="F8" s="14" t="n">
        <v>1481.38</v>
      </c>
      <c r="G8" s="15">
        <f>HYPERLINK("https://www.tradingview.com/chart/?symbol=NSE:IPCALAB","Chart 📈")</f>
        <v/>
      </c>
    </row>
    <row r="9" ht="16" customHeight="1">
      <c r="A9" s="16" t="inlineStr">
        <is>
          <t>NIFTY PHARMA</t>
        </is>
      </c>
      <c r="B9" s="13" t="inlineStr">
        <is>
          <t>JBCHEPHARM</t>
        </is>
      </c>
      <c r="C9" s="14" t="n">
        <v>2258</v>
      </c>
      <c r="D9" s="14" t="n">
        <v>2166.98</v>
      </c>
      <c r="E9" s="14" t="n">
        <v>2111.91</v>
      </c>
      <c r="F9" s="14" t="n">
        <v>1935.94</v>
      </c>
      <c r="G9" s="15">
        <f>HYPERLINK("https://www.tradingview.com/chart/?symbol=NSE:JBCHEPHARM","Chart 📈")</f>
        <v/>
      </c>
    </row>
    <row r="10" ht="16" customHeight="1">
      <c r="A10" s="16" t="inlineStr">
        <is>
          <t>NIFTY PHARMA</t>
        </is>
      </c>
      <c r="B10" s="13" t="inlineStr">
        <is>
          <t>LAURUSLABS</t>
        </is>
      </c>
      <c r="C10" s="14" t="n">
        <v>1397.4</v>
      </c>
      <c r="D10" s="14" t="n">
        <v>1363.28</v>
      </c>
      <c r="E10" s="14" t="n">
        <v>1262.68</v>
      </c>
      <c r="F10" s="14" t="n">
        <v>1059.77</v>
      </c>
      <c r="G10" s="15">
        <f>HYPERLINK("https://www.tradingview.com/chart/?symbol=NSE:LAURUSLABS","Chart 📈")</f>
        <v/>
      </c>
    </row>
    <row r="11" ht="16" customHeight="1">
      <c r="A11" s="16" t="inlineStr">
        <is>
          <t>NIFTY PHARMA</t>
        </is>
      </c>
      <c r="B11" s="13" t="inlineStr">
        <is>
          <t>MANKIND</t>
        </is>
      </c>
      <c r="C11" s="14" t="n">
        <v>2393.8</v>
      </c>
      <c r="D11" s="14" t="n">
        <v>2379.59</v>
      </c>
      <c r="E11" s="14" t="n">
        <v>2321.18</v>
      </c>
      <c r="F11" s="14" t="n">
        <v>2281.06</v>
      </c>
      <c r="G11" s="15">
        <f>HYPERLINK("https://www.tradingview.com/chart/?symbol=NSE:MANKIND","Chart 📈")</f>
        <v/>
      </c>
    </row>
    <row r="12" ht="16" customHeight="1">
      <c r="A12" s="16" t="inlineStr">
        <is>
          <t>NIFTY PHARMA</t>
        </is>
      </c>
      <c r="B12" s="13" t="inlineStr">
        <is>
          <t>TORNTPHARM</t>
        </is>
      </c>
      <c r="C12" s="14" t="n">
        <v>4583.9</v>
      </c>
      <c r="D12" s="14" t="n">
        <v>4421.97</v>
      </c>
      <c r="E12" s="14" t="n">
        <v>4338.09</v>
      </c>
      <c r="F12" s="14" t="n">
        <v>3997.02</v>
      </c>
      <c r="G12" s="15">
        <f>HYPERLINK("https://www.tradingview.com/chart/?symbol=NSE:TORNTPHARM","Chart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1100.9</v>
      </c>
      <c r="D13" s="14" t="n">
        <v>1061.09</v>
      </c>
      <c r="E13" s="14" t="n">
        <v>1004.06</v>
      </c>
      <c r="F13" s="14" t="n">
        <v>956.52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AUTO</t>
        </is>
      </c>
      <c r="B14" s="17" t="inlineStr">
        <is>
          <t>BHARATFORG</t>
        </is>
      </c>
      <c r="C14" s="18" t="n">
        <v>1946.4</v>
      </c>
      <c r="D14" s="18" t="n">
        <v>1922.12</v>
      </c>
      <c r="E14" s="18" t="n">
        <v>1875.4</v>
      </c>
      <c r="F14" s="18" t="n">
        <v>1632.36</v>
      </c>
      <c r="G14" s="19">
        <f>HYPERLINK("https://www.tradingview.com/chart/?symbol=NSE:BHARATFORG","Chart 📈")</f>
        <v/>
      </c>
    </row>
    <row r="15" ht="16" customHeight="1">
      <c r="A15" s="20" t="inlineStr">
        <is>
          <t>NIFTY AUTO</t>
        </is>
      </c>
      <c r="B15" s="17" t="inlineStr">
        <is>
          <t>BOSCHLTD</t>
        </is>
      </c>
      <c r="C15" s="18" t="n">
        <v>37750</v>
      </c>
      <c r="D15" s="18" t="n">
        <v>36983.43</v>
      </c>
      <c r="E15" s="18" t="n">
        <v>36336.96</v>
      </c>
      <c r="F15" s="18" t="n">
        <v>35786.23</v>
      </c>
      <c r="G15" s="19">
        <f>HYPERLINK("https://www.tradingview.com/chart/?symbol=NSE:BOSCHLTD","Chart 📈")</f>
        <v/>
      </c>
    </row>
    <row r="16" ht="16" customHeight="1">
      <c r="A16" s="20" t="inlineStr">
        <is>
          <t>NIFTY AUTO</t>
        </is>
      </c>
      <c r="B16" s="17" t="inlineStr">
        <is>
          <t>EXIDEIND</t>
        </is>
      </c>
      <c r="C16" s="18" t="n">
        <v>385.35</v>
      </c>
      <c r="D16" s="18" t="n">
        <v>379.23</v>
      </c>
      <c r="E16" s="18" t="n">
        <v>360.61</v>
      </c>
      <c r="F16" s="18" t="n">
        <v>359.1</v>
      </c>
      <c r="G16" s="19">
        <f>HYPERLINK("https://www.tradingview.com/chart/?symbol=NSE:EXIDEIND","Chart 📈")</f>
        <v/>
      </c>
    </row>
    <row r="17" ht="16" customHeight="1">
      <c r="A17" s="20" t="inlineStr">
        <is>
          <t>NIFTY AUTO</t>
        </is>
      </c>
      <c r="B17" s="17" t="inlineStr">
        <is>
          <t>MOTHERSON</t>
        </is>
      </c>
      <c r="C17" s="18" t="n">
        <v>140.93</v>
      </c>
      <c r="D17" s="18" t="n">
        <v>138.93</v>
      </c>
      <c r="E17" s="18" t="n">
        <v>132.02</v>
      </c>
      <c r="F17" s="18" t="n">
        <v>119.63</v>
      </c>
      <c r="G17" s="19">
        <f>HYPERLINK("https://www.tradingview.com/chart/?symbol=NSE:MOTHERSON","Chart 📈")</f>
        <v/>
      </c>
    </row>
    <row r="18" ht="16" customHeight="1">
      <c r="A18" s="12" t="inlineStr">
        <is>
          <t>NIFTY MEDIA</t>
        </is>
      </c>
      <c r="B18" s="13" t="inlineStr">
        <is>
          <t>NAZARA</t>
        </is>
      </c>
      <c r="C18" s="14" t="n">
        <v>280.3</v>
      </c>
      <c r="D18" s="14" t="n">
        <v>277.28</v>
      </c>
      <c r="E18" s="14" t="n">
        <v>272.03</v>
      </c>
      <c r="F18" s="14" t="n">
        <v>273.8</v>
      </c>
      <c r="G18" s="15">
        <f>HYPERLINK("https://www.tradingview.com/chart/?symbol=NSE:NAZARA","Chart 📈")</f>
        <v/>
      </c>
    </row>
    <row r="19" ht="16" customHeight="1">
      <c r="A19" s="16" t="inlineStr">
        <is>
          <t>NIFTY MEDIA</t>
        </is>
      </c>
      <c r="B19" s="13" t="inlineStr">
        <is>
          <t>SAREGAMA</t>
        </is>
      </c>
      <c r="C19" s="14" t="n">
        <v>441.55</v>
      </c>
      <c r="D19" s="14" t="n">
        <v>426.69</v>
      </c>
      <c r="E19" s="14" t="n">
        <v>392.94</v>
      </c>
      <c r="F19" s="14" t="n">
        <v>396.55</v>
      </c>
      <c r="G19" s="15">
        <f>HYPERLINK("https://www.tradingview.com/chart/?symbol=NSE:SAREGAMA","Chart 📈")</f>
        <v/>
      </c>
    </row>
    <row r="20" ht="16" customHeight="1">
      <c r="A20" s="16" t="inlineStr">
        <is>
          <t>NIFTY MEDIA</t>
        </is>
      </c>
      <c r="B20" s="13" t="inlineStr">
        <is>
          <t>ZEEL</t>
        </is>
      </c>
      <c r="C20" s="14" t="n">
        <v>105.35</v>
      </c>
      <c r="D20" s="14" t="n">
        <v>97.43000000000001</v>
      </c>
      <c r="E20" s="14" t="n">
        <v>91.61</v>
      </c>
      <c r="F20" s="14" t="n">
        <v>96.26000000000001</v>
      </c>
      <c r="G20" s="15">
        <f>HYPERLINK("https://www.tradingview.com/chart/?symbol=NSE:ZEEL","Chart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2950</v>
      </c>
      <c r="D21" s="18" t="n">
        <v>2855.99</v>
      </c>
      <c r="E21" s="18" t="n">
        <v>2612.85</v>
      </c>
      <c r="F21" s="18" t="n">
        <v>2391.7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WELCORP</t>
        </is>
      </c>
      <c r="C22" s="18" t="n">
        <v>1390</v>
      </c>
      <c r="D22" s="18" t="n">
        <v>1350.62</v>
      </c>
      <c r="E22" s="18" t="n">
        <v>1231.95</v>
      </c>
      <c r="F22" s="18" t="n">
        <v>1002.48</v>
      </c>
      <c r="G22" s="19">
        <f>HYPERLINK("https://www.tradingview.com/chart/?symbol=NSE:WELCORP","Chart 📈")</f>
        <v/>
      </c>
    </row>
    <row r="23" ht="16" customHeight="1">
      <c r="A23" s="12" t="inlineStr">
        <is>
          <t>NIFTY MIDSMALL IT &amp; TELECOM</t>
        </is>
      </c>
      <c r="B23" s="13" t="inlineStr">
        <is>
          <t>IDEA</t>
        </is>
      </c>
      <c r="C23" s="14" t="n">
        <v>14.4</v>
      </c>
      <c r="D23" s="14" t="n">
        <v>13.77</v>
      </c>
      <c r="E23" s="14" t="n">
        <v>12.43</v>
      </c>
      <c r="F23" s="14" t="n">
        <v>10.41</v>
      </c>
      <c r="G23" s="15">
        <f>HYPERLINK("https://www.tradingview.com/chart/?symbol=NSE:IDEA","Chart 📈")</f>
        <v/>
      </c>
    </row>
    <row r="24" ht="16" customHeight="1">
      <c r="A24" s="16" t="inlineStr">
        <is>
          <t>NIFTY MIDSMALL IT &amp; TELECOM</t>
        </is>
      </c>
      <c r="B24" s="13" t="inlineStr">
        <is>
          <t>TATACOMM</t>
        </is>
      </c>
      <c r="C24" s="14" t="n">
        <v>1946.8</v>
      </c>
      <c r="D24" s="14" t="n">
        <v>1884.49</v>
      </c>
      <c r="E24" s="14" t="n">
        <v>1752.42</v>
      </c>
      <c r="F24" s="14" t="n">
        <v>1685</v>
      </c>
      <c r="G24" s="15">
        <f>HYPERLINK("https://www.tradingview.com/chart/?symbol=NSE:TATACOMM","Chart 📈")</f>
        <v/>
      </c>
    </row>
    <row r="25" ht="16" customHeight="1">
      <c r="A25" s="16" t="inlineStr">
        <is>
          <t>NIFTY MIDSMALL IT &amp; TELECOM</t>
        </is>
      </c>
      <c r="B25" s="13" t="inlineStr">
        <is>
          <t>TATATECH</t>
        </is>
      </c>
      <c r="C25" s="14" t="n">
        <v>742.45</v>
      </c>
      <c r="D25" s="14" t="n">
        <v>712.71</v>
      </c>
      <c r="E25" s="14" t="n">
        <v>660.88</v>
      </c>
      <c r="F25" s="14" t="n">
        <v>651.89</v>
      </c>
      <c r="G25" s="15">
        <f>HYPERLINK("https://www.tradingview.com/chart/?symbol=NSE:TATATECH","Chart 📈")</f>
        <v/>
      </c>
    </row>
    <row r="26" ht="16" customHeight="1">
      <c r="A26" s="16" t="inlineStr">
        <is>
          <t>NIFTY MIDSMALL IT &amp; TELECOM</t>
        </is>
      </c>
      <c r="B26" s="13" t="inlineStr">
        <is>
          <t>TEJASNET</t>
        </is>
      </c>
      <c r="C26" s="14" t="n">
        <v>575.6</v>
      </c>
      <c r="D26" s="14" t="n">
        <v>523.3200000000001</v>
      </c>
      <c r="E26" s="14" t="n">
        <v>481.74</v>
      </c>
      <c r="F26" s="14" t="n">
        <v>489.42</v>
      </c>
      <c r="G26" s="15">
        <f>HYPERLINK("https://www.tradingview.com/chart/?symbol=NSE:TEJASNET","Chart 📈")</f>
        <v/>
      </c>
    </row>
    <row r="27" ht="16" customHeight="1">
      <c r="A27" s="8" t="inlineStr">
        <is>
          <t>NIFTY FMCG</t>
        </is>
      </c>
      <c r="B27" s="17" t="inlineStr">
        <is>
          <t>BALRAMCHIN</t>
        </is>
      </c>
      <c r="C27" s="18" t="n">
        <v>548</v>
      </c>
      <c r="D27" s="18" t="n">
        <v>534.3200000000001</v>
      </c>
      <c r="E27" s="18" t="n">
        <v>520.5700000000001</v>
      </c>
      <c r="F27" s="18" t="n">
        <v>504.89</v>
      </c>
      <c r="G27" s="19">
        <f>HYPERLINK("https://www.tradingview.com/chart/?symbol=NSE:BALRAMCHIN","Chart 📈")</f>
        <v/>
      </c>
    </row>
    <row r="28" ht="16" customHeight="1">
      <c r="A28" s="20" t="inlineStr">
        <is>
          <t>NIFTY FMCG</t>
        </is>
      </c>
      <c r="B28" s="17" t="inlineStr">
        <is>
          <t>MARICO</t>
        </is>
      </c>
      <c r="C28" s="18" t="n">
        <v>817.3</v>
      </c>
      <c r="D28" s="18" t="n">
        <v>816.62</v>
      </c>
      <c r="E28" s="18" t="n">
        <v>803.24</v>
      </c>
      <c r="F28" s="18" t="n">
        <v>762.01</v>
      </c>
      <c r="G28" s="19">
        <f>HYPERLINK("https://www.tradingview.com/chart/?symbol=NSE:MARICO","Chart 📈")</f>
        <v/>
      </c>
    </row>
    <row r="29" ht="16" customHeight="1">
      <c r="A29" s="20" t="inlineStr">
        <is>
          <t>NIFTY FMCG</t>
        </is>
      </c>
      <c r="B29" s="17" t="inlineStr">
        <is>
          <t>NESTLEIND</t>
        </is>
      </c>
      <c r="C29" s="18" t="n">
        <v>1438.7</v>
      </c>
      <c r="D29" s="18" t="n">
        <v>1414.66</v>
      </c>
      <c r="E29" s="18" t="n">
        <v>1386.2</v>
      </c>
      <c r="F29" s="18" t="n">
        <v>1297.64</v>
      </c>
      <c r="G29" s="19">
        <f>HYPERLINK("https://www.tradingview.com/chart/?symbol=NSE:NESTLEIND","Chart 📈")</f>
        <v/>
      </c>
    </row>
    <row r="30" ht="16" customHeight="1">
      <c r="A30" s="20" t="inlineStr">
        <is>
          <t>NIFTY FMCG</t>
        </is>
      </c>
      <c r="B30" s="17" t="inlineStr">
        <is>
          <t>VBL</t>
        </is>
      </c>
      <c r="C30" s="18" t="n">
        <v>524.8</v>
      </c>
      <c r="D30" s="18" t="n">
        <v>522.24</v>
      </c>
      <c r="E30" s="18" t="n">
        <v>501.13</v>
      </c>
      <c r="F30" s="18" t="n">
        <v>476.04</v>
      </c>
      <c r="G30" s="19">
        <f>HYPERLINK("https://www.tradingview.com/chart/?symbol=NSE:VBL","Chart 📈")</f>
        <v/>
      </c>
    </row>
    <row r="31" ht="16" customHeight="1">
      <c r="A31" s="12" t="inlineStr">
        <is>
          <t>NIFTY PSU BANK</t>
        </is>
      </c>
      <c r="B31" s="13" t="inlineStr">
        <is>
          <t>BANKINDIA</t>
        </is>
      </c>
      <c r="C31" s="14" t="n">
        <v>141.31</v>
      </c>
      <c r="D31" s="14" t="n">
        <v>140.43</v>
      </c>
      <c r="E31" s="14" t="n">
        <v>141.06</v>
      </c>
      <c r="F31" s="14" t="n">
        <v>138.06</v>
      </c>
      <c r="G31" s="15">
        <f>HYPERLINK("https://www.tradingview.com/chart/?symbol=NSE:BANKINDIA","Chart 📈")</f>
        <v/>
      </c>
    </row>
    <row r="32" ht="16" customHeight="1">
      <c r="A32" s="16" t="inlineStr">
        <is>
          <t>NIFTY PSU BANK</t>
        </is>
      </c>
      <c r="B32" s="13" t="inlineStr">
        <is>
          <t>MAHABANK</t>
        </is>
      </c>
      <c r="C32" s="14" t="n">
        <v>83.41</v>
      </c>
      <c r="D32" s="14" t="n">
        <v>79.70999999999999</v>
      </c>
      <c r="E32" s="14" t="n">
        <v>76.42</v>
      </c>
      <c r="F32" s="14" t="n">
        <v>66.41</v>
      </c>
      <c r="G32" s="15">
        <f>HYPERLINK("https://www.tradingview.com/chart/?symbol=NSE:MAHABANK","Chart 📈")</f>
        <v/>
      </c>
    </row>
    <row r="33" ht="16" customHeight="1">
      <c r="A33" s="8" t="inlineStr">
        <is>
          <t>NIFTY ENERGY</t>
        </is>
      </c>
      <c r="B33" s="17" t="inlineStr">
        <is>
          <t>ADANIENSOL</t>
        </is>
      </c>
      <c r="C33" s="18" t="n">
        <v>1512.5</v>
      </c>
      <c r="D33" s="18" t="n">
        <v>1479.14</v>
      </c>
      <c r="E33" s="18" t="n">
        <v>1357.57</v>
      </c>
      <c r="F33" s="18" t="n">
        <v>1110.17</v>
      </c>
      <c r="G33" s="19">
        <f>HYPERLINK("https://www.tradingview.com/chart/?symbol=NSE:ADANIENSOL","Chart 📈")</f>
        <v/>
      </c>
    </row>
    <row r="34" ht="16" customHeight="1">
      <c r="A34" s="20" t="inlineStr">
        <is>
          <t>NIFTY ENERGY</t>
        </is>
      </c>
      <c r="B34" s="17" t="inlineStr">
        <is>
          <t>ADANIGREEN</t>
        </is>
      </c>
      <c r="C34" s="18" t="n">
        <v>1471.4</v>
      </c>
      <c r="D34" s="18" t="n">
        <v>1435.17</v>
      </c>
      <c r="E34" s="18" t="n">
        <v>1306.99</v>
      </c>
      <c r="F34" s="18" t="n">
        <v>1106.19</v>
      </c>
      <c r="G34" s="19">
        <f>HYPERLINK("https://www.tradingview.com/chart/?symbol=NSE:ADANIGREEN","Chart 📈")</f>
        <v/>
      </c>
    </row>
    <row r="35" ht="16" customHeight="1">
      <c r="A35" s="20" t="inlineStr">
        <is>
          <t>NIFTY ENERGY</t>
        </is>
      </c>
      <c r="B35" s="17" t="inlineStr">
        <is>
          <t>CGPOWER</t>
        </is>
      </c>
      <c r="C35" s="18" t="n">
        <v>915.35</v>
      </c>
      <c r="D35" s="18" t="n">
        <v>892.77</v>
      </c>
      <c r="E35" s="18" t="n">
        <v>839.27</v>
      </c>
      <c r="F35" s="18" t="n">
        <v>745.01</v>
      </c>
      <c r="G35" s="19">
        <f>HYPERLINK("https://www.tradingview.com/chart/?symbol=NSE:CGPOWER","Chart 📈")</f>
        <v/>
      </c>
    </row>
    <row r="36" ht="16" customHeight="1">
      <c r="A36" s="12" t="inlineStr">
        <is>
          <t>NIFTY CONSUMER DURABLES</t>
        </is>
      </c>
      <c r="B36" s="13" t="inlineStr">
        <is>
          <t>CERA</t>
        </is>
      </c>
      <c r="C36" s="14" t="n">
        <v>5809</v>
      </c>
      <c r="D36" s="14" t="n">
        <v>5658.1</v>
      </c>
      <c r="E36" s="14" t="n">
        <v>5491.54</v>
      </c>
      <c r="F36" s="14" t="n">
        <v>5583.06</v>
      </c>
      <c r="G36" s="15">
        <f>HYPERLINK("https://www.tradingview.com/chart/?symbol=NSE:CERA","Chart 📈")</f>
        <v/>
      </c>
    </row>
    <row r="37" ht="16" customHeight="1">
      <c r="A37" s="16" t="inlineStr">
        <is>
          <t>NIFTY CONSUMER DURABLES</t>
        </is>
      </c>
      <c r="B37" s="13" t="inlineStr">
        <is>
          <t>KAJARIACER</t>
        </is>
      </c>
      <c r="C37" s="14" t="n">
        <v>1095</v>
      </c>
      <c r="D37" s="14" t="n">
        <v>1085.93</v>
      </c>
      <c r="E37" s="14" t="n">
        <v>1076.91</v>
      </c>
      <c r="F37" s="14" t="n">
        <v>1064.63</v>
      </c>
      <c r="G37" s="15">
        <f>HYPERLINK("https://www.tradingview.com/chart/?symbol=NSE:KAJARIACER","Chart 📈")</f>
        <v/>
      </c>
    </row>
    <row r="38" ht="16" customHeight="1">
      <c r="A38" s="8" t="inlineStr">
        <is>
          <t>NIFTY OIL &amp; GAS</t>
        </is>
      </c>
      <c r="B38" s="17" t="inlineStr">
        <is>
          <t>AEGISLOG</t>
        </is>
      </c>
      <c r="C38" s="18" t="n">
        <v>891.85</v>
      </c>
      <c r="D38" s="18" t="n">
        <v>757.62</v>
      </c>
      <c r="E38" s="18" t="n">
        <v>720.4400000000001</v>
      </c>
      <c r="F38" s="18" t="n">
        <v>718.98</v>
      </c>
      <c r="G38" s="19">
        <f>HYPERLINK("https://www.tradingview.com/chart/?symbol=NSE:AEGISLOG","Chart 📈")</f>
        <v/>
      </c>
    </row>
    <row r="39" ht="16" customHeight="1">
      <c r="A39" s="20" t="inlineStr">
        <is>
          <t>NIFTY OIL &amp; GAS</t>
        </is>
      </c>
      <c r="B39" s="17" t="inlineStr">
        <is>
          <t>ATGL</t>
        </is>
      </c>
      <c r="C39" s="18" t="n">
        <v>734.55</v>
      </c>
      <c r="D39" s="18" t="n">
        <v>712.92</v>
      </c>
      <c r="E39" s="18" t="n">
        <v>660.03</v>
      </c>
      <c r="F39" s="18" t="n">
        <v>614.46</v>
      </c>
      <c r="G39" s="19">
        <f>HYPERLINK("https://www.tradingview.com/chart/?symbol=NSE:ATGL","Chart 📈")</f>
        <v/>
      </c>
    </row>
    <row r="40" ht="16" customHeight="1">
      <c r="A40" s="12" t="inlineStr">
        <is>
          <t>NIFTY BANK</t>
        </is>
      </c>
      <c r="B40" s="13" t="inlineStr">
        <is>
          <t>FEDERALBNK</t>
        </is>
      </c>
      <c r="C40" s="14" t="n">
        <v>308.95</v>
      </c>
      <c r="D40" s="14" t="n">
        <v>297.83</v>
      </c>
      <c r="E40" s="14" t="n">
        <v>290.7</v>
      </c>
      <c r="F40" s="14" t="n">
        <v>264.2</v>
      </c>
      <c r="G40" s="15">
        <f>HYPERLINK("https://www.tradingview.com/chart/?symbol=NSE:FEDERALBNK","Chart 📈")</f>
        <v/>
      </c>
    </row>
    <row r="41" ht="16" customHeight="1">
      <c r="A41" s="8" t="inlineStr">
        <is>
          <t>NIFTY FINANCIAL SERVICES</t>
        </is>
      </c>
      <c r="B41" s="17" t="inlineStr">
        <is>
          <t>AXISBANK</t>
        </is>
      </c>
      <c r="C41" s="18" t="n">
        <v>1326.6</v>
      </c>
      <c r="D41" s="18" t="n">
        <v>1283.61</v>
      </c>
      <c r="E41" s="18" t="n">
        <v>1284.49</v>
      </c>
      <c r="F41" s="18" t="n">
        <v>1263.05</v>
      </c>
      <c r="G41" s="19">
        <f>HYPERLINK("https://www.tradingview.com/chart/?symbol=NSE:AXISBANK","Chart 📈")</f>
        <v/>
      </c>
    </row>
    <row r="42" ht="16" customHeight="1">
      <c r="A42" s="12" t="inlineStr">
        <is>
          <t>NIFTY REALTY</t>
        </is>
      </c>
      <c r="B42" s="13" t="inlineStr">
        <is>
          <t>RAYMOND</t>
        </is>
      </c>
      <c r="C42" s="14" t="n">
        <v>562</v>
      </c>
      <c r="D42" s="14" t="n">
        <v>523.55</v>
      </c>
      <c r="E42" s="14" t="n">
        <v>486.59</v>
      </c>
      <c r="F42" s="14" t="n">
        <v>484.66</v>
      </c>
      <c r="G42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2026-06-11T05:45:19Z</dcterms:created>
  <dcterms:modified xsi:type="dcterms:W3CDTF">2026-06-11T05:45:19Z</dcterms:modified>
</cp:coreProperties>
</file>