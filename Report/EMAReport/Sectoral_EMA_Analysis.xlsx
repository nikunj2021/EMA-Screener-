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29-Oct-2026  17:29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11</v>
      </c>
      <c r="E4" s="5" t="n">
        <v>12</v>
      </c>
      <c r="F4" s="6" t="n">
        <v>0.75</v>
      </c>
      <c r="G4" s="6" t="n">
        <v>0.55</v>
      </c>
      <c r="H4" s="6" t="n">
        <v>0.6</v>
      </c>
      <c r="I4" s="7" t="n">
        <v>0.6333</v>
      </c>
    </row>
    <row r="5" ht="17" customHeight="1">
      <c r="A5" s="8" t="inlineStr">
        <is>
          <t>NIFTY MIDSMALL IT &amp; TELECOM</t>
        </is>
      </c>
      <c r="B5" s="9" t="n">
        <v>20</v>
      </c>
      <c r="C5" s="9" t="n">
        <v>11</v>
      </c>
      <c r="D5" s="9" t="n">
        <v>11</v>
      </c>
      <c r="E5" s="9" t="n">
        <v>10</v>
      </c>
      <c r="F5" s="10" t="n">
        <v>0.55</v>
      </c>
      <c r="G5" s="10" t="n">
        <v>0.55</v>
      </c>
      <c r="H5" s="10" t="n">
        <v>0.5</v>
      </c>
      <c r="I5" s="11" t="n">
        <v>0.5333</v>
      </c>
    </row>
    <row r="6" ht="17" customHeight="1">
      <c r="A6" s="4" t="inlineStr">
        <is>
          <t>NIFTY MEDIA</t>
        </is>
      </c>
      <c r="B6" s="5" t="n">
        <v>10</v>
      </c>
      <c r="C6" s="5" t="n">
        <v>5</v>
      </c>
      <c r="D6" s="5" t="n">
        <v>5</v>
      </c>
      <c r="E6" s="5" t="n">
        <v>5</v>
      </c>
      <c r="F6" s="6" t="n">
        <v>0.5</v>
      </c>
      <c r="G6" s="6" t="n">
        <v>0.5</v>
      </c>
      <c r="H6" s="6" t="n">
        <v>0.5</v>
      </c>
      <c r="I6" s="7" t="n">
        <v>0.5</v>
      </c>
    </row>
    <row r="7" ht="17" customHeight="1">
      <c r="A7" s="8" t="inlineStr">
        <is>
          <t>NIFTY PSU BANK</t>
        </is>
      </c>
      <c r="B7" s="9" t="n">
        <v>12</v>
      </c>
      <c r="C7" s="9" t="n">
        <v>8</v>
      </c>
      <c r="D7" s="9" t="n">
        <v>4</v>
      </c>
      <c r="E7" s="9" t="n">
        <v>4</v>
      </c>
      <c r="F7" s="10" t="n">
        <v>0.667</v>
      </c>
      <c r="G7" s="10" t="n">
        <v>0.333</v>
      </c>
      <c r="H7" s="10" t="n">
        <v>0.333</v>
      </c>
      <c r="I7" s="11" t="n">
        <v>0.4443</v>
      </c>
    </row>
    <row r="8" ht="17" customHeight="1">
      <c r="A8" s="4" t="inlineStr">
        <is>
          <t>NIFTY IT</t>
        </is>
      </c>
      <c r="B8" s="5" t="n">
        <v>10</v>
      </c>
      <c r="C8" s="5" t="n">
        <v>5</v>
      </c>
      <c r="D8" s="5" t="n">
        <v>5</v>
      </c>
      <c r="E8" s="5" t="n">
        <v>3</v>
      </c>
      <c r="F8" s="6" t="n">
        <v>0.5</v>
      </c>
      <c r="G8" s="6" t="n">
        <v>0.5</v>
      </c>
      <c r="H8" s="6" t="n">
        <v>0.3</v>
      </c>
      <c r="I8" s="7" t="n">
        <v>0.4333</v>
      </c>
    </row>
    <row r="9" ht="17" customHeight="1">
      <c r="A9" s="8" t="inlineStr">
        <is>
          <t>NIFTY REALTY</t>
        </is>
      </c>
      <c r="B9" s="9" t="n">
        <v>10</v>
      </c>
      <c r="C9" s="9" t="n">
        <v>4</v>
      </c>
      <c r="D9" s="9" t="n">
        <v>3</v>
      </c>
      <c r="E9" s="9" t="n">
        <v>3</v>
      </c>
      <c r="F9" s="10" t="n">
        <v>0.4</v>
      </c>
      <c r="G9" s="10" t="n">
        <v>0.3</v>
      </c>
      <c r="H9" s="10" t="n">
        <v>0.3</v>
      </c>
      <c r="I9" s="11" t="n">
        <v>0.3333</v>
      </c>
    </row>
    <row r="10" ht="17" customHeight="1">
      <c r="A10" s="4" t="inlineStr">
        <is>
          <t>NIFTY AUTO</t>
        </is>
      </c>
      <c r="B10" s="5" t="n">
        <v>15</v>
      </c>
      <c r="C10" s="5" t="n">
        <v>5</v>
      </c>
      <c r="D10" s="5" t="n">
        <v>3</v>
      </c>
      <c r="E10" s="5" t="n">
        <v>4</v>
      </c>
      <c r="F10" s="6" t="n">
        <v>0.333</v>
      </c>
      <c r="G10" s="6" t="n">
        <v>0.2</v>
      </c>
      <c r="H10" s="6" t="n">
        <v>0.267</v>
      </c>
      <c r="I10" s="7" t="n">
        <v>0.2667</v>
      </c>
    </row>
    <row r="11" ht="17" customHeight="1">
      <c r="A11" s="8" t="inlineStr">
        <is>
          <t>NIFTY METAL</t>
        </is>
      </c>
      <c r="B11" s="9" t="n">
        <v>15</v>
      </c>
      <c r="C11" s="9" t="n">
        <v>3</v>
      </c>
      <c r="D11" s="9" t="n">
        <v>3</v>
      </c>
      <c r="E11" s="9" t="n">
        <v>3</v>
      </c>
      <c r="F11" s="10" t="n">
        <v>0.2</v>
      </c>
      <c r="G11" s="10" t="n">
        <v>0.2</v>
      </c>
      <c r="H11" s="10" t="n">
        <v>0.2</v>
      </c>
      <c r="I11" s="11" t="n">
        <v>0.2</v>
      </c>
    </row>
    <row r="12" ht="17" customHeight="1">
      <c r="A12" s="4" t="inlineStr">
        <is>
          <t>NIFTY FMCG</t>
        </is>
      </c>
      <c r="B12" s="5" t="n">
        <v>15</v>
      </c>
      <c r="C12" s="5" t="n">
        <v>4</v>
      </c>
      <c r="D12" s="5" t="n">
        <v>2</v>
      </c>
      <c r="E12" s="5" t="n">
        <v>3</v>
      </c>
      <c r="F12" s="6" t="n">
        <v>0.267</v>
      </c>
      <c r="G12" s="6" t="n">
        <v>0.133</v>
      </c>
      <c r="H12" s="6" t="n">
        <v>0.2</v>
      </c>
      <c r="I12" s="7" t="n">
        <v>0.2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3</v>
      </c>
      <c r="D13" s="9" t="n">
        <v>3</v>
      </c>
      <c r="E13" s="9" t="n">
        <v>2</v>
      </c>
      <c r="F13" s="10" t="n">
        <v>0.2</v>
      </c>
      <c r="G13" s="10" t="n">
        <v>0.2</v>
      </c>
      <c r="H13" s="10" t="n">
        <v>0.133</v>
      </c>
      <c r="I13" s="11" t="n">
        <v>0.1777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4</v>
      </c>
      <c r="D14" s="5" t="n">
        <v>3</v>
      </c>
      <c r="E14" s="5" t="n">
        <v>3</v>
      </c>
      <c r="F14" s="6" t="n">
        <v>0.2</v>
      </c>
      <c r="G14" s="6" t="n">
        <v>0.15</v>
      </c>
      <c r="H14" s="6" t="n">
        <v>0.15</v>
      </c>
      <c r="I14" s="7" t="n">
        <v>0.1667</v>
      </c>
    </row>
    <row r="15" ht="17" customHeight="1">
      <c r="A15" s="8" t="inlineStr">
        <is>
          <t>NIFTY OIL &amp; GAS</t>
        </is>
      </c>
      <c r="B15" s="9" t="n">
        <v>15</v>
      </c>
      <c r="C15" s="9" t="n">
        <v>2</v>
      </c>
      <c r="D15" s="9" t="n">
        <v>1</v>
      </c>
      <c r="E15" s="9" t="n">
        <v>4</v>
      </c>
      <c r="F15" s="10" t="n">
        <v>0.133</v>
      </c>
      <c r="G15" s="10" t="n">
        <v>0.067</v>
      </c>
      <c r="H15" s="10" t="n">
        <v>0.267</v>
      </c>
      <c r="I15" s="11" t="n">
        <v>0.1557</v>
      </c>
    </row>
    <row r="16" ht="17" customHeight="1">
      <c r="A16" s="4" t="inlineStr">
        <is>
          <t>NIFTY ENERGY</t>
        </is>
      </c>
      <c r="B16" s="5" t="n">
        <v>40</v>
      </c>
      <c r="C16" s="5" t="n">
        <v>7</v>
      </c>
      <c r="D16" s="5" t="n">
        <v>3</v>
      </c>
      <c r="E16" s="5" t="n">
        <v>4</v>
      </c>
      <c r="F16" s="6" t="n">
        <v>0.175</v>
      </c>
      <c r="G16" s="6" t="n">
        <v>0.075</v>
      </c>
      <c r="H16" s="6" t="n">
        <v>0.1</v>
      </c>
      <c r="I16" s="7" t="n">
        <v>0.1167</v>
      </c>
    </row>
    <row r="17" ht="17" customHeight="1">
      <c r="A17" s="8" t="inlineStr">
        <is>
          <t>NIFTY BANK</t>
        </is>
      </c>
      <c r="B17" s="9" t="n">
        <v>12</v>
      </c>
      <c r="C17" s="9" t="n">
        <v>1</v>
      </c>
      <c r="D17" s="9" t="n">
        <v>1</v>
      </c>
      <c r="E17" s="9" t="n">
        <v>1</v>
      </c>
      <c r="F17" s="10" t="n">
        <v>0.083</v>
      </c>
      <c r="G17" s="10" t="n">
        <v>0.083</v>
      </c>
      <c r="H17" s="10" t="n">
        <v>0.083</v>
      </c>
      <c r="I17" s="11" t="n">
        <v>0.083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3459.7</v>
      </c>
      <c r="D3" s="14" t="n">
        <v>3402.6</v>
      </c>
      <c r="E3" s="14" t="n">
        <v>3435.59</v>
      </c>
      <c r="F3" s="14" t="n">
        <v>3178.88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1659.9</v>
      </c>
      <c r="D4" s="14" t="n">
        <v>1645.67</v>
      </c>
      <c r="E4" s="14" t="n">
        <v>1644.23</v>
      </c>
      <c r="F4" s="14" t="n">
        <v>1491.37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9664</v>
      </c>
      <c r="D5" s="14" t="n">
        <v>9298.969999999999</v>
      </c>
      <c r="E5" s="14" t="n">
        <v>9043.950000000001</v>
      </c>
      <c r="F5" s="14" t="n">
        <v>7751.74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DRREDDY</t>
        </is>
      </c>
      <c r="C6" s="14" t="n">
        <v>1345</v>
      </c>
      <c r="D6" s="14" t="n">
        <v>1254.17</v>
      </c>
      <c r="E6" s="14" t="n">
        <v>1224.81</v>
      </c>
      <c r="F6" s="14" t="n">
        <v>1232.23</v>
      </c>
      <c r="G6" s="15">
        <f>HYPERLINK("https://www.tradingview.com/chart/?symbol=NSE:DRREDDY","Chart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3074.5</v>
      </c>
      <c r="D7" s="14" t="n">
        <v>2975.64</v>
      </c>
      <c r="E7" s="14" t="n">
        <v>2895.33</v>
      </c>
      <c r="F7" s="14" t="n">
        <v>2428.76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GLENMARK</t>
        </is>
      </c>
      <c r="C8" s="14" t="n">
        <v>2339</v>
      </c>
      <c r="D8" s="14" t="n">
        <v>2276.53</v>
      </c>
      <c r="E8" s="14" t="n">
        <v>2306.72</v>
      </c>
      <c r="F8" s="14" t="n">
        <v>2217.46</v>
      </c>
      <c r="G8" s="15">
        <f>HYPERLINK("https://www.tradingview.com/chart/?symbol=NSE:GLENMARK","Chart 📈")</f>
        <v/>
      </c>
    </row>
    <row r="9" ht="16" customHeight="1">
      <c r="A9" s="16" t="inlineStr">
        <is>
          <t>NIFTY PHARMA</t>
        </is>
      </c>
      <c r="B9" s="13" t="inlineStr">
        <is>
          <t>GRANULES</t>
        </is>
      </c>
      <c r="C9" s="14" t="n">
        <v>837.35</v>
      </c>
      <c r="D9" s="14" t="n">
        <v>826.84</v>
      </c>
      <c r="E9" s="14" t="n">
        <v>833.9400000000001</v>
      </c>
      <c r="F9" s="14" t="n">
        <v>760.01</v>
      </c>
      <c r="G9" s="15">
        <f>HYPERLINK("https://www.tradingview.com/chart/?symbol=NSE:GRANULES","Chart 📈")</f>
        <v/>
      </c>
    </row>
    <row r="10" ht="16" customHeight="1">
      <c r="A10" s="16" t="inlineStr">
        <is>
          <t>NIFTY PHARMA</t>
        </is>
      </c>
      <c r="B10" s="13" t="inlineStr">
        <is>
          <t>IPCALAB</t>
        </is>
      </c>
      <c r="C10" s="14" t="n">
        <v>1926.2</v>
      </c>
      <c r="D10" s="14" t="n">
        <v>1925.47</v>
      </c>
      <c r="E10" s="14" t="n">
        <v>1905.21</v>
      </c>
      <c r="F10" s="14" t="n">
        <v>1708.47</v>
      </c>
      <c r="G10" s="15">
        <f>HYPERLINK("https://www.tradingview.com/chart/?symbol=NSE:IPCALAB","Chart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2244</v>
      </c>
      <c r="D11" s="14" t="n">
        <v>2060.45</v>
      </c>
      <c r="E11" s="14" t="n">
        <v>1962.09</v>
      </c>
      <c r="F11" s="14" t="n">
        <v>1562.9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MANKIND</t>
        </is>
      </c>
      <c r="C12" s="14" t="n">
        <v>2469.3</v>
      </c>
      <c r="D12" s="14" t="n">
        <v>2382</v>
      </c>
      <c r="E12" s="14" t="n">
        <v>2392.31</v>
      </c>
      <c r="F12" s="14" t="n">
        <v>2365.05</v>
      </c>
      <c r="G12" s="15">
        <f>HYPERLINK("https://www.tradingview.com/chart/?symbol=NSE:MANKIND","Chart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1184.4</v>
      </c>
      <c r="D13" s="14" t="n">
        <v>1148.99</v>
      </c>
      <c r="E13" s="14" t="n">
        <v>1141.91</v>
      </c>
      <c r="F13" s="14" t="n">
        <v>1069.72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MIDSMALL IT &amp; TELECOM</t>
        </is>
      </c>
      <c r="B14" s="17" t="inlineStr">
        <is>
          <t>BSOFT</t>
        </is>
      </c>
      <c r="C14" s="18" t="n">
        <v>342.5</v>
      </c>
      <c r="D14" s="18" t="n">
        <v>303.02</v>
      </c>
      <c r="E14" s="18" t="n">
        <v>296.87</v>
      </c>
      <c r="F14" s="18" t="n">
        <v>322.85</v>
      </c>
      <c r="G14" s="19">
        <f>HYPERLINK("https://www.tradingview.com/chart/?symbol=NSE:BSOFT","Chart 📈")</f>
        <v/>
      </c>
    </row>
    <row r="15" ht="16" customHeight="1">
      <c r="A15" s="20" t="inlineStr">
        <is>
          <t>NIFTY MIDSMALL IT &amp; TELECOM</t>
        </is>
      </c>
      <c r="B15" s="17" t="inlineStr">
        <is>
          <t>COFORGE</t>
        </is>
      </c>
      <c r="C15" s="18" t="n">
        <v>1962</v>
      </c>
      <c r="D15" s="18" t="n">
        <v>1912.44</v>
      </c>
      <c r="E15" s="18" t="n">
        <v>1847.56</v>
      </c>
      <c r="F15" s="18" t="n">
        <v>1667.21</v>
      </c>
      <c r="G15" s="19">
        <f>HYPERLINK("https://www.tradingview.com/chart/?symbol=NSE:COFORGE","Chart 📈")</f>
        <v/>
      </c>
    </row>
    <row r="16" ht="16" customHeight="1">
      <c r="A16" s="20" t="inlineStr">
        <is>
          <t>NIFTY MIDSMALL IT &amp; TELECOM</t>
        </is>
      </c>
      <c r="B16" s="17" t="inlineStr">
        <is>
          <t>LTTS</t>
        </is>
      </c>
      <c r="C16" s="18" t="n">
        <v>4182.6</v>
      </c>
      <c r="D16" s="18" t="n">
        <v>3728.3</v>
      </c>
      <c r="E16" s="18" t="n">
        <v>3545.74</v>
      </c>
      <c r="F16" s="18" t="n">
        <v>3553.57</v>
      </c>
      <c r="G16" s="19">
        <f>HYPERLINK("https://www.tradingview.com/chart/?symbol=NSE:LTTS","Chart 📈")</f>
        <v/>
      </c>
    </row>
    <row r="17" ht="16" customHeight="1">
      <c r="A17" s="20" t="inlineStr">
        <is>
          <t>NIFTY MIDSMALL IT &amp; TELECOM</t>
        </is>
      </c>
      <c r="B17" s="17" t="inlineStr">
        <is>
          <t>MPHASIS</t>
        </is>
      </c>
      <c r="C17" s="18" t="n">
        <v>2561.3</v>
      </c>
      <c r="D17" s="18" t="n">
        <v>2458.34</v>
      </c>
      <c r="E17" s="18" t="n">
        <v>2399.85</v>
      </c>
      <c r="F17" s="18" t="n">
        <v>2402.18</v>
      </c>
      <c r="G17" s="19">
        <f>HYPERLINK("https://www.tradingview.com/chart/?symbol=NSE:MPHASIS","Chart 📈")</f>
        <v/>
      </c>
    </row>
    <row r="18" ht="16" customHeight="1">
      <c r="A18" s="20" t="inlineStr">
        <is>
          <t>NIFTY MIDSMALL IT &amp; TELECOM</t>
        </is>
      </c>
      <c r="B18" s="17" t="inlineStr">
        <is>
          <t>PERSISTENT</t>
        </is>
      </c>
      <c r="C18" s="18" t="n">
        <v>5880</v>
      </c>
      <c r="D18" s="18" t="n">
        <v>5724.46</v>
      </c>
      <c r="E18" s="18" t="n">
        <v>5585.59</v>
      </c>
      <c r="F18" s="18" t="n">
        <v>5444.86</v>
      </c>
      <c r="G18" s="19">
        <f>HYPERLINK("https://www.tradingview.com/chart/?symbol=NSE:PERSISTENT","Chart 📈")</f>
        <v/>
      </c>
    </row>
    <row r="19" ht="16" customHeight="1">
      <c r="A19" s="20" t="inlineStr">
        <is>
          <t>NIFTY MIDSMALL IT &amp; TELECOM</t>
        </is>
      </c>
      <c r="B19" s="17" t="inlineStr">
        <is>
          <t>TANLA</t>
        </is>
      </c>
      <c r="C19" s="18" t="n">
        <v>618.4</v>
      </c>
      <c r="D19" s="18" t="n">
        <v>552.67</v>
      </c>
      <c r="E19" s="18" t="n">
        <v>539.0700000000001</v>
      </c>
      <c r="F19" s="18" t="n">
        <v>535.12</v>
      </c>
      <c r="G19" s="19">
        <f>HYPERLINK("https://www.tradingview.com/chart/?symbol=NSE:TANLA","Chart 📈")</f>
        <v/>
      </c>
    </row>
    <row r="20" ht="16" customHeight="1">
      <c r="A20" s="20" t="inlineStr">
        <is>
          <t>NIFTY MIDSMALL IT &amp; TELECOM</t>
        </is>
      </c>
      <c r="B20" s="17" t="inlineStr">
        <is>
          <t>ZENSARTECH</t>
        </is>
      </c>
      <c r="C20" s="18" t="n">
        <v>537.3</v>
      </c>
      <c r="D20" s="18" t="n">
        <v>487.49</v>
      </c>
      <c r="E20" s="18" t="n">
        <v>474.82</v>
      </c>
      <c r="F20" s="18" t="n">
        <v>526.67</v>
      </c>
      <c r="G20" s="19">
        <f>HYPERLINK("https://www.tradingview.com/chart/?symbol=NSE:ZENSARTECH","Chart 📈")</f>
        <v/>
      </c>
    </row>
    <row r="21" ht="16" customHeight="1">
      <c r="A21" s="12" t="inlineStr">
        <is>
          <t>NIFTY MEDIA</t>
        </is>
      </c>
      <c r="B21" s="13" t="inlineStr">
        <is>
          <t>NAZARA</t>
        </is>
      </c>
      <c r="C21" s="14" t="n">
        <v>405.4</v>
      </c>
      <c r="D21" s="14" t="n">
        <v>394.88</v>
      </c>
      <c r="E21" s="14" t="n">
        <v>377.1</v>
      </c>
      <c r="F21" s="14" t="n">
        <v>321.94</v>
      </c>
      <c r="G21" s="15">
        <f>HYPERLINK("https://www.tradingview.com/chart/?symbol=NSE:NAZARA","Chart 📈")</f>
        <v/>
      </c>
    </row>
    <row r="22" ht="16" customHeight="1">
      <c r="A22" s="16" t="inlineStr">
        <is>
          <t>NIFTY MEDIA</t>
        </is>
      </c>
      <c r="B22" s="13" t="inlineStr">
        <is>
          <t>PVRINOX</t>
        </is>
      </c>
      <c r="C22" s="14" t="n">
        <v>1490.3</v>
      </c>
      <c r="D22" s="14" t="n">
        <v>1381.57</v>
      </c>
      <c r="E22" s="14" t="n">
        <v>1297.03</v>
      </c>
      <c r="F22" s="14" t="n">
        <v>1153.35</v>
      </c>
      <c r="G22" s="15">
        <f>HYPERLINK("https://www.tradingview.com/chart/?symbol=NSE:PVRINOX","Chart 📈")</f>
        <v/>
      </c>
    </row>
    <row r="23" ht="16" customHeight="1">
      <c r="A23" s="16" t="inlineStr">
        <is>
          <t>NIFTY MEDIA</t>
        </is>
      </c>
      <c r="B23" s="13" t="inlineStr">
        <is>
          <t>SAREGAMA</t>
        </is>
      </c>
      <c r="C23" s="14" t="n">
        <v>536</v>
      </c>
      <c r="D23" s="14" t="n">
        <v>505.31</v>
      </c>
      <c r="E23" s="14" t="n">
        <v>499.85</v>
      </c>
      <c r="F23" s="14" t="n">
        <v>456.35</v>
      </c>
      <c r="G23" s="15">
        <f>HYPERLINK("https://www.tradingview.com/chart/?symbol=NSE:SAREGAMA","Chart 📈")</f>
        <v/>
      </c>
    </row>
    <row r="24" ht="16" customHeight="1">
      <c r="A24" s="16" t="inlineStr">
        <is>
          <t>NIFTY MEDIA</t>
        </is>
      </c>
      <c r="B24" s="13" t="inlineStr">
        <is>
          <t>SUNTV</t>
        </is>
      </c>
      <c r="C24" s="14" t="n">
        <v>619.9</v>
      </c>
      <c r="D24" s="14" t="n">
        <v>601.9</v>
      </c>
      <c r="E24" s="14" t="n">
        <v>560.25</v>
      </c>
      <c r="F24" s="14" t="n">
        <v>538.61</v>
      </c>
      <c r="G24" s="15">
        <f>HYPERLINK("https://www.tradingview.com/chart/?symbol=NSE:SUNTV","Chart 📈")</f>
        <v/>
      </c>
    </row>
    <row r="25" ht="16" customHeight="1">
      <c r="A25" s="16" t="inlineStr">
        <is>
          <t>NIFTY MEDIA</t>
        </is>
      </c>
      <c r="B25" s="13" t="inlineStr">
        <is>
          <t>TIPSMUSIC</t>
        </is>
      </c>
      <c r="C25" s="14" t="n">
        <v>791.35</v>
      </c>
      <c r="D25" s="14" t="n">
        <v>713.98</v>
      </c>
      <c r="E25" s="14" t="n">
        <v>683.03</v>
      </c>
      <c r="F25" s="14" t="n">
        <v>627.3099999999999</v>
      </c>
      <c r="G25" s="15">
        <f>HYPERLINK("https://www.tradingview.com/chart/?symbol=NSE:TIPSMUSIC","Chart 📈")</f>
        <v/>
      </c>
    </row>
    <row r="26" ht="16" customHeight="1">
      <c r="A26" s="8" t="inlineStr">
        <is>
          <t>NIFTY PSU BANK</t>
        </is>
      </c>
      <c r="B26" s="17" t="inlineStr">
        <is>
          <t>INDIANB</t>
        </is>
      </c>
      <c r="C26" s="18" t="n">
        <v>864.1</v>
      </c>
      <c r="D26" s="18" t="n">
        <v>840.78</v>
      </c>
      <c r="E26" s="18" t="n">
        <v>842.88</v>
      </c>
      <c r="F26" s="18" t="n">
        <v>846.8099999999999</v>
      </c>
      <c r="G26" s="19">
        <f>HYPERLINK("https://www.tradingview.com/chart/?symbol=NSE:INDIANB","Chart 📈")</f>
        <v/>
      </c>
    </row>
    <row r="27" ht="16" customHeight="1">
      <c r="A27" s="20" t="inlineStr">
        <is>
          <t>NIFTY PSU BANK</t>
        </is>
      </c>
      <c r="B27" s="17" t="inlineStr">
        <is>
          <t>PNB</t>
        </is>
      </c>
      <c r="C27" s="18" t="n">
        <v>123.9</v>
      </c>
      <c r="D27" s="18" t="n">
        <v>118.89</v>
      </c>
      <c r="E27" s="18" t="n">
        <v>116.54</v>
      </c>
      <c r="F27" s="18" t="n">
        <v>113.66</v>
      </c>
      <c r="G27" s="19">
        <f>HYPERLINK("https://www.tradingview.com/chart/?symbol=NSE:PNB","Chart 📈")</f>
        <v/>
      </c>
    </row>
    <row r="28" ht="16" customHeight="1">
      <c r="A28" s="20" t="inlineStr">
        <is>
          <t>NIFTY PSU BANK</t>
        </is>
      </c>
      <c r="B28" s="17" t="inlineStr">
        <is>
          <t>UNIONBANK</t>
        </is>
      </c>
      <c r="C28" s="18" t="n">
        <v>186.5</v>
      </c>
      <c r="D28" s="18" t="n">
        <v>178.71</v>
      </c>
      <c r="E28" s="18" t="n">
        <v>177.53</v>
      </c>
      <c r="F28" s="18" t="n">
        <v>170.48</v>
      </c>
      <c r="G28" s="19">
        <f>HYPERLINK("https://www.tradingview.com/chart/?symbol=NSE:UNIONBANK","Chart 📈")</f>
        <v/>
      </c>
    </row>
    <row r="29" ht="16" customHeight="1">
      <c r="A29" s="12" t="inlineStr">
        <is>
          <t>NIFTY IT</t>
        </is>
      </c>
      <c r="B29" s="13" t="inlineStr">
        <is>
          <t>HCLTECH</t>
        </is>
      </c>
      <c r="C29" s="14" t="n">
        <v>1403.9</v>
      </c>
      <c r="D29" s="14" t="n">
        <v>1344.1</v>
      </c>
      <c r="E29" s="14" t="n">
        <v>1298</v>
      </c>
      <c r="F29" s="14" t="n">
        <v>1305.88</v>
      </c>
      <c r="G29" s="15">
        <f>HYPERLINK("https://www.tradingview.com/chart/?symbol=NSE:HCLTECH","Chart 📈")</f>
        <v/>
      </c>
    </row>
    <row r="30" ht="16" customHeight="1">
      <c r="A30" s="16" t="inlineStr">
        <is>
          <t>NIFTY IT</t>
        </is>
      </c>
      <c r="B30" s="13" t="inlineStr">
        <is>
          <t>TCS</t>
        </is>
      </c>
      <c r="C30" s="14" t="n">
        <v>2478</v>
      </c>
      <c r="D30" s="14" t="n">
        <v>2362.14</v>
      </c>
      <c r="E30" s="14" t="n">
        <v>2285.65</v>
      </c>
      <c r="F30" s="14" t="n">
        <v>2400.74</v>
      </c>
      <c r="G30" s="15">
        <f>HYPERLINK("https://www.tradingview.com/chart/?symbol=NSE:TCS","Chart 📈")</f>
        <v/>
      </c>
    </row>
    <row r="31" ht="16" customHeight="1">
      <c r="A31" s="16" t="inlineStr">
        <is>
          <t>NIFTY IT</t>
        </is>
      </c>
      <c r="B31" s="13" t="inlineStr">
        <is>
          <t>TECHM</t>
        </is>
      </c>
      <c r="C31" s="14" t="n">
        <v>1769.6</v>
      </c>
      <c r="D31" s="14" t="n">
        <v>1685.37</v>
      </c>
      <c r="E31" s="14" t="n">
        <v>1613.09</v>
      </c>
      <c r="F31" s="14" t="n">
        <v>1514.05</v>
      </c>
      <c r="G31" s="15">
        <f>HYPERLINK("https://www.tradingview.com/chart/?symbol=NSE:TECHM","Chart 📈")</f>
        <v/>
      </c>
    </row>
    <row r="32" ht="16" customHeight="1">
      <c r="A32" s="8" t="inlineStr">
        <is>
          <t>NIFTY REALTY</t>
        </is>
      </c>
      <c r="B32" s="17" t="inlineStr">
        <is>
          <t>DLF</t>
        </is>
      </c>
      <c r="C32" s="18" t="n">
        <v>694.35</v>
      </c>
      <c r="D32" s="18" t="n">
        <v>666.64</v>
      </c>
      <c r="E32" s="18" t="n">
        <v>661.55</v>
      </c>
      <c r="F32" s="18" t="n">
        <v>651.54</v>
      </c>
      <c r="G32" s="19">
        <f>HYPERLINK("https://www.tradingview.com/chart/?symbol=NSE:DLF","Chart 📈")</f>
        <v/>
      </c>
    </row>
    <row r="33" ht="16" customHeight="1">
      <c r="A33" s="20" t="inlineStr">
        <is>
          <t>NIFTY REALTY</t>
        </is>
      </c>
      <c r="B33" s="17" t="inlineStr">
        <is>
          <t>PHOENIXLTD</t>
        </is>
      </c>
      <c r="C33" s="18" t="n">
        <v>1969.9</v>
      </c>
      <c r="D33" s="18" t="n">
        <v>1899.97</v>
      </c>
      <c r="E33" s="18" t="n">
        <v>1904.54</v>
      </c>
      <c r="F33" s="18" t="n">
        <v>1849.81</v>
      </c>
      <c r="G33" s="19">
        <f>HYPERLINK("https://www.tradingview.com/chart/?symbol=NSE:PHOENIXLTD","Chart 📈")</f>
        <v/>
      </c>
    </row>
    <row r="34" ht="16" customHeight="1">
      <c r="A34" s="20" t="inlineStr">
        <is>
          <t>NIFTY REALTY</t>
        </is>
      </c>
      <c r="B34" s="17" t="inlineStr">
        <is>
          <t>RAYMOND</t>
        </is>
      </c>
      <c r="C34" s="18" t="n">
        <v>1101.9</v>
      </c>
      <c r="D34" s="18" t="n">
        <v>1101.26</v>
      </c>
      <c r="E34" s="18" t="n">
        <v>994.3099999999999</v>
      </c>
      <c r="F34" s="18" t="n">
        <v>710.12</v>
      </c>
      <c r="G34" s="19">
        <f>HYPERLINK("https://www.tradingview.com/chart/?symbol=NSE:RAYMOND","Chart 📈")</f>
        <v/>
      </c>
    </row>
    <row r="35" ht="16" customHeight="1">
      <c r="A35" s="12" t="inlineStr">
        <is>
          <t>NIFTY AUTO</t>
        </is>
      </c>
      <c r="B35" s="13" t="inlineStr">
        <is>
          <t>BOSCHLTD</t>
        </is>
      </c>
      <c r="C35" s="14" t="n">
        <v>47565</v>
      </c>
      <c r="D35" s="14" t="n">
        <v>45667.96</v>
      </c>
      <c r="E35" s="14" t="n">
        <v>45532.19</v>
      </c>
      <c r="F35" s="14" t="n">
        <v>41459.24</v>
      </c>
      <c r="G35" s="15">
        <f>HYPERLINK("https://www.tradingview.com/chart/?symbol=NSE:BOSCHLTD","Chart 📈")</f>
        <v/>
      </c>
    </row>
    <row r="36" ht="16" customHeight="1">
      <c r="A36" s="16" t="inlineStr">
        <is>
          <t>NIFTY AUTO</t>
        </is>
      </c>
      <c r="B36" s="13" t="inlineStr">
        <is>
          <t>MOTHERSON</t>
        </is>
      </c>
      <c r="C36" s="14" t="n">
        <v>160</v>
      </c>
      <c r="D36" s="14" t="n">
        <v>158.21</v>
      </c>
      <c r="E36" s="14" t="n">
        <v>158.4</v>
      </c>
      <c r="F36" s="14" t="n">
        <v>143.03</v>
      </c>
      <c r="G36" s="15">
        <f>HYPERLINK("https://www.tradingview.com/chart/?symbol=NSE:MOTHERSON","Chart 📈")</f>
        <v/>
      </c>
    </row>
    <row r="37" ht="16" customHeight="1">
      <c r="A37" s="16" t="inlineStr">
        <is>
          <t>NIFTY AUTO</t>
        </is>
      </c>
      <c r="B37" s="13" t="inlineStr">
        <is>
          <t>TVSMOTOR</t>
        </is>
      </c>
      <c r="C37" s="14" t="n">
        <v>4280</v>
      </c>
      <c r="D37" s="14" t="n">
        <v>4069.8</v>
      </c>
      <c r="E37" s="14" t="n">
        <v>4066.3</v>
      </c>
      <c r="F37" s="14" t="n">
        <v>3849.09</v>
      </c>
      <c r="G37" s="15">
        <f>HYPERLINK("https://www.tradingview.com/chart/?symbol=NSE:TVSMOTOR","Chart 📈")</f>
        <v/>
      </c>
    </row>
    <row r="38" ht="16" customHeight="1">
      <c r="A38" s="8" t="inlineStr">
        <is>
          <t>NIFTY METAL</t>
        </is>
      </c>
      <c r="B38" s="17" t="inlineStr">
        <is>
          <t>APLAPOLLO</t>
        </is>
      </c>
      <c r="C38" s="18" t="n">
        <v>2195</v>
      </c>
      <c r="D38" s="18" t="n">
        <v>2137.89</v>
      </c>
      <c r="E38" s="18" t="n">
        <v>2114.26</v>
      </c>
      <c r="F38" s="18" t="n">
        <v>1995.9</v>
      </c>
      <c r="G38" s="19">
        <f>HYPERLINK("https://www.tradingview.com/chart/?symbol=NSE:APLAPOLLO","Chart 📈")</f>
        <v/>
      </c>
    </row>
    <row r="39" ht="16" customHeight="1">
      <c r="A39" s="20" t="inlineStr">
        <is>
          <t>NIFTY METAL</t>
        </is>
      </c>
      <c r="B39" s="17" t="inlineStr">
        <is>
          <t>JSWSTEEL</t>
        </is>
      </c>
      <c r="C39" s="18" t="n">
        <v>1255.4</v>
      </c>
      <c r="D39" s="18" t="n">
        <v>1231.93</v>
      </c>
      <c r="E39" s="18" t="n">
        <v>1247.22</v>
      </c>
      <c r="F39" s="18" t="n">
        <v>1240.51</v>
      </c>
      <c r="G39" s="19">
        <f>HYPERLINK("https://www.tradingview.com/chart/?symbol=NSE:JSWSTEEL","Chart 📈")</f>
        <v/>
      </c>
    </row>
    <row r="40" ht="16" customHeight="1">
      <c r="A40" s="12" t="inlineStr">
        <is>
          <t>NIFTY FMCG</t>
        </is>
      </c>
      <c r="B40" s="13" t="inlineStr">
        <is>
          <t>MARICO</t>
        </is>
      </c>
      <c r="C40" s="14" t="n">
        <v>802.9</v>
      </c>
      <c r="D40" s="14" t="n">
        <v>786.2</v>
      </c>
      <c r="E40" s="14" t="n">
        <v>802.35</v>
      </c>
      <c r="F40" s="14" t="n">
        <v>797.16</v>
      </c>
      <c r="G40" s="15">
        <f>HYPERLINK("https://www.tradingview.com/chart/?symbol=NSE:MARICO","Chart 📈")</f>
        <v/>
      </c>
    </row>
    <row r="41" ht="16" customHeight="1">
      <c r="A41" s="8" t="inlineStr">
        <is>
          <t>NIFTY CONSUMER DURABLES</t>
        </is>
      </c>
      <c r="B41" s="17" t="inlineStr">
        <is>
          <t>BLUESTARCO</t>
        </is>
      </c>
      <c r="C41" s="18" t="n">
        <v>1673</v>
      </c>
      <c r="D41" s="18" t="n">
        <v>1560.55</v>
      </c>
      <c r="E41" s="18" t="n">
        <v>1554.33</v>
      </c>
      <c r="F41" s="18" t="n">
        <v>1652.69</v>
      </c>
      <c r="G41" s="19">
        <f>HYPERLINK("https://www.tradingview.com/chart/?symbol=NSE:BLUESTARCO","Chart 📈")</f>
        <v/>
      </c>
    </row>
    <row r="42" ht="16" customHeight="1">
      <c r="A42" s="12" t="inlineStr">
        <is>
          <t>NIFTY FINANCIAL SERVICES</t>
        </is>
      </c>
      <c r="B42" s="13" t="inlineStr">
        <is>
          <t>ICICIBANK</t>
        </is>
      </c>
      <c r="C42" s="14" t="n">
        <v>1386.6</v>
      </c>
      <c r="D42" s="14" t="n">
        <v>1374.28</v>
      </c>
      <c r="E42" s="14" t="n">
        <v>1374.05</v>
      </c>
      <c r="F42" s="14" t="n">
        <v>1359.37</v>
      </c>
      <c r="G42" s="15">
        <f>HYPERLINK("https://www.tradingview.com/chart/?symbol=NSE:ICICIBANK","Chart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KOTAKBANK</t>
        </is>
      </c>
      <c r="C43" s="14" t="n">
        <v>459</v>
      </c>
      <c r="D43" s="14" t="n">
        <v>436.54</v>
      </c>
      <c r="E43" s="14" t="n">
        <v>423.72</v>
      </c>
      <c r="F43" s="14" t="n">
        <v>408.44</v>
      </c>
      <c r="G43" s="15">
        <f>HYPERLINK("https://www.tradingview.com/chart/?symbol=NSE:KOTAKBANK","Chart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MCX</t>
        </is>
      </c>
      <c r="C44" s="14" t="n">
        <v>3231</v>
      </c>
      <c r="D44" s="14" t="n">
        <v>3199.53</v>
      </c>
      <c r="E44" s="14" t="n">
        <v>3172.46</v>
      </c>
      <c r="F44" s="14" t="n">
        <v>2835.14</v>
      </c>
      <c r="G44" s="15">
        <f>HYPERLINK("https://www.tradingview.com/chart/?symbol=NSE:MCX","Chart 📈")</f>
        <v/>
      </c>
    </row>
    <row r="45" ht="16" customHeight="1">
      <c r="A45" s="8" t="inlineStr">
        <is>
          <t>NIFTY ENERGY</t>
        </is>
      </c>
      <c r="B45" s="17" t="inlineStr">
        <is>
          <t>ADANIGREEN</t>
        </is>
      </c>
      <c r="C45" s="18" t="n">
        <v>1307</v>
      </c>
      <c r="D45" s="18" t="n">
        <v>1276.97</v>
      </c>
      <c r="E45" s="18" t="n">
        <v>1298.27</v>
      </c>
      <c r="F45" s="18" t="n">
        <v>1259.71</v>
      </c>
      <c r="G45" s="19">
        <f>HYPERLINK("https://www.tradingview.com/chart/?symbol=NSE:ADANIGREEN","Chart 📈")</f>
        <v/>
      </c>
    </row>
    <row r="46" ht="16" customHeight="1">
      <c r="A46" s="20" t="inlineStr">
        <is>
          <t>NIFTY ENERGY</t>
        </is>
      </c>
      <c r="B46" s="17" t="inlineStr">
        <is>
          <t>NHPC</t>
        </is>
      </c>
      <c r="C46" s="18" t="n">
        <v>77.2</v>
      </c>
      <c r="D46" s="18" t="n">
        <v>73.28</v>
      </c>
      <c r="E46" s="18" t="n">
        <v>74.44</v>
      </c>
      <c r="F46" s="18" t="n">
        <v>77.09999999999999</v>
      </c>
      <c r="G46" s="19">
        <f>HYPERLINK("https://www.tradingview.com/chart/?symbol=NSE:NHPC","Chart 📈")</f>
        <v/>
      </c>
    </row>
    <row r="47" ht="16" customHeight="1">
      <c r="A47" s="12" t="inlineStr">
        <is>
          <t>NIFTY BANK</t>
        </is>
      </c>
      <c r="B47" s="13" t="inlineStr">
        <is>
          <t>FEDERALBNK</t>
        </is>
      </c>
      <c r="C47" s="14" t="n">
        <v>347.75</v>
      </c>
      <c r="D47" s="14" t="n">
        <v>338.54</v>
      </c>
      <c r="E47" s="14" t="n">
        <v>337.19</v>
      </c>
      <c r="F47" s="14" t="n">
        <v>312.52</v>
      </c>
      <c r="G47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2026-10-29T17:29:59Z</dcterms:created>
  <dcterms:modified xmlns:dcterms="http://purl.org/dc/terms/" xmlns:xsi="http://www.w3.org/2001/XMLSchema-instance" xsi:type="dcterms:W3CDTF">2026-10-29T17:29:59Z</dcterms:modified>
</cp:coreProperties>
</file>