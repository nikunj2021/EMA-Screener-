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04-Jun-2026  14:08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8</v>
      </c>
      <c r="D4" s="5" t="n">
        <v>12</v>
      </c>
      <c r="E4" s="5" t="n">
        <v>16</v>
      </c>
      <c r="F4" s="6" t="n">
        <v>0.4</v>
      </c>
      <c r="G4" s="6" t="n">
        <v>0.6</v>
      </c>
      <c r="H4" s="6" t="n">
        <v>0.8</v>
      </c>
      <c r="I4" s="7" t="n">
        <v>0.6</v>
      </c>
    </row>
    <row r="5" ht="17" customHeight="1">
      <c r="A5" s="8" t="inlineStr">
        <is>
          <t>NIFTY METAL</t>
        </is>
      </c>
      <c r="B5" s="9" t="n">
        <v>15</v>
      </c>
      <c r="C5" s="9" t="n">
        <v>6</v>
      </c>
      <c r="D5" s="9" t="n">
        <v>9</v>
      </c>
      <c r="E5" s="9" t="n">
        <v>12</v>
      </c>
      <c r="F5" s="10" t="n">
        <v>0.4</v>
      </c>
      <c r="G5" s="10" t="n">
        <v>0.6</v>
      </c>
      <c r="H5" s="10" t="n">
        <v>0.8</v>
      </c>
      <c r="I5" s="11" t="n">
        <v>0.6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14</v>
      </c>
      <c r="D6" s="5" t="n">
        <v>14</v>
      </c>
      <c r="E6" s="5" t="n">
        <v>7</v>
      </c>
      <c r="F6" s="6" t="n">
        <v>0.7</v>
      </c>
      <c r="G6" s="6" t="n">
        <v>0.7</v>
      </c>
      <c r="H6" s="6" t="n">
        <v>0.35</v>
      </c>
      <c r="I6" s="7" t="n">
        <v>0.5832999999999999</v>
      </c>
    </row>
    <row r="7" ht="17" customHeight="1">
      <c r="A7" s="8" t="inlineStr">
        <is>
          <t>NIFTY OIL &amp; GAS</t>
        </is>
      </c>
      <c r="B7" s="9" t="n">
        <v>15</v>
      </c>
      <c r="C7" s="9" t="n">
        <v>8</v>
      </c>
      <c r="D7" s="9" t="n">
        <v>8</v>
      </c>
      <c r="E7" s="9" t="n">
        <v>6</v>
      </c>
      <c r="F7" s="10" t="n">
        <v>0.5329999999999999</v>
      </c>
      <c r="G7" s="10" t="n">
        <v>0.5329999999999999</v>
      </c>
      <c r="H7" s="10" t="n">
        <v>0.4</v>
      </c>
      <c r="I7" s="11" t="n">
        <v>0.4887</v>
      </c>
    </row>
    <row r="8" ht="17" customHeight="1">
      <c r="A8" s="4" t="inlineStr">
        <is>
          <t>NIFTY AUTO</t>
        </is>
      </c>
      <c r="B8" s="5" t="n">
        <v>15</v>
      </c>
      <c r="C8" s="5" t="n">
        <v>8</v>
      </c>
      <c r="D8" s="5" t="n">
        <v>6</v>
      </c>
      <c r="E8" s="5" t="n">
        <v>6</v>
      </c>
      <c r="F8" s="6" t="n">
        <v>0.5329999999999999</v>
      </c>
      <c r="G8" s="6" t="n">
        <v>0.4</v>
      </c>
      <c r="H8" s="6" t="n">
        <v>0.4</v>
      </c>
      <c r="I8" s="7" t="n">
        <v>0.4443</v>
      </c>
    </row>
    <row r="9" ht="17" customHeight="1">
      <c r="A9" s="8" t="inlineStr">
        <is>
          <t>NIFTY PSU BANK</t>
        </is>
      </c>
      <c r="B9" s="9" t="n">
        <v>12</v>
      </c>
      <c r="C9" s="9" t="n">
        <v>8</v>
      </c>
      <c r="D9" s="9" t="n">
        <v>2</v>
      </c>
      <c r="E9" s="9" t="n">
        <v>5</v>
      </c>
      <c r="F9" s="10" t="n">
        <v>0.667</v>
      </c>
      <c r="G9" s="10" t="n">
        <v>0.167</v>
      </c>
      <c r="H9" s="10" t="n">
        <v>0.417</v>
      </c>
      <c r="I9" s="11" t="n">
        <v>0.417</v>
      </c>
    </row>
    <row r="10" ht="17" customHeight="1">
      <c r="A10" s="4" t="inlineStr">
        <is>
          <t>NIFTY ENERGY</t>
        </is>
      </c>
      <c r="B10" s="5" t="n">
        <v>40</v>
      </c>
      <c r="C10" s="5" t="n">
        <v>12</v>
      </c>
      <c r="D10" s="5" t="n">
        <v>17</v>
      </c>
      <c r="E10" s="5" t="n">
        <v>21</v>
      </c>
      <c r="F10" s="6" t="n">
        <v>0.3</v>
      </c>
      <c r="G10" s="6" t="n">
        <v>0.425</v>
      </c>
      <c r="H10" s="6" t="n">
        <v>0.525</v>
      </c>
      <c r="I10" s="7" t="n">
        <v>0.4167</v>
      </c>
    </row>
    <row r="11" ht="17" customHeight="1">
      <c r="A11" s="8" t="inlineStr">
        <is>
          <t>NIFTY FMCG</t>
        </is>
      </c>
      <c r="B11" s="9" t="n">
        <v>15</v>
      </c>
      <c r="C11" s="9" t="n">
        <v>3</v>
      </c>
      <c r="D11" s="9" t="n">
        <v>5</v>
      </c>
      <c r="E11" s="9" t="n">
        <v>6</v>
      </c>
      <c r="F11" s="10" t="n">
        <v>0.2</v>
      </c>
      <c r="G11" s="10" t="n">
        <v>0.333</v>
      </c>
      <c r="H11" s="10" t="n">
        <v>0.4</v>
      </c>
      <c r="I11" s="11" t="n">
        <v>0.311</v>
      </c>
    </row>
    <row r="12" ht="17" customHeight="1">
      <c r="A12" s="4" t="inlineStr">
        <is>
          <t>NIFTY MEDIA</t>
        </is>
      </c>
      <c r="B12" s="5" t="n">
        <v>10</v>
      </c>
      <c r="C12" s="5" t="n">
        <v>3</v>
      </c>
      <c r="D12" s="5" t="n">
        <v>3</v>
      </c>
      <c r="E12" s="5" t="n">
        <v>3</v>
      </c>
      <c r="F12" s="6" t="n">
        <v>0.3</v>
      </c>
      <c r="G12" s="6" t="n">
        <v>0.3</v>
      </c>
      <c r="H12" s="6" t="n">
        <v>0.3</v>
      </c>
      <c r="I12" s="7" t="n">
        <v>0.3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4</v>
      </c>
      <c r="D13" s="9" t="n">
        <v>6</v>
      </c>
      <c r="E13" s="9" t="n">
        <v>3</v>
      </c>
      <c r="F13" s="10" t="n">
        <v>0.267</v>
      </c>
      <c r="G13" s="10" t="n">
        <v>0.4</v>
      </c>
      <c r="H13" s="10" t="n">
        <v>0.2</v>
      </c>
      <c r="I13" s="11" t="n">
        <v>0.289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3</v>
      </c>
      <c r="E14" s="5" t="n">
        <v>3</v>
      </c>
      <c r="F14" s="6" t="n">
        <v>0.167</v>
      </c>
      <c r="G14" s="6" t="n">
        <v>0.25</v>
      </c>
      <c r="H14" s="6" t="n">
        <v>0.25</v>
      </c>
      <c r="I14" s="7" t="n">
        <v>0.2223</v>
      </c>
    </row>
    <row r="15" ht="17" customHeight="1">
      <c r="A15" s="8" t="inlineStr">
        <is>
          <t>NIFTY IT</t>
        </is>
      </c>
      <c r="B15" s="9" t="n">
        <v>10</v>
      </c>
      <c r="C15" s="9" t="n">
        <v>3</v>
      </c>
      <c r="D15" s="9" t="n">
        <v>2</v>
      </c>
      <c r="E15" s="9" t="n">
        <v>1</v>
      </c>
      <c r="F15" s="10" t="n">
        <v>0.3</v>
      </c>
      <c r="G15" s="10" t="n">
        <v>0.2</v>
      </c>
      <c r="H15" s="10" t="n">
        <v>0.1</v>
      </c>
      <c r="I15" s="11" t="n">
        <v>0.2</v>
      </c>
    </row>
    <row r="16" ht="17" customHeight="1">
      <c r="A16" s="4" t="inlineStr">
        <is>
          <t>NIFTY REALTY</t>
        </is>
      </c>
      <c r="B16" s="5" t="n">
        <v>10</v>
      </c>
      <c r="C16" s="5" t="n">
        <v>2</v>
      </c>
      <c r="D16" s="5" t="n">
        <v>1</v>
      </c>
      <c r="E16" s="5" t="n">
        <v>2</v>
      </c>
      <c r="F16" s="6" t="n">
        <v>0.2</v>
      </c>
      <c r="G16" s="6" t="n">
        <v>0.1</v>
      </c>
      <c r="H16" s="6" t="n">
        <v>0.2</v>
      </c>
      <c r="I16" s="7" t="n">
        <v>0.1667</v>
      </c>
    </row>
    <row r="17" ht="17" customHeight="1">
      <c r="A17" s="8" t="inlineStr">
        <is>
          <t>NIFTY FINANCIAL SERVICES</t>
        </is>
      </c>
      <c r="B17" s="9" t="n">
        <v>20</v>
      </c>
      <c r="C17" s="9" t="n">
        <v>0</v>
      </c>
      <c r="D17" s="9" t="n">
        <v>1</v>
      </c>
      <c r="E17" s="9" t="n">
        <v>3</v>
      </c>
      <c r="F17" s="10" t="n">
        <v>0</v>
      </c>
      <c r="G17" s="10" t="n">
        <v>0.05</v>
      </c>
      <c r="H17" s="10" t="n">
        <v>0.15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AUROPHARMA</t>
        </is>
      </c>
      <c r="C3" s="14" t="n">
        <v>1463.6</v>
      </c>
      <c r="D3" s="14" t="n">
        <v>1453.05</v>
      </c>
      <c r="E3" s="14" t="n">
        <v>1409.48</v>
      </c>
      <c r="F3" s="14" t="n">
        <v>1267.17</v>
      </c>
      <c r="G3" s="15">
        <f>HYPERLINK("https://www.tradingview.com/chart/?symbol=NSE:AUROPHARMA","Chart 📈")</f>
        <v/>
      </c>
    </row>
    <row r="4" ht="16" customHeight="1">
      <c r="A4" s="16" t="inlineStr">
        <is>
          <t>NIFTY PHARMA</t>
        </is>
      </c>
      <c r="B4" s="13" t="inlineStr">
        <is>
          <t>BIOCON</t>
        </is>
      </c>
      <c r="C4" s="14" t="n">
        <v>416.05</v>
      </c>
      <c r="D4" s="14" t="n">
        <v>415.09</v>
      </c>
      <c r="E4" s="14" t="n">
        <v>397.49</v>
      </c>
      <c r="F4" s="14" t="n">
        <v>378.58</v>
      </c>
      <c r="G4" s="15">
        <f>HYPERLINK("https://www.tradingview.com/chart/?symbol=NSE:BIOCON","Chart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1398.7</v>
      </c>
      <c r="D5" s="14" t="n">
        <v>1382.27</v>
      </c>
      <c r="E5" s="14" t="n">
        <v>1350.31</v>
      </c>
      <c r="F5" s="14" t="n">
        <v>1395.05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2219.5</v>
      </c>
      <c r="D6" s="14" t="n">
        <v>2161.16</v>
      </c>
      <c r="E6" s="14" t="n">
        <v>1992.09</v>
      </c>
      <c r="F6" s="14" t="n">
        <v>1837.85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GRANULES</t>
        </is>
      </c>
      <c r="C7" s="14" t="n">
        <v>791.35</v>
      </c>
      <c r="D7" s="14" t="n">
        <v>758.67</v>
      </c>
      <c r="E7" s="14" t="n">
        <v>711.09</v>
      </c>
      <c r="F7" s="14" t="n">
        <v>615.49</v>
      </c>
      <c r="G7" s="15">
        <f>HYPERLINK("https://www.tradingview.com/chart/?symbol=NSE:GRANULES","Chart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1614</v>
      </c>
      <c r="D8" s="14" t="n">
        <v>1562.54</v>
      </c>
      <c r="E8" s="14" t="n">
        <v>1543.21</v>
      </c>
      <c r="F8" s="14" t="n">
        <v>1473.93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1427.2</v>
      </c>
      <c r="D9" s="14" t="n">
        <v>1333.27</v>
      </c>
      <c r="E9" s="14" t="n">
        <v>1229.87</v>
      </c>
      <c r="F9" s="14" t="n">
        <v>1037.26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ZYDUSLIFE</t>
        </is>
      </c>
      <c r="C10" s="14" t="n">
        <v>1084.6</v>
      </c>
      <c r="D10" s="14" t="n">
        <v>1037.8</v>
      </c>
      <c r="E10" s="14" t="n">
        <v>983.58</v>
      </c>
      <c r="F10" s="14" t="n">
        <v>945.4299999999999</v>
      </c>
      <c r="G10" s="15">
        <f>HYPERLINK("https://www.tradingview.com/chart/?symbol=NSE:ZYDUSLIFE","Chart 📈")</f>
        <v/>
      </c>
    </row>
    <row r="11" ht="16" customHeight="1">
      <c r="A11" s="8" t="inlineStr">
        <is>
          <t>NIFTY METAL</t>
        </is>
      </c>
      <c r="B11" s="17" t="inlineStr">
        <is>
          <t>ADANIENT</t>
        </is>
      </c>
      <c r="C11" s="18" t="n">
        <v>2972.8</v>
      </c>
      <c r="D11" s="18" t="n">
        <v>2781.12</v>
      </c>
      <c r="E11" s="18" t="n">
        <v>2532.88</v>
      </c>
      <c r="F11" s="18" t="n">
        <v>2354.1</v>
      </c>
      <c r="G11" s="19">
        <f>HYPERLINK("https://www.tradingview.com/chart/?symbol=NSE:ADANIENT","Chart 📈")</f>
        <v/>
      </c>
    </row>
    <row r="12" ht="16" customHeight="1">
      <c r="A12" s="20" t="inlineStr">
        <is>
          <t>NIFTY METAL</t>
        </is>
      </c>
      <c r="B12" s="17" t="inlineStr">
        <is>
          <t>HINDALCO</t>
        </is>
      </c>
      <c r="C12" s="18" t="n">
        <v>1125.6</v>
      </c>
      <c r="D12" s="18" t="n">
        <v>1102.63</v>
      </c>
      <c r="E12" s="18" t="n">
        <v>1049.87</v>
      </c>
      <c r="F12" s="18" t="n">
        <v>909.04</v>
      </c>
      <c r="G12" s="19">
        <f>HYPERLINK("https://www.tradingview.com/chart/?symbol=NSE:HINDALCO","Chart 📈")</f>
        <v/>
      </c>
    </row>
    <row r="13" ht="16" customHeight="1">
      <c r="A13" s="20" t="inlineStr">
        <is>
          <t>NIFTY METAL</t>
        </is>
      </c>
      <c r="B13" s="17" t="inlineStr">
        <is>
          <t>JSWSTEEL</t>
        </is>
      </c>
      <c r="C13" s="18" t="n">
        <v>1301.1</v>
      </c>
      <c r="D13" s="18" t="n">
        <v>1288.97</v>
      </c>
      <c r="E13" s="18" t="n">
        <v>1260.67</v>
      </c>
      <c r="F13" s="18" t="n">
        <v>1179.44</v>
      </c>
      <c r="G13" s="19">
        <f>HYPERLINK("https://www.tradingview.com/chart/?symbol=NSE:JSWSTEEL","Chart 📈")</f>
        <v/>
      </c>
    </row>
    <row r="14" ht="16" customHeight="1">
      <c r="A14" s="20" t="inlineStr">
        <is>
          <t>NIFTY METAL</t>
        </is>
      </c>
      <c r="B14" s="17" t="inlineStr">
        <is>
          <t>NMDC</t>
        </is>
      </c>
      <c r="C14" s="18" t="n">
        <v>94.7</v>
      </c>
      <c r="D14" s="18" t="n">
        <v>91.20999999999999</v>
      </c>
      <c r="E14" s="18" t="n">
        <v>88.13</v>
      </c>
      <c r="F14" s="18" t="n">
        <v>80.05</v>
      </c>
      <c r="G14" s="19">
        <f>HYPERLINK("https://www.tradingview.com/chart/?symbol=NSE:NMDC","Chart 📈")</f>
        <v/>
      </c>
    </row>
    <row r="15" ht="16" customHeight="1">
      <c r="A15" s="20" t="inlineStr">
        <is>
          <t>NIFTY METAL</t>
        </is>
      </c>
      <c r="B15" s="17" t="inlineStr">
        <is>
          <t>RATNAMANI</t>
        </is>
      </c>
      <c r="C15" s="18" t="n">
        <v>2640.4</v>
      </c>
      <c r="D15" s="18" t="n">
        <v>2595.32</v>
      </c>
      <c r="E15" s="18" t="n">
        <v>2539.67</v>
      </c>
      <c r="F15" s="18" t="n">
        <v>2466.8</v>
      </c>
      <c r="G15" s="19">
        <f>HYPERLINK("https://www.tradingview.com/chart/?symbol=NSE:RATNAMANI","Chart 📈")</f>
        <v/>
      </c>
    </row>
    <row r="16" ht="16" customHeight="1">
      <c r="A16" s="20" t="inlineStr">
        <is>
          <t>NIFTY METAL</t>
        </is>
      </c>
      <c r="B16" s="17" t="inlineStr">
        <is>
          <t>WELCORP</t>
        </is>
      </c>
      <c r="C16" s="18" t="n">
        <v>1402.7</v>
      </c>
      <c r="D16" s="18" t="n">
        <v>1330.23</v>
      </c>
      <c r="E16" s="18" t="n">
        <v>1198.79</v>
      </c>
      <c r="F16" s="18" t="n">
        <v>979.49</v>
      </c>
      <c r="G16" s="19">
        <f>HYPERLINK("https://www.tradingview.com/chart/?symbol=NSE:WELCORP","Chart 📈")</f>
        <v/>
      </c>
    </row>
    <row r="17" ht="16" customHeight="1">
      <c r="A17" s="12" t="inlineStr">
        <is>
          <t>NIFTY MIDSMALL IT &amp; TELECOM</t>
        </is>
      </c>
      <c r="B17" s="13" t="inlineStr">
        <is>
          <t>HFCL</t>
        </is>
      </c>
      <c r="C17" s="14" t="n">
        <v>197.08</v>
      </c>
      <c r="D17" s="14" t="n">
        <v>162.87</v>
      </c>
      <c r="E17" s="14" t="n">
        <v>132.15</v>
      </c>
      <c r="F17" s="14" t="n">
        <v>94.42</v>
      </c>
      <c r="G17" s="15">
        <f>HYPERLINK("https://www.tradingview.com/chart/?symbol=NSE:HFCL","Chart 📈")</f>
        <v/>
      </c>
    </row>
    <row r="18" ht="16" customHeight="1">
      <c r="A18" s="16" t="inlineStr">
        <is>
          <t>NIFTY MIDSMALL IT &amp; TELECOM</t>
        </is>
      </c>
      <c r="B18" s="13" t="inlineStr">
        <is>
          <t>IDEA</t>
        </is>
      </c>
      <c r="C18" s="14" t="n">
        <v>14.93</v>
      </c>
      <c r="D18" s="14" t="n">
        <v>13.42</v>
      </c>
      <c r="E18" s="14" t="n">
        <v>12.01</v>
      </c>
      <c r="F18" s="14" t="n">
        <v>10.21</v>
      </c>
      <c r="G18" s="15">
        <f>HYPERLINK("https://www.tradingview.com/chart/?symbol=NSE:IDEA","Chart 📈")</f>
        <v/>
      </c>
    </row>
    <row r="19" ht="16" customHeight="1">
      <c r="A19" s="16" t="inlineStr">
        <is>
          <t>NIFTY MIDSMALL IT &amp; TELECOM</t>
        </is>
      </c>
      <c r="B19" s="13" t="inlineStr">
        <is>
          <t>INDUSTOWER</t>
        </is>
      </c>
      <c r="C19" s="14" t="n">
        <v>430.45</v>
      </c>
      <c r="D19" s="14" t="n">
        <v>428.04</v>
      </c>
      <c r="E19" s="14" t="n">
        <v>425.76</v>
      </c>
      <c r="F19" s="14" t="n">
        <v>414.07</v>
      </c>
      <c r="G19" s="15">
        <f>HYPERLINK("https://www.tradingview.com/chart/?symbol=NSE:INDUSTOWER","Chart 📈")</f>
        <v/>
      </c>
    </row>
    <row r="20" ht="16" customHeight="1">
      <c r="A20" s="16" t="inlineStr">
        <is>
          <t>NIFTY MIDSMALL IT &amp; TELECOM</t>
        </is>
      </c>
      <c r="B20" s="13" t="inlineStr">
        <is>
          <t>OFSS</t>
        </is>
      </c>
      <c r="C20" s="14" t="n">
        <v>10098</v>
      </c>
      <c r="D20" s="14" t="n">
        <v>9706.42</v>
      </c>
      <c r="E20" s="14" t="n">
        <v>8885.83</v>
      </c>
      <c r="F20" s="14" t="n">
        <v>8086.88</v>
      </c>
      <c r="G20" s="15">
        <f>HYPERLINK("https://www.tradingview.com/chart/?symbol=NSE:OFSS","Chart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TATACOMM</t>
        </is>
      </c>
      <c r="C21" s="14" t="n">
        <v>1985.9</v>
      </c>
      <c r="D21" s="14" t="n">
        <v>1837.81</v>
      </c>
      <c r="E21" s="14" t="n">
        <v>1707.31</v>
      </c>
      <c r="F21" s="14" t="n">
        <v>1668.7</v>
      </c>
      <c r="G21" s="15">
        <f>HYPERLINK("https://www.tradingview.com/chart/?symbol=NSE:TATACOMM","Chart 📈")</f>
        <v/>
      </c>
    </row>
    <row r="22" ht="16" customHeight="1">
      <c r="A22" s="16" t="inlineStr">
        <is>
          <t>NIFTY MIDSMALL IT &amp; TELECOM</t>
        </is>
      </c>
      <c r="B22" s="13" t="inlineStr">
        <is>
          <t>TATATECH</t>
        </is>
      </c>
      <c r="C22" s="14" t="n">
        <v>748.35</v>
      </c>
      <c r="D22" s="14" t="n">
        <v>683.46</v>
      </c>
      <c r="E22" s="14" t="n">
        <v>639.22</v>
      </c>
      <c r="F22" s="14" t="n">
        <v>644.27</v>
      </c>
      <c r="G22" s="15">
        <f>HYPERLINK("https://www.tradingview.com/chart/?symbol=NSE:TATATECH","Chart 📈")</f>
        <v/>
      </c>
    </row>
    <row r="23" ht="16" customHeight="1">
      <c r="A23" s="16" t="inlineStr">
        <is>
          <t>NIFTY MIDSMALL IT &amp; TELECOM</t>
        </is>
      </c>
      <c r="B23" s="13" t="inlineStr">
        <is>
          <t>TEJASNET</t>
        </is>
      </c>
      <c r="C23" s="14" t="n">
        <v>601.95</v>
      </c>
      <c r="D23" s="14" t="n">
        <v>501.19</v>
      </c>
      <c r="E23" s="14" t="n">
        <v>465.03</v>
      </c>
      <c r="F23" s="14" t="n">
        <v>485.31</v>
      </c>
      <c r="G23" s="15">
        <f>HYPERLINK("https://www.tradingview.com/chart/?symbol=NSE:TEJASNET","Chart 📈")</f>
        <v/>
      </c>
    </row>
    <row r="24" ht="16" customHeight="1">
      <c r="A24" s="8" t="inlineStr">
        <is>
          <t>NIFTY OIL &amp; GAS</t>
        </is>
      </c>
      <c r="B24" s="17" t="inlineStr">
        <is>
          <t>AEGISLOG</t>
        </is>
      </c>
      <c r="C24" s="18" t="n">
        <v>755.8</v>
      </c>
      <c r="D24" s="18" t="n">
        <v>726.05</v>
      </c>
      <c r="E24" s="18" t="n">
        <v>702.24</v>
      </c>
      <c r="F24" s="18" t="n">
        <v>714.54</v>
      </c>
      <c r="G24" s="19">
        <f>HYPERLINK("https://www.tradingview.com/chart/?symbol=NSE:AEGISLOG","Chart 📈")</f>
        <v/>
      </c>
    </row>
    <row r="25" ht="16" customHeight="1">
      <c r="A25" s="20" t="inlineStr">
        <is>
          <t>NIFTY OIL &amp; GAS</t>
        </is>
      </c>
      <c r="B25" s="17" t="inlineStr">
        <is>
          <t>ATGL</t>
        </is>
      </c>
      <c r="C25" s="18" t="n">
        <v>744.05</v>
      </c>
      <c r="D25" s="18" t="n">
        <v>694.6</v>
      </c>
      <c r="E25" s="18" t="n">
        <v>641.92</v>
      </c>
      <c r="F25" s="18" t="n">
        <v>606.63</v>
      </c>
      <c r="G25" s="19">
        <f>HYPERLINK("https://www.tradingview.com/chart/?symbol=NSE:ATGL","Chart 📈")</f>
        <v/>
      </c>
    </row>
    <row r="26" ht="16" customHeight="1">
      <c r="A26" s="20" t="inlineStr">
        <is>
          <t>NIFTY OIL &amp; GAS</t>
        </is>
      </c>
      <c r="B26" s="17" t="inlineStr">
        <is>
          <t>GAIL</t>
        </is>
      </c>
      <c r="C26" s="18" t="n">
        <v>167.55</v>
      </c>
      <c r="D26" s="18" t="n">
        <v>163.82</v>
      </c>
      <c r="E26" s="18" t="n">
        <v>161.2</v>
      </c>
      <c r="F26" s="18" t="n">
        <v>164.66</v>
      </c>
      <c r="G26" s="19">
        <f>HYPERLINK("https://www.tradingview.com/chart/?symbol=NSE:GAIL","Chart 📈")</f>
        <v/>
      </c>
    </row>
    <row r="27" ht="16" customHeight="1">
      <c r="A27" s="20" t="inlineStr">
        <is>
          <t>NIFTY OIL &amp; GAS</t>
        </is>
      </c>
      <c r="B27" s="17" t="inlineStr">
        <is>
          <t>GUJGASLTD</t>
        </is>
      </c>
      <c r="C27" s="18" t="n">
        <v>402.8</v>
      </c>
      <c r="D27" s="18" t="n">
        <v>383.27</v>
      </c>
      <c r="E27" s="18" t="n">
        <v>377.52</v>
      </c>
      <c r="F27" s="18" t="n">
        <v>398.89</v>
      </c>
      <c r="G27" s="19">
        <f>HYPERLINK("https://www.tradingview.com/chart/?symbol=NSE:GUJGASLTD","Chart 📈")</f>
        <v/>
      </c>
    </row>
    <row r="28" ht="16" customHeight="1">
      <c r="A28" s="20" t="inlineStr">
        <is>
          <t>NIFTY OIL &amp; GAS</t>
        </is>
      </c>
      <c r="B28" s="17" t="inlineStr">
        <is>
          <t>OIL</t>
        </is>
      </c>
      <c r="C28" s="18" t="n">
        <v>488.9</v>
      </c>
      <c r="D28" s="18" t="n">
        <v>488.03</v>
      </c>
      <c r="E28" s="18" t="n">
        <v>481.88</v>
      </c>
      <c r="F28" s="18" t="n">
        <v>452.41</v>
      </c>
      <c r="G28" s="19">
        <f>HYPERLINK("https://www.tradingview.com/chart/?symbol=NSE:OIL","Chart 📈")</f>
        <v/>
      </c>
    </row>
    <row r="29" ht="16" customHeight="1">
      <c r="A29" s="12" t="inlineStr">
        <is>
          <t>NIFTY AUTO</t>
        </is>
      </c>
      <c r="B29" s="13" t="inlineStr">
        <is>
          <t>BAJAJ-AUTO</t>
        </is>
      </c>
      <c r="C29" s="14" t="n">
        <v>10362</v>
      </c>
      <c r="D29" s="14" t="n">
        <v>10283.06</v>
      </c>
      <c r="E29" s="14" t="n">
        <v>9967.219999999999</v>
      </c>
      <c r="F29" s="14" t="n">
        <v>9309.02</v>
      </c>
      <c r="G29" s="15">
        <f>HYPERLINK("https://www.tradingview.com/chart/?symbol=NSE:BAJAJ-AUTO","Chart 📈")</f>
        <v/>
      </c>
    </row>
    <row r="30" ht="16" customHeight="1">
      <c r="A30" s="16" t="inlineStr">
        <is>
          <t>NIFTY AUTO</t>
        </is>
      </c>
      <c r="B30" s="13" t="inlineStr">
        <is>
          <t>BHARATFORG</t>
        </is>
      </c>
      <c r="C30" s="14" t="n">
        <v>1937.5</v>
      </c>
      <c r="D30" s="14" t="n">
        <v>1916.61</v>
      </c>
      <c r="E30" s="14" t="n">
        <v>1863.42</v>
      </c>
      <c r="F30" s="14" t="n">
        <v>1611.85</v>
      </c>
      <c r="G30" s="15">
        <f>HYPERLINK("https://www.tradingview.com/chart/?symbol=NSE:BHARATFORG","Chart 📈")</f>
        <v/>
      </c>
    </row>
    <row r="31" ht="16" customHeight="1">
      <c r="A31" s="16" t="inlineStr">
        <is>
          <t>NIFTY AUTO</t>
        </is>
      </c>
      <c r="B31" s="13" t="inlineStr">
        <is>
          <t>BOSCHLTD</t>
        </is>
      </c>
      <c r="C31" s="14" t="n">
        <v>37000</v>
      </c>
      <c r="D31" s="14" t="n">
        <v>36657.24</v>
      </c>
      <c r="E31" s="14" t="n">
        <v>36088.35</v>
      </c>
      <c r="F31" s="14" t="n">
        <v>35660.36</v>
      </c>
      <c r="G31" s="15">
        <f>HYPERLINK("https://www.tradingview.com/chart/?symbol=NSE:BOSCHLTD","Chart 📈")</f>
        <v/>
      </c>
    </row>
    <row r="32" ht="16" customHeight="1">
      <c r="A32" s="16" t="inlineStr">
        <is>
          <t>NIFTY AUTO</t>
        </is>
      </c>
      <c r="B32" s="13" t="inlineStr">
        <is>
          <t>EXIDEIND</t>
        </is>
      </c>
      <c r="C32" s="14" t="n">
        <v>403.4</v>
      </c>
      <c r="D32" s="14" t="n">
        <v>372.58</v>
      </c>
      <c r="E32" s="14" t="n">
        <v>354.15</v>
      </c>
      <c r="F32" s="14" t="n">
        <v>356.11</v>
      </c>
      <c r="G32" s="15">
        <f>HYPERLINK("https://www.tradingview.com/chart/?symbol=NSE:EXIDEIND","Chart 📈")</f>
        <v/>
      </c>
    </row>
    <row r="33" ht="16" customHeight="1">
      <c r="A33" s="16" t="inlineStr">
        <is>
          <t>NIFTY AUTO</t>
        </is>
      </c>
      <c r="B33" s="13" t="inlineStr">
        <is>
          <t>MOTHERSON</t>
        </is>
      </c>
      <c r="C33" s="14" t="n">
        <v>144.31</v>
      </c>
      <c r="D33" s="14" t="n">
        <v>136.99</v>
      </c>
      <c r="E33" s="14" t="n">
        <v>129.82</v>
      </c>
      <c r="F33" s="14" t="n">
        <v>118.11</v>
      </c>
      <c r="G33" s="15">
        <f>HYPERLINK("https://www.tradingview.com/chart/?symbol=NSE:MOTHERSON","Chart 📈")</f>
        <v/>
      </c>
    </row>
    <row r="34" ht="16" customHeight="1">
      <c r="A34" s="8" t="inlineStr">
        <is>
          <t>NIFTY PSU BANK</t>
        </is>
      </c>
      <c r="B34" s="17" t="inlineStr">
        <is>
          <t>MAHABANK</t>
        </is>
      </c>
      <c r="C34" s="18" t="n">
        <v>79.90000000000001</v>
      </c>
      <c r="D34" s="18" t="n">
        <v>79.19</v>
      </c>
      <c r="E34" s="18" t="n">
        <v>76.3</v>
      </c>
      <c r="F34" s="18" t="n">
        <v>66.64</v>
      </c>
      <c r="G34" s="19">
        <f>HYPERLINK("https://www.tradingview.com/chart/?symbol=NSE:MAHABANK","Chart 📈")</f>
        <v/>
      </c>
    </row>
    <row r="35" ht="16" customHeight="1">
      <c r="A35" s="12" t="inlineStr">
        <is>
          <t>NIFTY ENERGY</t>
        </is>
      </c>
      <c r="B35" s="13" t="inlineStr">
        <is>
          <t>ABB</t>
        </is>
      </c>
      <c r="C35" s="14" t="n">
        <v>7156</v>
      </c>
      <c r="D35" s="14" t="n">
        <v>6940.92</v>
      </c>
      <c r="E35" s="14" t="n">
        <v>6730.07</v>
      </c>
      <c r="F35" s="14" t="n">
        <v>6036.96</v>
      </c>
      <c r="G35" s="15">
        <f>HYPERLINK("https://www.tradingview.com/chart/?symbol=NSE:ABB","Chart 📈")</f>
        <v/>
      </c>
    </row>
    <row r="36" ht="16" customHeight="1">
      <c r="A36" s="16" t="inlineStr">
        <is>
          <t>NIFTY ENERGY</t>
        </is>
      </c>
      <c r="B36" s="13" t="inlineStr">
        <is>
          <t>ADANIENSOL</t>
        </is>
      </c>
      <c r="C36" s="14" t="n">
        <v>1520</v>
      </c>
      <c r="D36" s="14" t="n">
        <v>1431.88</v>
      </c>
      <c r="E36" s="14" t="n">
        <v>1314.07</v>
      </c>
      <c r="F36" s="14" t="n">
        <v>1084.13</v>
      </c>
      <c r="G36" s="15">
        <f>HYPERLINK("https://www.tradingview.com/chart/?symbol=NSE:ADANIENSOL","Chart 📈")</f>
        <v/>
      </c>
    </row>
    <row r="37" ht="16" customHeight="1">
      <c r="A37" s="16" t="inlineStr">
        <is>
          <t>NIFTY ENERGY</t>
        </is>
      </c>
      <c r="B37" s="13" t="inlineStr">
        <is>
          <t>ADANIGREEN</t>
        </is>
      </c>
      <c r="C37" s="14" t="n">
        <v>1423.3</v>
      </c>
      <c r="D37" s="14" t="n">
        <v>1393.93</v>
      </c>
      <c r="E37" s="14" t="n">
        <v>1264.23</v>
      </c>
      <c r="F37" s="14" t="n">
        <v>1082.42</v>
      </c>
      <c r="G37" s="15">
        <f>HYPERLINK("https://www.tradingview.com/chart/?symbol=NSE:ADANIGREEN","Chart 📈")</f>
        <v/>
      </c>
    </row>
    <row r="38" ht="16" customHeight="1">
      <c r="A38" s="16" t="inlineStr">
        <is>
          <t>NIFTY ENERGY</t>
        </is>
      </c>
      <c r="B38" s="13" t="inlineStr">
        <is>
          <t>ADANIPOWER</t>
        </is>
      </c>
      <c r="C38" s="14" t="n">
        <v>230.03</v>
      </c>
      <c r="D38" s="14" t="n">
        <v>228.91</v>
      </c>
      <c r="E38" s="14" t="n">
        <v>209.26</v>
      </c>
      <c r="F38" s="14" t="n">
        <v>165.73</v>
      </c>
      <c r="G38" s="15">
        <f>HYPERLINK("https://www.tradingview.com/chart/?symbol=NSE:ADANIPOWER","Chart 📈")</f>
        <v/>
      </c>
    </row>
    <row r="39" ht="16" customHeight="1">
      <c r="A39" s="16" t="inlineStr">
        <is>
          <t>NIFTY ENERGY</t>
        </is>
      </c>
      <c r="B39" s="13" t="inlineStr">
        <is>
          <t>CGPOWER</t>
        </is>
      </c>
      <c r="C39" s="14" t="n">
        <v>937.9</v>
      </c>
      <c r="D39" s="14" t="n">
        <v>878.7</v>
      </c>
      <c r="E39" s="14" t="n">
        <v>822.53</v>
      </c>
      <c r="F39" s="14" t="n">
        <v>735.8</v>
      </c>
      <c r="G39" s="15">
        <f>HYPERLINK("https://www.tradingview.com/chart/?symbol=NSE:CGPOWER","Chart 📈")</f>
        <v/>
      </c>
    </row>
    <row r="40" ht="16" customHeight="1">
      <c r="A40" s="16" t="inlineStr">
        <is>
          <t>NIFTY ENERGY</t>
        </is>
      </c>
      <c r="B40" s="13" t="inlineStr">
        <is>
          <t>COALINDIA</t>
        </is>
      </c>
      <c r="C40" s="14" t="n">
        <v>481.65</v>
      </c>
      <c r="D40" s="14" t="n">
        <v>465.07</v>
      </c>
      <c r="E40" s="14" t="n">
        <v>457.41</v>
      </c>
      <c r="F40" s="14" t="n">
        <v>421.43</v>
      </c>
      <c r="G40" s="15">
        <f>HYPERLINK("https://www.tradingview.com/chart/?symbol=NSE:COALINDIA","Chart 📈")</f>
        <v/>
      </c>
    </row>
    <row r="41" ht="16" customHeight="1">
      <c r="A41" s="16" t="inlineStr">
        <is>
          <t>NIFTY ENERGY</t>
        </is>
      </c>
      <c r="B41" s="13" t="inlineStr">
        <is>
          <t>GVT&amp;D</t>
        </is>
      </c>
      <c r="C41" s="14" t="n">
        <v>5086.5</v>
      </c>
      <c r="D41" s="14" t="n">
        <v>4763.6</v>
      </c>
      <c r="E41" s="14" t="n">
        <v>4427.96</v>
      </c>
      <c r="F41" s="14" t="n">
        <v>3577.36</v>
      </c>
      <c r="G41" s="15">
        <f>HYPERLINK("https://www.tradingview.com/chart/?symbol=NSE:GVT&amp;D","Chart 📈")</f>
        <v/>
      </c>
    </row>
    <row r="42" ht="16" customHeight="1">
      <c r="A42" s="16" t="inlineStr">
        <is>
          <t>NIFTY ENERGY</t>
        </is>
      </c>
      <c r="B42" s="13" t="inlineStr">
        <is>
          <t>JSWENERGY</t>
        </is>
      </c>
      <c r="C42" s="14" t="n">
        <v>590.05</v>
      </c>
      <c r="D42" s="14" t="n">
        <v>567.8</v>
      </c>
      <c r="E42" s="14" t="n">
        <v>545.63</v>
      </c>
      <c r="F42" s="14" t="n">
        <v>517.26</v>
      </c>
      <c r="G42" s="15">
        <f>HYPERLINK("https://www.tradingview.com/chart/?symbol=NSE:JSWENERGY","Chart 📈")</f>
        <v/>
      </c>
    </row>
    <row r="43" ht="16" customHeight="1">
      <c r="A43" s="16" t="inlineStr">
        <is>
          <t>NIFTY ENERGY</t>
        </is>
      </c>
      <c r="B43" s="13" t="inlineStr">
        <is>
          <t>POWERINDIA</t>
        </is>
      </c>
      <c r="C43" s="14" t="n">
        <v>36525</v>
      </c>
      <c r="D43" s="14" t="n">
        <v>35071.28</v>
      </c>
      <c r="E43" s="14" t="n">
        <v>31988.86</v>
      </c>
      <c r="F43" s="14" t="n">
        <v>25015.67</v>
      </c>
      <c r="G43" s="15">
        <f>HYPERLINK("https://www.tradingview.com/chart/?symbol=NSE:POWERINDIA","Chart 📈")</f>
        <v/>
      </c>
    </row>
    <row r="44" ht="16" customHeight="1">
      <c r="A44" s="16" t="inlineStr">
        <is>
          <t>NIFTY ENERGY</t>
        </is>
      </c>
      <c r="B44" s="13" t="inlineStr">
        <is>
          <t>SUZLON</t>
        </is>
      </c>
      <c r="C44" s="14" t="n">
        <v>55.62</v>
      </c>
      <c r="D44" s="14" t="n">
        <v>54.43</v>
      </c>
      <c r="E44" s="14" t="n">
        <v>52.09</v>
      </c>
      <c r="F44" s="14" t="n">
        <v>52.82</v>
      </c>
      <c r="G44" s="15">
        <f>HYPERLINK("https://www.tradingview.com/chart/?symbol=NSE:SUZLON","Chart 📈")</f>
        <v/>
      </c>
    </row>
    <row r="45" ht="16" customHeight="1">
      <c r="A45" s="16" t="inlineStr">
        <is>
          <t>NIFTY ENERGY</t>
        </is>
      </c>
      <c r="B45" s="13" t="inlineStr">
        <is>
          <t>THERMAX</t>
        </is>
      </c>
      <c r="C45" s="14" t="n">
        <v>4875.9</v>
      </c>
      <c r="D45" s="14" t="n">
        <v>4592.89</v>
      </c>
      <c r="E45" s="14" t="n">
        <v>4192.75</v>
      </c>
      <c r="F45" s="14" t="n">
        <v>3564.31</v>
      </c>
      <c r="G45" s="15">
        <f>HYPERLINK("https://www.tradingview.com/chart/?symbol=NSE:THERMAX","Chart 📈")</f>
        <v/>
      </c>
    </row>
    <row r="46" ht="16" customHeight="1">
      <c r="A46" s="16" t="inlineStr">
        <is>
          <t>NIFTY ENERGY</t>
        </is>
      </c>
      <c r="B46" s="13" t="inlineStr">
        <is>
          <t>TRITURBINE</t>
        </is>
      </c>
      <c r="C46" s="14" t="n">
        <v>693.4</v>
      </c>
      <c r="D46" s="14" t="n">
        <v>660.1</v>
      </c>
      <c r="E46" s="14" t="n">
        <v>598.65</v>
      </c>
      <c r="F46" s="14" t="n">
        <v>547.8</v>
      </c>
      <c r="G46" s="15">
        <f>HYPERLINK("https://www.tradingview.com/chart/?symbol=NSE:TRITURBINE","Chart 📈")</f>
        <v/>
      </c>
    </row>
    <row r="47" ht="16" customHeight="1">
      <c r="A47" s="8" t="inlineStr">
        <is>
          <t>NIFTY FMCG</t>
        </is>
      </c>
      <c r="B47" s="17" t="inlineStr">
        <is>
          <t>BALRAMCHIN</t>
        </is>
      </c>
      <c r="C47" s="18" t="n">
        <v>532.2</v>
      </c>
      <c r="D47" s="18" t="n">
        <v>529.92</v>
      </c>
      <c r="E47" s="18" t="n">
        <v>516.08</v>
      </c>
      <c r="F47" s="18" t="n">
        <v>500.92</v>
      </c>
      <c r="G47" s="19">
        <f>HYPERLINK("https://www.tradingview.com/chart/?symbol=NSE:BALRAMCHIN","Chart 📈")</f>
        <v/>
      </c>
    </row>
    <row r="48" ht="16" customHeight="1">
      <c r="A48" s="20" t="inlineStr">
        <is>
          <t>NIFTY FMCG</t>
        </is>
      </c>
      <c r="B48" s="17" t="inlineStr">
        <is>
          <t>RADICO</t>
        </is>
      </c>
      <c r="C48" s="18" t="n">
        <v>3502.4</v>
      </c>
      <c r="D48" s="18" t="n">
        <v>3464.27</v>
      </c>
      <c r="E48" s="18" t="n">
        <v>3291.99</v>
      </c>
      <c r="F48" s="18" t="n">
        <v>3039.77</v>
      </c>
      <c r="G48" s="19">
        <f>HYPERLINK("https://www.tradingview.com/chart/?symbol=NSE:RADICO","Chart 📈")</f>
        <v/>
      </c>
    </row>
    <row r="49" ht="16" customHeight="1">
      <c r="A49" s="20" t="inlineStr">
        <is>
          <t>NIFTY FMCG</t>
        </is>
      </c>
      <c r="B49" s="17" t="inlineStr">
        <is>
          <t>VBL</t>
        </is>
      </c>
      <c r="C49" s="18" t="n">
        <v>528.4</v>
      </c>
      <c r="D49" s="18" t="n">
        <v>520.21</v>
      </c>
      <c r="E49" s="18" t="n">
        <v>495.78</v>
      </c>
      <c r="F49" s="18" t="n">
        <v>472.91</v>
      </c>
      <c r="G49" s="19">
        <f>HYPERLINK("https://www.tradingview.com/chart/?symbol=NSE:VBL","Chart 📈")</f>
        <v/>
      </c>
    </row>
    <row r="50" ht="16" customHeight="1">
      <c r="A50" s="12" t="inlineStr">
        <is>
          <t>NIFTY MEDIA</t>
        </is>
      </c>
      <c r="B50" s="13" t="inlineStr">
        <is>
          <t>SAREGAMA</t>
        </is>
      </c>
      <c r="C50" s="14" t="n">
        <v>452.6</v>
      </c>
      <c r="D50" s="14" t="n">
        <v>411.11</v>
      </c>
      <c r="E50" s="14" t="n">
        <v>379.93</v>
      </c>
      <c r="F50" s="14" t="n">
        <v>395.38</v>
      </c>
      <c r="G50" s="15">
        <f>HYPERLINK("https://www.tradingview.com/chart/?symbol=NSE:SAREGAMA","Chart 📈")</f>
        <v/>
      </c>
    </row>
    <row r="51" ht="16" customHeight="1">
      <c r="A51" s="16" t="inlineStr">
        <is>
          <t>NIFTY MEDIA</t>
        </is>
      </c>
      <c r="B51" s="13" t="inlineStr">
        <is>
          <t>TIPSMUSIC</t>
        </is>
      </c>
      <c r="C51" s="14" t="n">
        <v>672.1</v>
      </c>
      <c r="D51" s="14" t="n">
        <v>654.73</v>
      </c>
      <c r="E51" s="14" t="n">
        <v>622.87</v>
      </c>
      <c r="F51" s="14" t="n">
        <v>583.08</v>
      </c>
      <c r="G51" s="15">
        <f>HYPERLINK("https://www.tradingview.com/chart/?symbol=NSE:TIPSMUSIC","Chart 📈")</f>
        <v/>
      </c>
    </row>
    <row r="52" ht="16" customHeight="1">
      <c r="A52" s="16" t="inlineStr">
        <is>
          <t>NIFTY MEDIA</t>
        </is>
      </c>
      <c r="B52" s="13" t="inlineStr">
        <is>
          <t>ZEEL</t>
        </is>
      </c>
      <c r="C52" s="14" t="n">
        <v>104.42</v>
      </c>
      <c r="D52" s="14" t="n">
        <v>90.93000000000001</v>
      </c>
      <c r="E52" s="14" t="n">
        <v>88.05</v>
      </c>
      <c r="F52" s="14" t="n">
        <v>95.28</v>
      </c>
      <c r="G52" s="15">
        <f>HYPERLINK("https://www.tradingview.com/chart/?symbol=NSE:ZEEL","Chart 📈")</f>
        <v/>
      </c>
    </row>
    <row r="53" ht="16" customHeight="1">
      <c r="A53" s="8" t="inlineStr">
        <is>
          <t>NIFTY CONSUMER DURABLES</t>
        </is>
      </c>
      <c r="B53" s="17" t="inlineStr">
        <is>
          <t>KAJARIACER</t>
        </is>
      </c>
      <c r="C53" s="18" t="n">
        <v>1095.2</v>
      </c>
      <c r="D53" s="18" t="n">
        <v>1089.37</v>
      </c>
      <c r="E53" s="18" t="n">
        <v>1076.13</v>
      </c>
      <c r="F53" s="18" t="n">
        <v>1061.06</v>
      </c>
      <c r="G53" s="19">
        <f>HYPERLINK("https://www.tradingview.com/chart/?symbol=NSE:KAJARIACER","Chart 📈")</f>
        <v/>
      </c>
    </row>
    <row r="54" ht="16" customHeight="1">
      <c r="A54" s="20" t="inlineStr">
        <is>
          <t>NIFTY CONSUMER DURABLES</t>
        </is>
      </c>
      <c r="B54" s="17" t="inlineStr">
        <is>
          <t>TITAN</t>
        </is>
      </c>
      <c r="C54" s="18" t="n">
        <v>4231</v>
      </c>
      <c r="D54" s="18" t="n">
        <v>4155.92</v>
      </c>
      <c r="E54" s="18" t="n">
        <v>4200.75</v>
      </c>
      <c r="F54" s="18" t="n">
        <v>4011.76</v>
      </c>
      <c r="G54" s="19">
        <f>HYPERLINK("https://www.tradingview.com/chart/?symbol=NSE:TITAN","Chart 📈")</f>
        <v/>
      </c>
    </row>
    <row r="55" ht="16" customHeight="1">
      <c r="A55" s="12" t="inlineStr">
        <is>
          <t>NIFTY BANK</t>
        </is>
      </c>
      <c r="B55" s="13" t="inlineStr">
        <is>
          <t>FEDERALBNK</t>
        </is>
      </c>
      <c r="C55" s="14" t="n">
        <v>300.1</v>
      </c>
      <c r="D55" s="14" t="n">
        <v>290.52</v>
      </c>
      <c r="E55" s="14" t="n">
        <v>286.66</v>
      </c>
      <c r="F55" s="14" t="n">
        <v>262.15</v>
      </c>
      <c r="G55" s="15">
        <f>HYPERLINK("https://www.tradingview.com/chart/?symbol=NSE:FEDERALBNK","Chart 📈")</f>
        <v/>
      </c>
    </row>
    <row r="56" ht="16" customHeight="1">
      <c r="A56" s="8" t="inlineStr">
        <is>
          <t>NIFTY IT</t>
        </is>
      </c>
      <c r="B56" s="17" t="inlineStr">
        <is>
          <t>TECHM</t>
        </is>
      </c>
      <c r="C56" s="18" t="n">
        <v>1487.3</v>
      </c>
      <c r="D56" s="18" t="n">
        <v>1465.12</v>
      </c>
      <c r="E56" s="18" t="n">
        <v>1454.63</v>
      </c>
      <c r="F56" s="18" t="n">
        <v>1486.12</v>
      </c>
      <c r="G56" s="19">
        <f>HYPERLINK("https://www.tradingview.com/chart/?symbol=NSE:TECHM","Chart 📈")</f>
        <v/>
      </c>
    </row>
    <row r="57" ht="16" customHeight="1">
      <c r="A57" s="12" t="inlineStr">
        <is>
          <t>NIFTY REALTY</t>
        </is>
      </c>
      <c r="B57" s="13" t="inlineStr">
        <is>
          <t>RAYMOND</t>
        </is>
      </c>
      <c r="C57" s="14" t="n">
        <v>521.75</v>
      </c>
      <c r="D57" s="14" t="n">
        <v>514.6900000000001</v>
      </c>
      <c r="E57" s="14" t="n">
        <v>475.76</v>
      </c>
      <c r="F57" s="14" t="n">
        <v>482.73</v>
      </c>
      <c r="G57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2026-06-04T14:08:45Z</dcterms:created>
  <dcterms:modified xsi:type="dcterms:W3CDTF">2026-06-04T14:08:45Z</dcterms:modified>
</cp:coreProperties>
</file>