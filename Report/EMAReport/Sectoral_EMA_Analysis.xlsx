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16-Jul-2026  12:32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8</v>
      </c>
      <c r="F4" s="6" t="n">
        <v>1</v>
      </c>
      <c r="G4" s="6" t="n">
        <v>1</v>
      </c>
      <c r="H4" s="6" t="n">
        <v>0.8</v>
      </c>
      <c r="I4" s="7" t="n">
        <v>0.9333</v>
      </c>
    </row>
    <row r="5" ht="17" customHeight="1">
      <c r="A5" s="8" t="inlineStr">
        <is>
          <t>NIFTY PHARMA</t>
        </is>
      </c>
      <c r="B5" s="9" t="n">
        <v>20</v>
      </c>
      <c r="C5" s="9" t="n">
        <v>18</v>
      </c>
      <c r="D5" s="9" t="n">
        <v>18</v>
      </c>
      <c r="E5" s="9" t="n">
        <v>19</v>
      </c>
      <c r="F5" s="10" t="n">
        <v>0.9</v>
      </c>
      <c r="G5" s="10" t="n">
        <v>0.9</v>
      </c>
      <c r="H5" s="10" t="n">
        <v>0.95</v>
      </c>
      <c r="I5" s="11" t="n">
        <v>0.9167000000000001</v>
      </c>
    </row>
    <row r="6" ht="17" customHeight="1">
      <c r="A6" s="4" t="inlineStr">
        <is>
          <t>NIFTY AUTO</t>
        </is>
      </c>
      <c r="B6" s="5" t="n">
        <v>15</v>
      </c>
      <c r="C6" s="5" t="n">
        <v>9</v>
      </c>
      <c r="D6" s="5" t="n">
        <v>11</v>
      </c>
      <c r="E6" s="5" t="n">
        <v>7</v>
      </c>
      <c r="F6" s="6" t="n">
        <v>0.6</v>
      </c>
      <c r="G6" s="6" t="n">
        <v>0.733</v>
      </c>
      <c r="H6" s="6" t="n">
        <v>0.467</v>
      </c>
      <c r="I6" s="7" t="n">
        <v>0.6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13</v>
      </c>
      <c r="D7" s="9" t="n">
        <v>14</v>
      </c>
      <c r="E7" s="9" t="n">
        <v>9</v>
      </c>
      <c r="F7" s="10" t="n">
        <v>0.65</v>
      </c>
      <c r="G7" s="10" t="n">
        <v>0.7</v>
      </c>
      <c r="H7" s="10" t="n">
        <v>0.45</v>
      </c>
      <c r="I7" s="11" t="n">
        <v>0.6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8</v>
      </c>
      <c r="D8" s="5" t="n">
        <v>9</v>
      </c>
      <c r="E8" s="5" t="n">
        <v>8</v>
      </c>
      <c r="F8" s="6" t="n">
        <v>0.5329999999999999</v>
      </c>
      <c r="G8" s="6" t="n">
        <v>0.6</v>
      </c>
      <c r="H8" s="6" t="n">
        <v>0.5329999999999999</v>
      </c>
      <c r="I8" s="7" t="n">
        <v>0.5553</v>
      </c>
    </row>
    <row r="9" ht="17" customHeight="1">
      <c r="A9" s="8" t="inlineStr">
        <is>
          <t>NIFTY MEDIA</t>
        </is>
      </c>
      <c r="B9" s="9" t="n">
        <v>10</v>
      </c>
      <c r="C9" s="9" t="n">
        <v>4</v>
      </c>
      <c r="D9" s="9" t="n">
        <v>6</v>
      </c>
      <c r="E9" s="9" t="n">
        <v>4</v>
      </c>
      <c r="F9" s="10" t="n">
        <v>0.4</v>
      </c>
      <c r="G9" s="10" t="n">
        <v>0.6</v>
      </c>
      <c r="H9" s="10" t="n">
        <v>0.4</v>
      </c>
      <c r="I9" s="11" t="n">
        <v>0.4667</v>
      </c>
    </row>
    <row r="10" ht="17" customHeight="1">
      <c r="A10" s="4" t="inlineStr">
        <is>
          <t>NIFTY METAL</t>
        </is>
      </c>
      <c r="B10" s="5" t="n">
        <v>15</v>
      </c>
      <c r="C10" s="5" t="n">
        <v>4</v>
      </c>
      <c r="D10" s="5" t="n">
        <v>4</v>
      </c>
      <c r="E10" s="5" t="n">
        <v>10</v>
      </c>
      <c r="F10" s="6" t="n">
        <v>0.267</v>
      </c>
      <c r="G10" s="6" t="n">
        <v>0.267</v>
      </c>
      <c r="H10" s="6" t="n">
        <v>0.667</v>
      </c>
      <c r="I10" s="7" t="n">
        <v>0.4003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9</v>
      </c>
      <c r="D11" s="9" t="n">
        <v>9</v>
      </c>
      <c r="E11" s="9" t="n">
        <v>6</v>
      </c>
      <c r="F11" s="10" t="n">
        <v>0.45</v>
      </c>
      <c r="G11" s="10" t="n">
        <v>0.45</v>
      </c>
      <c r="H11" s="10" t="n">
        <v>0.3</v>
      </c>
      <c r="I11" s="11" t="n">
        <v>0.4</v>
      </c>
    </row>
    <row r="12" ht="17" customHeight="1">
      <c r="A12" s="4" t="inlineStr">
        <is>
          <t>NIFTY FMCG</t>
        </is>
      </c>
      <c r="B12" s="5" t="n">
        <v>15</v>
      </c>
      <c r="C12" s="5" t="n">
        <v>7</v>
      </c>
      <c r="D12" s="5" t="n">
        <v>6</v>
      </c>
      <c r="E12" s="5" t="n">
        <v>5</v>
      </c>
      <c r="F12" s="6" t="n">
        <v>0.467</v>
      </c>
      <c r="G12" s="6" t="n">
        <v>0.4</v>
      </c>
      <c r="H12" s="6" t="n">
        <v>0.333</v>
      </c>
      <c r="I12" s="7" t="n">
        <v>0.4</v>
      </c>
    </row>
    <row r="13" ht="17" customHeight="1">
      <c r="A13" s="8" t="inlineStr">
        <is>
          <t>NIFTY PSU BANK</t>
        </is>
      </c>
      <c r="B13" s="9" t="n">
        <v>12</v>
      </c>
      <c r="C13" s="9" t="n">
        <v>5</v>
      </c>
      <c r="D13" s="9" t="n">
        <v>4</v>
      </c>
      <c r="E13" s="9" t="n">
        <v>5</v>
      </c>
      <c r="F13" s="10" t="n">
        <v>0.417</v>
      </c>
      <c r="G13" s="10" t="n">
        <v>0.333</v>
      </c>
      <c r="H13" s="10" t="n">
        <v>0.417</v>
      </c>
      <c r="I13" s="11" t="n">
        <v>0.389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6</v>
      </c>
      <c r="D14" s="5" t="n">
        <v>7</v>
      </c>
      <c r="E14" s="5" t="n">
        <v>3</v>
      </c>
      <c r="F14" s="6" t="n">
        <v>0.4</v>
      </c>
      <c r="G14" s="6" t="n">
        <v>0.467</v>
      </c>
      <c r="H14" s="6" t="n">
        <v>0.2</v>
      </c>
      <c r="I14" s="7" t="n">
        <v>0.3557</v>
      </c>
    </row>
    <row r="15" ht="17" customHeight="1">
      <c r="A15" s="8" t="inlineStr">
        <is>
          <t>NIFTY BANK</t>
        </is>
      </c>
      <c r="B15" s="9" t="n">
        <v>12</v>
      </c>
      <c r="C15" s="9" t="n">
        <v>3</v>
      </c>
      <c r="D15" s="9" t="n">
        <v>4</v>
      </c>
      <c r="E15" s="9" t="n">
        <v>4</v>
      </c>
      <c r="F15" s="10" t="n">
        <v>0.25</v>
      </c>
      <c r="G15" s="10" t="n">
        <v>0.333</v>
      </c>
      <c r="H15" s="10" t="n">
        <v>0.333</v>
      </c>
      <c r="I15" s="11" t="n">
        <v>0.3053</v>
      </c>
    </row>
    <row r="16" ht="17" customHeight="1">
      <c r="A16" s="4" t="inlineStr">
        <is>
          <t>NIFTY IT</t>
        </is>
      </c>
      <c r="B16" s="5" t="n">
        <v>10</v>
      </c>
      <c r="C16" s="5" t="n">
        <v>5</v>
      </c>
      <c r="D16" s="5" t="n">
        <v>3</v>
      </c>
      <c r="E16" s="5" t="n">
        <v>1</v>
      </c>
      <c r="F16" s="6" t="n">
        <v>0.5</v>
      </c>
      <c r="G16" s="6" t="n">
        <v>0.3</v>
      </c>
      <c r="H16" s="6" t="n">
        <v>0.1</v>
      </c>
      <c r="I16" s="7" t="n">
        <v>0.3</v>
      </c>
    </row>
    <row r="17" ht="17" customHeight="1">
      <c r="A17" s="8" t="inlineStr">
        <is>
          <t>NIFTY ENERGY</t>
        </is>
      </c>
      <c r="B17" s="9" t="n">
        <v>40</v>
      </c>
      <c r="C17" s="9" t="n">
        <v>7</v>
      </c>
      <c r="D17" s="9" t="n">
        <v>10</v>
      </c>
      <c r="E17" s="9" t="n">
        <v>16</v>
      </c>
      <c r="F17" s="10" t="n">
        <v>0.175</v>
      </c>
      <c r="G17" s="10" t="n">
        <v>0.25</v>
      </c>
      <c r="H17" s="10" t="n">
        <v>0.4</v>
      </c>
      <c r="I17" s="11" t="n">
        <v>0.275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GODREJPROP</t>
        </is>
      </c>
      <c r="C3" s="14" t="n">
        <v>2090.3</v>
      </c>
      <c r="D3" s="14" t="n">
        <v>1984.29</v>
      </c>
      <c r="E3" s="14" t="n">
        <v>1875.53</v>
      </c>
      <c r="F3" s="14" t="n">
        <v>1887.08</v>
      </c>
      <c r="G3" s="15">
        <f>HYPERLINK("https://www.tradingview.com/chart/?symbol=NSE:GODREJPROP","Chart 📈")</f>
        <v/>
      </c>
    </row>
    <row r="4" ht="16" customHeight="1">
      <c r="A4" s="16" t="inlineStr">
        <is>
          <t>NIFTY REALTY</t>
        </is>
      </c>
      <c r="B4" s="13" t="inlineStr">
        <is>
          <t>LODHA</t>
        </is>
      </c>
      <c r="C4" s="14" t="n">
        <v>1178.1</v>
      </c>
      <c r="D4" s="14" t="n">
        <v>1075.05</v>
      </c>
      <c r="E4" s="14" t="n">
        <v>992.02</v>
      </c>
      <c r="F4" s="14" t="n">
        <v>1025.02</v>
      </c>
      <c r="G4" s="15">
        <f>HYPERLINK("https://www.tradingview.com/chart/?symbol=NSE:LODHA","Chart 📈")</f>
        <v/>
      </c>
    </row>
    <row r="5" ht="16" customHeight="1">
      <c r="A5" s="16" t="inlineStr">
        <is>
          <t>NIFTY REALTY</t>
        </is>
      </c>
      <c r="B5" s="13" t="inlineStr">
        <is>
          <t>MAHLIFE</t>
        </is>
      </c>
      <c r="C5" s="14" t="n">
        <v>377.25</v>
      </c>
      <c r="D5" s="14" t="n">
        <v>364.68</v>
      </c>
      <c r="E5" s="14" t="n">
        <v>352.3</v>
      </c>
      <c r="F5" s="14" t="n">
        <v>353.74</v>
      </c>
      <c r="G5" s="15">
        <f>HYPERLINK("https://www.tradingview.com/chart/?symbol=NSE:MAHLIFE","Chart 📈")</f>
        <v/>
      </c>
    </row>
    <row r="6" ht="16" customHeight="1">
      <c r="A6" s="16" t="inlineStr">
        <is>
          <t>NIFTY REALTY</t>
        </is>
      </c>
      <c r="B6" s="13" t="inlineStr">
        <is>
          <t>OBEROIRLTY</t>
        </is>
      </c>
      <c r="C6" s="14" t="n">
        <v>1861.2</v>
      </c>
      <c r="D6" s="14" t="n">
        <v>1836.49</v>
      </c>
      <c r="E6" s="14" t="n">
        <v>1752.55</v>
      </c>
      <c r="F6" s="14" t="n">
        <v>1672.98</v>
      </c>
      <c r="G6" s="15">
        <f>HYPERLINK("https://www.tradingview.com/chart/?symbol=NSE:OBEROIRLTY","Chart 📈")</f>
        <v/>
      </c>
    </row>
    <row r="7" ht="16" customHeight="1">
      <c r="A7" s="16" t="inlineStr">
        <is>
          <t>NIFTY REALTY</t>
        </is>
      </c>
      <c r="B7" s="13" t="inlineStr">
        <is>
          <t>PHOENIXLTD</t>
        </is>
      </c>
      <c r="C7" s="14" t="n">
        <v>2086.2</v>
      </c>
      <c r="D7" s="14" t="n">
        <v>2022.19</v>
      </c>
      <c r="E7" s="14" t="n">
        <v>1908.94</v>
      </c>
      <c r="F7" s="14" t="n">
        <v>1752.49</v>
      </c>
      <c r="G7" s="15">
        <f>HYPERLINK("https://www.tradingview.com/chart/?symbol=NSE:PHOENIXLTD","Chart 📈")</f>
        <v/>
      </c>
    </row>
    <row r="8" ht="16" customHeight="1">
      <c r="A8" s="16" t="inlineStr">
        <is>
          <t>NIFTY REALTY</t>
        </is>
      </c>
      <c r="B8" s="13" t="inlineStr">
        <is>
          <t>PRESTIGE</t>
        </is>
      </c>
      <c r="C8" s="14" t="n">
        <v>1641.7</v>
      </c>
      <c r="D8" s="14" t="n">
        <v>1621</v>
      </c>
      <c r="E8" s="14" t="n">
        <v>1527.19</v>
      </c>
      <c r="F8" s="14" t="n">
        <v>1507.29</v>
      </c>
      <c r="G8" s="15">
        <f>HYPERLINK("https://www.tradingview.com/chart/?symbol=NSE:PRESTIGE","Chart 📈")</f>
        <v/>
      </c>
    </row>
    <row r="9" ht="16" customHeight="1">
      <c r="A9" s="16" t="inlineStr">
        <is>
          <t>NIFTY REALTY</t>
        </is>
      </c>
      <c r="B9" s="13" t="inlineStr">
        <is>
          <t>RAYMOND</t>
        </is>
      </c>
      <c r="C9" s="14" t="n">
        <v>613.65</v>
      </c>
      <c r="D9" s="14" t="n">
        <v>601.14</v>
      </c>
      <c r="E9" s="14" t="n">
        <v>560.61</v>
      </c>
      <c r="F9" s="14" t="n">
        <v>517.8099999999999</v>
      </c>
      <c r="G9" s="15">
        <f>HYPERLINK("https://www.tradingview.com/chart/?symbol=NSE:RAYMOND","Chart 📈")</f>
        <v/>
      </c>
    </row>
    <row r="10" ht="16" customHeight="1">
      <c r="A10" s="16" t="inlineStr">
        <is>
          <t>NIFTY REALTY</t>
        </is>
      </c>
      <c r="B10" s="13" t="inlineStr">
        <is>
          <t>SOBHA</t>
        </is>
      </c>
      <c r="C10" s="14" t="n">
        <v>1493</v>
      </c>
      <c r="D10" s="14" t="n">
        <v>1446.83</v>
      </c>
      <c r="E10" s="14" t="n">
        <v>1411.38</v>
      </c>
      <c r="F10" s="14" t="n">
        <v>1436.67</v>
      </c>
      <c r="G10" s="15">
        <f>HYPERLINK("https://www.tradingview.com/chart/?symbol=NSE:SOBHA","Chart 📈")</f>
        <v/>
      </c>
    </row>
    <row r="11" ht="16" customHeight="1">
      <c r="A11" s="8" t="inlineStr">
        <is>
          <t>NIFTY PHARMA</t>
        </is>
      </c>
      <c r="B11" s="17" t="inlineStr">
        <is>
          <t>ABBOTINDIA</t>
        </is>
      </c>
      <c r="C11" s="18" t="n">
        <v>27870</v>
      </c>
      <c r="D11" s="18" t="n">
        <v>26700.04</v>
      </c>
      <c r="E11" s="18" t="n">
        <v>26516</v>
      </c>
      <c r="F11" s="18" t="n">
        <v>27795.2</v>
      </c>
      <c r="G11" s="19">
        <f>HYPERLINK("https://www.tradingview.com/chart/?symbol=NSE:ABBOTINDIA","Chart 📈")</f>
        <v/>
      </c>
    </row>
    <row r="12" ht="16" customHeight="1">
      <c r="A12" s="20" t="inlineStr">
        <is>
          <t>NIFTY PHARMA</t>
        </is>
      </c>
      <c r="B12" s="17" t="inlineStr">
        <is>
          <t>AJANTPHARM</t>
        </is>
      </c>
      <c r="C12" s="18" t="n">
        <v>3452.8</v>
      </c>
      <c r="D12" s="18" t="n">
        <v>3313.47</v>
      </c>
      <c r="E12" s="18" t="n">
        <v>3181.79</v>
      </c>
      <c r="F12" s="18" t="n">
        <v>2925.6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5709</v>
      </c>
      <c r="D13" s="18" t="n">
        <v>5558.26</v>
      </c>
      <c r="E13" s="18" t="n">
        <v>5488.31</v>
      </c>
      <c r="F13" s="18" t="n">
        <v>5428.86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1548.4</v>
      </c>
      <c r="D14" s="18" t="n">
        <v>1544.55</v>
      </c>
      <c r="E14" s="18" t="n">
        <v>1496.09</v>
      </c>
      <c r="F14" s="18" t="n">
        <v>1334.4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440.7</v>
      </c>
      <c r="D15" s="18" t="n">
        <v>420.21</v>
      </c>
      <c r="E15" s="18" t="n">
        <v>412.02</v>
      </c>
      <c r="F15" s="18" t="n">
        <v>392.7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DIVISLAB</t>
        </is>
      </c>
      <c r="C16" s="18" t="n">
        <v>7316</v>
      </c>
      <c r="D16" s="18" t="n">
        <v>6880.72</v>
      </c>
      <c r="E16" s="18" t="n">
        <v>6728.31</v>
      </c>
      <c r="F16" s="18" t="n">
        <v>6514.75</v>
      </c>
      <c r="G16" s="19">
        <f>HYPERLINK("https://www.tradingview.com/chart/?symbol=NSE:DIVISLAB","Chart 📈")</f>
        <v/>
      </c>
    </row>
    <row r="17" ht="16" customHeight="1">
      <c r="A17" s="20" t="inlineStr">
        <is>
          <t>NIFTY PHARMA</t>
        </is>
      </c>
      <c r="B17" s="17" t="inlineStr">
        <is>
          <t>GLAND</t>
        </is>
      </c>
      <c r="C17" s="18" t="n">
        <v>2529.4</v>
      </c>
      <c r="D17" s="18" t="n">
        <v>2421.94</v>
      </c>
      <c r="E17" s="18" t="n">
        <v>2271.63</v>
      </c>
      <c r="F17" s="18" t="n">
        <v>1999.8</v>
      </c>
      <c r="G17" s="19">
        <f>HYPERLINK("https://www.tradingview.com/chart/?symbol=NSE:GLAND","Chart 📈")</f>
        <v/>
      </c>
    </row>
    <row r="18" ht="16" customHeight="1">
      <c r="A18" s="20" t="inlineStr">
        <is>
          <t>NIFTY PHARMA</t>
        </is>
      </c>
      <c r="B18" s="17" t="inlineStr">
        <is>
          <t>GLENMARK</t>
        </is>
      </c>
      <c r="C18" s="18" t="n">
        <v>2286.9</v>
      </c>
      <c r="D18" s="18" t="n">
        <v>2245.45</v>
      </c>
      <c r="E18" s="18" t="n">
        <v>2233.47</v>
      </c>
      <c r="F18" s="18" t="n">
        <v>2156.36</v>
      </c>
      <c r="G18" s="19">
        <f>HYPERLINK("https://www.tradingview.com/chart/?symbol=NSE:GLENMARK","Chart 📈")</f>
        <v/>
      </c>
    </row>
    <row r="19" ht="16" customHeight="1">
      <c r="A19" s="20" t="inlineStr">
        <is>
          <t>NIFTY PHARMA</t>
        </is>
      </c>
      <c r="B19" s="17" t="inlineStr">
        <is>
          <t>GRANULES</t>
        </is>
      </c>
      <c r="C19" s="18" t="n">
        <v>903.25</v>
      </c>
      <c r="D19" s="18" t="n">
        <v>846.08</v>
      </c>
      <c r="E19" s="18" t="n">
        <v>792.1799999999999</v>
      </c>
      <c r="F19" s="18" t="n">
        <v>665.35</v>
      </c>
      <c r="G19" s="19">
        <f>HYPERLINK("https://www.tradingview.com/chart/?symbol=NSE:GRANULES","Chart 📈")</f>
        <v/>
      </c>
    </row>
    <row r="20" ht="16" customHeight="1">
      <c r="A20" s="20" t="inlineStr">
        <is>
          <t>NIFTY PHARMA</t>
        </is>
      </c>
      <c r="B20" s="17" t="inlineStr">
        <is>
          <t>IPCALAB</t>
        </is>
      </c>
      <c r="C20" s="18" t="n">
        <v>1890.2</v>
      </c>
      <c r="D20" s="18" t="n">
        <v>1749.85</v>
      </c>
      <c r="E20" s="18" t="n">
        <v>1663.09</v>
      </c>
      <c r="F20" s="18" t="n">
        <v>1535.68</v>
      </c>
      <c r="G20" s="19">
        <f>HYPERLINK("https://www.tradingview.com/chart/?symbol=NSE:IPCALAB","Chart 📈")</f>
        <v/>
      </c>
    </row>
    <row r="21" ht="16" customHeight="1">
      <c r="A21" s="20" t="inlineStr">
        <is>
          <t>NIFTY PHARMA</t>
        </is>
      </c>
      <c r="B21" s="17" t="inlineStr">
        <is>
          <t>JBCHEPHARM</t>
        </is>
      </c>
      <c r="C21" s="18" t="n">
        <v>2408.9</v>
      </c>
      <c r="D21" s="18" t="n">
        <v>2367.26</v>
      </c>
      <c r="E21" s="18" t="n">
        <v>2260.85</v>
      </c>
      <c r="F21" s="18" t="n">
        <v>2017.72</v>
      </c>
      <c r="G21" s="19">
        <f>HYPERLINK("https://www.tradingview.com/chart/?symbol=NSE:JBCHEPHARM","Chart 📈")</f>
        <v/>
      </c>
    </row>
    <row r="22" ht="16" customHeight="1">
      <c r="A22" s="20" t="inlineStr">
        <is>
          <t>NIFTY PHARMA</t>
        </is>
      </c>
      <c r="B22" s="17" t="inlineStr">
        <is>
          <t>LAURUSLABS</t>
        </is>
      </c>
      <c r="C22" s="18" t="n">
        <v>1557.6</v>
      </c>
      <c r="D22" s="18" t="n">
        <v>1499.94</v>
      </c>
      <c r="E22" s="18" t="n">
        <v>1407.84</v>
      </c>
      <c r="F22" s="18" t="n">
        <v>1163.91</v>
      </c>
      <c r="G22" s="19">
        <f>HYPERLINK("https://www.tradingview.com/chart/?symbol=NSE:LAURUSLABS","Chart 📈")</f>
        <v/>
      </c>
    </row>
    <row r="23" ht="16" customHeight="1">
      <c r="A23" s="20" t="inlineStr">
        <is>
          <t>NIFTY PHARMA</t>
        </is>
      </c>
      <c r="B23" s="17" t="inlineStr">
        <is>
          <t>LUPIN</t>
        </is>
      </c>
      <c r="C23" s="18" t="n">
        <v>2500.5</v>
      </c>
      <c r="D23" s="18" t="n">
        <v>2434.6</v>
      </c>
      <c r="E23" s="18" t="n">
        <v>2370.4</v>
      </c>
      <c r="F23" s="18" t="n">
        <v>2226.26</v>
      </c>
      <c r="G23" s="19">
        <f>HYPERLINK("https://www.tradingview.com/chart/?symbol=NSE:LUPIN","Chart 📈")</f>
        <v/>
      </c>
    </row>
    <row r="24" ht="16" customHeight="1">
      <c r="A24" s="20" t="inlineStr">
        <is>
          <t>NIFTY PHARMA</t>
        </is>
      </c>
      <c r="B24" s="17" t="inlineStr">
        <is>
          <t>MANKIND</t>
        </is>
      </c>
      <c r="C24" s="18" t="n">
        <v>2546</v>
      </c>
      <c r="D24" s="18" t="n">
        <v>2499.76</v>
      </c>
      <c r="E24" s="18" t="n">
        <v>2431.08</v>
      </c>
      <c r="F24" s="18" t="n">
        <v>2346.12</v>
      </c>
      <c r="G24" s="19">
        <f>HYPERLINK("https://www.tradingview.com/chart/?symbol=NSE:MANKIND","Chart 📈")</f>
        <v/>
      </c>
    </row>
    <row r="25" ht="16" customHeight="1">
      <c r="A25" s="20" t="inlineStr">
        <is>
          <t>NIFTY PHARMA</t>
        </is>
      </c>
      <c r="B25" s="17" t="inlineStr">
        <is>
          <t>SUNPHARMA</t>
        </is>
      </c>
      <c r="C25" s="18" t="n">
        <v>1950.1</v>
      </c>
      <c r="D25" s="18" t="n">
        <v>1896.31</v>
      </c>
      <c r="E25" s="18" t="n">
        <v>1851.11</v>
      </c>
      <c r="F25" s="18" t="n">
        <v>1765.87</v>
      </c>
      <c r="G25" s="19">
        <f>HYPERLINK("https://www.tradingview.com/chart/?symbol=NSE:SUNPHARMA","Chart 📈")</f>
        <v/>
      </c>
    </row>
    <row r="26" ht="16" customHeight="1">
      <c r="A26" s="20" t="inlineStr">
        <is>
          <t>NIFTY PHARMA</t>
        </is>
      </c>
      <c r="B26" s="17" t="inlineStr">
        <is>
          <t>TORNTPHARM</t>
        </is>
      </c>
      <c r="C26" s="18" t="n">
        <v>4987.6</v>
      </c>
      <c r="D26" s="18" t="n">
        <v>4778.05</v>
      </c>
      <c r="E26" s="18" t="n">
        <v>4588.37</v>
      </c>
      <c r="F26" s="18" t="n">
        <v>4170.32</v>
      </c>
      <c r="G26" s="19">
        <f>HYPERLINK("https://www.tradingview.com/chart/?symbol=NSE:TORNTPHARM","Chart 📈")</f>
        <v/>
      </c>
    </row>
    <row r="27" ht="16" customHeight="1">
      <c r="A27" s="20" t="inlineStr">
        <is>
          <t>NIFTY PHARMA</t>
        </is>
      </c>
      <c r="B27" s="17" t="inlineStr">
        <is>
          <t>ZYDUSLIFE</t>
        </is>
      </c>
      <c r="C27" s="18" t="n">
        <v>1153.9</v>
      </c>
      <c r="D27" s="18" t="n">
        <v>1126.74</v>
      </c>
      <c r="E27" s="18" t="n">
        <v>1079.4</v>
      </c>
      <c r="F27" s="18" t="n">
        <v>991.4299999999999</v>
      </c>
      <c r="G27" s="19">
        <f>HYPERLINK("https://www.tradingview.com/chart/?symbol=NSE:ZYDUSLIFE","Chart 📈")</f>
        <v/>
      </c>
    </row>
    <row r="28" ht="16" customHeight="1">
      <c r="A28" s="12" t="inlineStr">
        <is>
          <t>NIFTY AUTO</t>
        </is>
      </c>
      <c r="B28" s="13" t="inlineStr">
        <is>
          <t>BAJAJ-AUTO</t>
        </is>
      </c>
      <c r="C28" s="14" t="n">
        <v>10331.5</v>
      </c>
      <c r="D28" s="14" t="n">
        <v>10111.05</v>
      </c>
      <c r="E28" s="14" t="n">
        <v>10032.62</v>
      </c>
      <c r="F28" s="14" t="n">
        <v>9497.24</v>
      </c>
      <c r="G28" s="15">
        <f>HYPERLINK("https://www.tradingview.com/chart/?symbol=NSE:BAJAJ-AUTO","Chart 📈")</f>
        <v/>
      </c>
    </row>
    <row r="29" ht="16" customHeight="1">
      <c r="A29" s="16" t="inlineStr">
        <is>
          <t>NIFTY AUTO</t>
        </is>
      </c>
      <c r="B29" s="13" t="inlineStr">
        <is>
          <t>BHARATFORG</t>
        </is>
      </c>
      <c r="C29" s="14" t="n">
        <v>2104.7</v>
      </c>
      <c r="D29" s="14" t="n">
        <v>2097.72</v>
      </c>
      <c r="E29" s="14" t="n">
        <v>2019.06</v>
      </c>
      <c r="F29" s="14" t="n">
        <v>1724.76</v>
      </c>
      <c r="G29" s="15">
        <f>HYPERLINK("https://www.tradingview.com/chart/?symbol=NSE:BHARATFORG","Chart 📈")</f>
        <v/>
      </c>
    </row>
    <row r="30" ht="16" customHeight="1">
      <c r="A30" s="16" t="inlineStr">
        <is>
          <t>NIFTY AUTO</t>
        </is>
      </c>
      <c r="B30" s="13" t="inlineStr">
        <is>
          <t>BOSCHLTD</t>
        </is>
      </c>
      <c r="C30" s="14" t="n">
        <v>41110</v>
      </c>
      <c r="D30" s="14" t="n">
        <v>40873.11</v>
      </c>
      <c r="E30" s="14" t="n">
        <v>39249.32</v>
      </c>
      <c r="F30" s="14" t="n">
        <v>37392.84</v>
      </c>
      <c r="G30" s="15">
        <f>HYPERLINK("https://www.tradingview.com/chart/?symbol=NSE:BOSCHLTD","Chart 📈")</f>
        <v/>
      </c>
    </row>
    <row r="31" ht="16" customHeight="1">
      <c r="A31" s="16" t="inlineStr">
        <is>
          <t>NIFTY AUTO</t>
        </is>
      </c>
      <c r="B31" s="13" t="inlineStr">
        <is>
          <t>EICHERMOT</t>
        </is>
      </c>
      <c r="C31" s="14" t="n">
        <v>7418.5</v>
      </c>
      <c r="D31" s="14" t="n">
        <v>7375.55</v>
      </c>
      <c r="E31" s="14" t="n">
        <v>7322.22</v>
      </c>
      <c r="F31" s="14" t="n">
        <v>7055.08</v>
      </c>
      <c r="G31" s="15">
        <f>HYPERLINK("https://www.tradingview.com/chart/?symbol=NSE:EICHERMOT","Chart 📈")</f>
        <v/>
      </c>
    </row>
    <row r="32" ht="16" customHeight="1">
      <c r="A32" s="16" t="inlineStr">
        <is>
          <t>NIFTY AUTO</t>
        </is>
      </c>
      <c r="B32" s="13" t="inlineStr">
        <is>
          <t>EXIDEIND</t>
        </is>
      </c>
      <c r="C32" s="14" t="n">
        <v>421.3</v>
      </c>
      <c r="D32" s="14" t="n">
        <v>408.3</v>
      </c>
      <c r="E32" s="14" t="n">
        <v>388.23</v>
      </c>
      <c r="F32" s="14" t="n">
        <v>366.05</v>
      </c>
      <c r="G32" s="15">
        <f>HYPERLINK("https://www.tradingview.com/chart/?symbol=NSE:EXIDEIND","Chart 📈")</f>
        <v/>
      </c>
    </row>
    <row r="33" ht="16" customHeight="1">
      <c r="A33" s="8" t="inlineStr">
        <is>
          <t>NIFTY MIDSMALL IT &amp; TELECOM</t>
        </is>
      </c>
      <c r="B33" s="17" t="inlineStr">
        <is>
          <t>COFORGE</t>
        </is>
      </c>
      <c r="C33" s="18" t="n">
        <v>1530.7</v>
      </c>
      <c r="D33" s="18" t="n">
        <v>1485.07</v>
      </c>
      <c r="E33" s="18" t="n">
        <v>1433.6</v>
      </c>
      <c r="F33" s="18" t="n">
        <v>1491.76</v>
      </c>
      <c r="G33" s="19">
        <f>HYPERLINK("https://www.tradingview.com/chart/?symbol=NSE:COFORGE","Chart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HFCL</t>
        </is>
      </c>
      <c r="C34" s="18" t="n">
        <v>224.38</v>
      </c>
      <c r="D34" s="18" t="n">
        <v>210.85</v>
      </c>
      <c r="E34" s="18" t="n">
        <v>185.13</v>
      </c>
      <c r="F34" s="18" t="n">
        <v>122.47</v>
      </c>
      <c r="G34" s="19">
        <f>HYPERLINK("https://www.tradingview.com/chart/?symbol=NSE:HFCL","Chart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OFSS</t>
        </is>
      </c>
      <c r="C35" s="18" t="n">
        <v>11681</v>
      </c>
      <c r="D35" s="18" t="n">
        <v>11008.94</v>
      </c>
      <c r="E35" s="18" t="n">
        <v>10181.84</v>
      </c>
      <c r="F35" s="18" t="n">
        <v>8725.530000000001</v>
      </c>
      <c r="G35" s="19">
        <f>HYPERLINK("https://www.tradingview.com/chart/?symbol=NSE:OFSS","Chart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SONATSOFTW</t>
        </is>
      </c>
      <c r="C36" s="18" t="n">
        <v>308.25</v>
      </c>
      <c r="D36" s="18" t="n">
        <v>287.99</v>
      </c>
      <c r="E36" s="18" t="n">
        <v>279.67</v>
      </c>
      <c r="F36" s="18" t="n">
        <v>303.96</v>
      </c>
      <c r="G36" s="19">
        <f>HYPERLINK("https://www.tradingview.com/chart/?symbol=NSE:SONATSOFTW","Chart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TANLA</t>
        </is>
      </c>
      <c r="C37" s="18" t="n">
        <v>588.3</v>
      </c>
      <c r="D37" s="18" t="n">
        <v>542.72</v>
      </c>
      <c r="E37" s="18" t="n">
        <v>526.7</v>
      </c>
      <c r="F37" s="18" t="n">
        <v>531.27</v>
      </c>
      <c r="G37" s="19">
        <f>HYPERLINK("https://www.tradingview.com/chart/?symbol=NSE:TANLA","Chart 📈")</f>
        <v/>
      </c>
    </row>
    <row r="38" ht="16" customHeight="1">
      <c r="A38" s="20" t="inlineStr">
        <is>
          <t>NIFTY MIDSMALL IT &amp; TELECOM</t>
        </is>
      </c>
      <c r="B38" s="17" t="inlineStr">
        <is>
          <t>TATATECH</t>
        </is>
      </c>
      <c r="C38" s="18" t="n">
        <v>765.55</v>
      </c>
      <c r="D38" s="18" t="n">
        <v>732.4400000000001</v>
      </c>
      <c r="E38" s="18" t="n">
        <v>703.59</v>
      </c>
      <c r="F38" s="18" t="n">
        <v>660.48</v>
      </c>
      <c r="G38" s="19">
        <f>HYPERLINK("https://www.tradingview.com/chart/?symbol=NSE:TATATECH","Chart 📈")</f>
        <v/>
      </c>
    </row>
    <row r="39" ht="16" customHeight="1">
      <c r="A39" s="12" t="inlineStr">
        <is>
          <t>NIFTY CONSUMER DURABLES</t>
        </is>
      </c>
      <c r="B39" s="13" t="inlineStr">
        <is>
          <t>AMBER</t>
        </is>
      </c>
      <c r="C39" s="14" t="n">
        <v>8016.5</v>
      </c>
      <c r="D39" s="14" t="n">
        <v>7700.04</v>
      </c>
      <c r="E39" s="14" t="n">
        <v>7654.98</v>
      </c>
      <c r="F39" s="14" t="n">
        <v>7458.44</v>
      </c>
      <c r="G39" s="15">
        <f>HYPERLINK("https://www.tradingview.com/chart/?symbol=NSE:AMBER","Chart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CENTURYPLY</t>
        </is>
      </c>
      <c r="C40" s="14" t="n">
        <v>788.95</v>
      </c>
      <c r="D40" s="14" t="n">
        <v>772.15</v>
      </c>
      <c r="E40" s="14" t="n">
        <v>764.55</v>
      </c>
      <c r="F40" s="14" t="n">
        <v>759.2</v>
      </c>
      <c r="G40" s="15">
        <f>HYPERLINK("https://www.tradingview.com/chart/?symbol=NSE:CENTURYPLY","Chart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DIXON</t>
        </is>
      </c>
      <c r="C41" s="14" t="n">
        <v>14507</v>
      </c>
      <c r="D41" s="14" t="n">
        <v>12934.16</v>
      </c>
      <c r="E41" s="14" t="n">
        <v>12226.12</v>
      </c>
      <c r="F41" s="14" t="n">
        <v>12578.03</v>
      </c>
      <c r="G41" s="15">
        <f>HYPERLINK("https://www.tradingview.com/chart/?symbol=NSE:DIXON","Chart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KAJARIACER</t>
        </is>
      </c>
      <c r="C42" s="14" t="n">
        <v>1241.8</v>
      </c>
      <c r="D42" s="14" t="n">
        <v>1201.99</v>
      </c>
      <c r="E42" s="14" t="n">
        <v>1155.39</v>
      </c>
      <c r="F42" s="14" t="n">
        <v>1102.65</v>
      </c>
      <c r="G42" s="15">
        <f>HYPERLINK("https://www.tradingview.com/chart/?symbol=NSE:KAJARIACER","Chart 📈")</f>
        <v/>
      </c>
    </row>
    <row r="43" ht="16" customHeight="1">
      <c r="A43" s="16" t="inlineStr">
        <is>
          <t>NIFTY CONSUMER DURABLES</t>
        </is>
      </c>
      <c r="B43" s="13" t="inlineStr">
        <is>
          <t>KALYANKJIL</t>
        </is>
      </c>
      <c r="C43" s="14" t="n">
        <v>546.6</v>
      </c>
      <c r="D43" s="14" t="n">
        <v>437.8</v>
      </c>
      <c r="E43" s="14" t="n">
        <v>405.65</v>
      </c>
      <c r="F43" s="14" t="n">
        <v>433.57</v>
      </c>
      <c r="G43" s="15">
        <f>HYPERLINK("https://www.tradingview.com/chart/?symbol=NSE:KALYANKJIL","Chart 📈")</f>
        <v/>
      </c>
    </row>
    <row r="44" ht="16" customHeight="1">
      <c r="A44" s="16" t="inlineStr">
        <is>
          <t>NIFTY CONSUMER DURABLES</t>
        </is>
      </c>
      <c r="B44" s="13" t="inlineStr">
        <is>
          <t>TITAN</t>
        </is>
      </c>
      <c r="C44" s="14" t="n">
        <v>4625.8</v>
      </c>
      <c r="D44" s="14" t="n">
        <v>4469.19</v>
      </c>
      <c r="E44" s="14" t="n">
        <v>4350.53</v>
      </c>
      <c r="F44" s="14" t="n">
        <v>4091.45</v>
      </c>
      <c r="G44" s="15">
        <f>HYPERLINK("https://www.tradingview.com/chart/?symbol=NSE:TITAN","Chart 📈")</f>
        <v/>
      </c>
    </row>
    <row r="45" ht="16" customHeight="1">
      <c r="A45" s="16" t="inlineStr">
        <is>
          <t>NIFTY CONSUMER DURABLES</t>
        </is>
      </c>
      <c r="B45" s="13" t="inlineStr">
        <is>
          <t>VOLTAS</t>
        </is>
      </c>
      <c r="C45" s="14" t="n">
        <v>1373.9</v>
      </c>
      <c r="D45" s="14" t="n">
        <v>1315.54</v>
      </c>
      <c r="E45" s="14" t="n">
        <v>1315.94</v>
      </c>
      <c r="F45" s="14" t="n">
        <v>1355.86</v>
      </c>
      <c r="G45" s="15">
        <f>HYPERLINK("https://www.tradingview.com/chart/?symbol=NSE:VOLTAS","Chart 📈")</f>
        <v/>
      </c>
    </row>
    <row r="46" ht="16" customHeight="1">
      <c r="A46" s="8" t="inlineStr">
        <is>
          <t>NIFTY MEDIA</t>
        </is>
      </c>
      <c r="B46" s="17" t="inlineStr">
        <is>
          <t>NAZARA</t>
        </is>
      </c>
      <c r="C46" s="18" t="n">
        <v>308.05</v>
      </c>
      <c r="D46" s="18" t="n">
        <v>301.09</v>
      </c>
      <c r="E46" s="18" t="n">
        <v>290.84</v>
      </c>
      <c r="F46" s="18" t="n">
        <v>281.83</v>
      </c>
      <c r="G46" s="19">
        <f>HYPERLINK("https://www.tradingview.com/chart/?symbol=NSE:NAZARA","Chart 📈")</f>
        <v/>
      </c>
    </row>
    <row r="47" ht="16" customHeight="1">
      <c r="A47" s="20" t="inlineStr">
        <is>
          <t>NIFTY MEDIA</t>
        </is>
      </c>
      <c r="B47" s="17" t="inlineStr">
        <is>
          <t>SAREGAMA</t>
        </is>
      </c>
      <c r="C47" s="18" t="n">
        <v>489.55</v>
      </c>
      <c r="D47" s="18" t="n">
        <v>476.85</v>
      </c>
      <c r="E47" s="18" t="n">
        <v>447.39</v>
      </c>
      <c r="F47" s="18" t="n">
        <v>409.73</v>
      </c>
      <c r="G47" s="19">
        <f>HYPERLINK("https://www.tradingview.com/chart/?symbol=NSE:SAREGAMA","Chart 📈")</f>
        <v/>
      </c>
    </row>
    <row r="48" ht="16" customHeight="1">
      <c r="A48" s="20" t="inlineStr">
        <is>
          <t>NIFTY MEDIA</t>
        </is>
      </c>
      <c r="B48" s="17" t="inlineStr">
        <is>
          <t>ZEEL</t>
        </is>
      </c>
      <c r="C48" s="18" t="n">
        <v>105.82</v>
      </c>
      <c r="D48" s="18" t="n">
        <v>103.96</v>
      </c>
      <c r="E48" s="18" t="n">
        <v>100.81</v>
      </c>
      <c r="F48" s="18" t="n">
        <v>99.45</v>
      </c>
      <c r="G48" s="19">
        <f>HYPERLINK("https://www.tradingview.com/chart/?symbol=NSE:ZEEL","Chart 📈")</f>
        <v/>
      </c>
    </row>
    <row r="49" ht="16" customHeight="1">
      <c r="A49" s="12" t="inlineStr">
        <is>
          <t>NIFTY METAL</t>
        </is>
      </c>
      <c r="B49" s="13" t="inlineStr">
        <is>
          <t>ADANIENT</t>
        </is>
      </c>
      <c r="C49" s="14" t="n">
        <v>3151.4</v>
      </c>
      <c r="D49" s="14" t="n">
        <v>3094.34</v>
      </c>
      <c r="E49" s="14" t="n">
        <v>2914.38</v>
      </c>
      <c r="F49" s="14" t="n">
        <v>2544.78</v>
      </c>
      <c r="G49" s="15">
        <f>HYPERLINK("https://www.tradingview.com/chart/?symbol=NSE:ADANIENT","Chart 📈")</f>
        <v/>
      </c>
    </row>
    <row r="50" ht="16" customHeight="1">
      <c r="A50" s="16" t="inlineStr">
        <is>
          <t>NIFTY METAL</t>
        </is>
      </c>
      <c r="B50" s="13" t="inlineStr">
        <is>
          <t>JSL</t>
        </is>
      </c>
      <c r="C50" s="14" t="n">
        <v>737.5</v>
      </c>
      <c r="D50" s="14" t="n">
        <v>707.52</v>
      </c>
      <c r="E50" s="14" t="n">
        <v>713.0599999999999</v>
      </c>
      <c r="F50" s="14" t="n">
        <v>735.1</v>
      </c>
      <c r="G50" s="15">
        <f>HYPERLINK("https://www.tradingview.com/chart/?symbol=NSE:JSL","Chart 📈")</f>
        <v/>
      </c>
    </row>
    <row r="51" ht="16" customHeight="1">
      <c r="A51" s="16" t="inlineStr">
        <is>
          <t>NIFTY METAL</t>
        </is>
      </c>
      <c r="B51" s="13" t="inlineStr">
        <is>
          <t>RATNAMANI</t>
        </is>
      </c>
      <c r="C51" s="14" t="n">
        <v>2617.5</v>
      </c>
      <c r="D51" s="14" t="n">
        <v>2607.51</v>
      </c>
      <c r="E51" s="14" t="n">
        <v>2587.16</v>
      </c>
      <c r="F51" s="14" t="n">
        <v>2501.68</v>
      </c>
      <c r="G51" s="15">
        <f>HYPERLINK("https://www.tradingview.com/chart/?symbol=NSE:RATNAMANI","Chart 📈")</f>
        <v/>
      </c>
    </row>
    <row r="52" ht="16" customHeight="1">
      <c r="A52" s="16" t="inlineStr">
        <is>
          <t>NIFTY METAL</t>
        </is>
      </c>
      <c r="B52" s="13" t="inlineStr">
        <is>
          <t>WELCORP</t>
        </is>
      </c>
      <c r="C52" s="14" t="n">
        <v>1684</v>
      </c>
      <c r="D52" s="14" t="n">
        <v>1544.77</v>
      </c>
      <c r="E52" s="14" t="n">
        <v>1414.75</v>
      </c>
      <c r="F52" s="14" t="n">
        <v>1107.38</v>
      </c>
      <c r="G52" s="15">
        <f>HYPERLINK("https://www.tradingview.com/chart/?symbol=NSE:WELCORP","Chart 📈")</f>
        <v/>
      </c>
    </row>
    <row r="53" ht="16" customHeight="1">
      <c r="A53" s="8" t="inlineStr">
        <is>
          <t>NIFTY FINANCIAL SERVICES</t>
        </is>
      </c>
      <c r="B53" s="17" t="inlineStr">
        <is>
          <t>BAJFINANCE</t>
        </is>
      </c>
      <c r="C53" s="18" t="n">
        <v>1037.6</v>
      </c>
      <c r="D53" s="18" t="n">
        <v>999.47</v>
      </c>
      <c r="E53" s="18" t="n">
        <v>964.37</v>
      </c>
      <c r="F53" s="18" t="n">
        <v>946.45</v>
      </c>
      <c r="G53" s="19">
        <f>HYPERLINK("https://www.tradingview.com/chart/?symbol=NSE:BAJFINANCE","Chart 📈")</f>
        <v/>
      </c>
    </row>
    <row r="54" ht="16" customHeight="1">
      <c r="A54" s="20" t="inlineStr">
        <is>
          <t>NIFTY FINANCIAL SERVICES</t>
        </is>
      </c>
      <c r="B54" s="17" t="inlineStr">
        <is>
          <t>CHOLAFIN</t>
        </is>
      </c>
      <c r="C54" s="18" t="n">
        <v>1789.1</v>
      </c>
      <c r="D54" s="18" t="n">
        <v>1764.01</v>
      </c>
      <c r="E54" s="18" t="n">
        <v>1688.18</v>
      </c>
      <c r="F54" s="18" t="n">
        <v>1627.91</v>
      </c>
      <c r="G54" s="19">
        <f>HYPERLINK("https://www.tradingview.com/chart/?symbol=NSE:CHOLAFIN","Chart 📈")</f>
        <v/>
      </c>
    </row>
    <row r="55" ht="16" customHeight="1">
      <c r="A55" s="20" t="inlineStr">
        <is>
          <t>NIFTY FINANCIAL SERVICES</t>
        </is>
      </c>
      <c r="B55" s="17" t="inlineStr">
        <is>
          <t>ICICIBANK</t>
        </is>
      </c>
      <c r="C55" s="18" t="n">
        <v>1418.2</v>
      </c>
      <c r="D55" s="18" t="n">
        <v>1385.13</v>
      </c>
      <c r="E55" s="18" t="n">
        <v>1346.96</v>
      </c>
      <c r="F55" s="18" t="n">
        <v>1345.84</v>
      </c>
      <c r="G55" s="19">
        <f>HYPERLINK("https://www.tradingview.com/chart/?symbol=NSE:ICICIBANK","Chart 📈")</f>
        <v/>
      </c>
    </row>
    <row r="56" ht="16" customHeight="1">
      <c r="A56" s="20" t="inlineStr">
        <is>
          <t>NIFTY FINANCIAL SERVICES</t>
        </is>
      </c>
      <c r="B56" s="17" t="inlineStr">
        <is>
          <t>SHRIRAMFIN</t>
        </is>
      </c>
      <c r="C56" s="18" t="n">
        <v>1024.4</v>
      </c>
      <c r="D56" s="18" t="n">
        <v>1022.52</v>
      </c>
      <c r="E56" s="18" t="n">
        <v>996.27</v>
      </c>
      <c r="F56" s="18" t="n">
        <v>917.61</v>
      </c>
      <c r="G56" s="19">
        <f>HYPERLINK("https://www.tradingview.com/chart/?symbol=NSE:SHRIRAMFIN","Chart 📈")</f>
        <v/>
      </c>
    </row>
    <row r="57" ht="16" customHeight="1">
      <c r="A57" s="12" t="inlineStr">
        <is>
          <t>NIFTY FMCG</t>
        </is>
      </c>
      <c r="B57" s="13" t="inlineStr">
        <is>
          <t>BALRAMCHIN</t>
        </is>
      </c>
      <c r="C57" s="14" t="n">
        <v>598</v>
      </c>
      <c r="D57" s="14" t="n">
        <v>566.1799999999999</v>
      </c>
      <c r="E57" s="14" t="n">
        <v>546.5700000000001</v>
      </c>
      <c r="F57" s="14" t="n">
        <v>516.92</v>
      </c>
      <c r="G57" s="15">
        <f>HYPERLINK("https://www.tradingview.com/chart/?symbol=NSE:BALRAMCHIN","Chart 📈")</f>
        <v/>
      </c>
    </row>
    <row r="58" ht="16" customHeight="1">
      <c r="A58" s="16" t="inlineStr">
        <is>
          <t>NIFTY FMCG</t>
        </is>
      </c>
      <c r="B58" s="13" t="inlineStr">
        <is>
          <t>MARICO</t>
        </is>
      </c>
      <c r="C58" s="14" t="n">
        <v>839.35</v>
      </c>
      <c r="D58" s="14" t="n">
        <v>838.88</v>
      </c>
      <c r="E58" s="14" t="n">
        <v>824.26</v>
      </c>
      <c r="F58" s="14" t="n">
        <v>780.1900000000001</v>
      </c>
      <c r="G58" s="15">
        <f>HYPERLINK("https://www.tradingview.com/chart/?symbol=NSE:MARICO","Chart 📈")</f>
        <v/>
      </c>
    </row>
    <row r="59" ht="16" customHeight="1">
      <c r="A59" s="16" t="inlineStr">
        <is>
          <t>NIFTY FMCG</t>
        </is>
      </c>
      <c r="B59" s="13" t="inlineStr">
        <is>
          <t>RADICO</t>
        </is>
      </c>
      <c r="C59" s="14" t="n">
        <v>4106</v>
      </c>
      <c r="D59" s="14" t="n">
        <v>3948.21</v>
      </c>
      <c r="E59" s="14" t="n">
        <v>3708.36</v>
      </c>
      <c r="F59" s="14" t="n">
        <v>3248.56</v>
      </c>
      <c r="G59" s="15">
        <f>HYPERLINK("https://www.tradingview.com/chart/?symbol=NSE:RADICO","Chart 📈")</f>
        <v/>
      </c>
    </row>
    <row r="60" ht="16" customHeight="1">
      <c r="A60" s="16" t="inlineStr">
        <is>
          <t>NIFTY FMCG</t>
        </is>
      </c>
      <c r="B60" s="13" t="inlineStr">
        <is>
          <t>UNITDSPR</t>
        </is>
      </c>
      <c r="C60" s="14" t="n">
        <v>1381.6</v>
      </c>
      <c r="D60" s="14" t="n">
        <v>1363.47</v>
      </c>
      <c r="E60" s="14" t="n">
        <v>1332.29</v>
      </c>
      <c r="F60" s="14" t="n">
        <v>1329.88</v>
      </c>
      <c r="G60" s="15">
        <f>HYPERLINK("https://www.tradingview.com/chart/?symbol=NSE:UNITDSPR","Chart 📈")</f>
        <v/>
      </c>
    </row>
    <row r="61" ht="16" customHeight="1">
      <c r="A61" s="8" t="inlineStr">
        <is>
          <t>NIFTY PSU BANK</t>
        </is>
      </c>
      <c r="B61" s="17" t="inlineStr">
        <is>
          <t>BANKINDIA</t>
        </is>
      </c>
      <c r="C61" s="18" t="n">
        <v>143.33</v>
      </c>
      <c r="D61" s="18" t="n">
        <v>142.79</v>
      </c>
      <c r="E61" s="18" t="n">
        <v>142.51</v>
      </c>
      <c r="F61" s="18" t="n">
        <v>139.22</v>
      </c>
      <c r="G61" s="19">
        <f>HYPERLINK("https://www.tradingview.com/chart/?symbol=NSE:BANKINDIA","Chart 📈")</f>
        <v/>
      </c>
    </row>
    <row r="62" ht="16" customHeight="1">
      <c r="A62" s="20" t="inlineStr">
        <is>
          <t>NIFTY PSU BANK</t>
        </is>
      </c>
      <c r="B62" s="17" t="inlineStr">
        <is>
          <t>SBIN</t>
        </is>
      </c>
      <c r="C62" s="18" t="n">
        <v>1031.2</v>
      </c>
      <c r="D62" s="18" t="n">
        <v>1028.07</v>
      </c>
      <c r="E62" s="18" t="n">
        <v>1021.99</v>
      </c>
      <c r="F62" s="18" t="n">
        <v>991.01</v>
      </c>
      <c r="G62" s="19">
        <f>HYPERLINK("https://www.tradingview.com/chart/?symbol=NSE:SBIN","Chart 📈")</f>
        <v/>
      </c>
    </row>
    <row r="63" ht="16" customHeight="1">
      <c r="A63" s="20" t="inlineStr">
        <is>
          <t>NIFTY PSU BANK</t>
        </is>
      </c>
      <c r="B63" s="17" t="inlineStr">
        <is>
          <t>UNIONBANK</t>
        </is>
      </c>
      <c r="C63" s="18" t="n">
        <v>168.77</v>
      </c>
      <c r="D63" s="18" t="n">
        <v>166.28</v>
      </c>
      <c r="E63" s="18" t="n">
        <v>165.97</v>
      </c>
      <c r="F63" s="18" t="n">
        <v>161.04</v>
      </c>
      <c r="G63" s="19">
        <f>HYPERLINK("https://www.tradingview.com/chart/?symbol=NSE:UNIONBANK","Chart 📈")</f>
        <v/>
      </c>
    </row>
    <row r="64" ht="16" customHeight="1">
      <c r="A64" s="12" t="inlineStr">
        <is>
          <t>NIFTY OIL &amp; GAS</t>
        </is>
      </c>
      <c r="B64" s="13" t="inlineStr">
        <is>
          <t>AEGISLOG</t>
        </is>
      </c>
      <c r="C64" s="14" t="n">
        <v>1297.5</v>
      </c>
      <c r="D64" s="14" t="n">
        <v>1200.65</v>
      </c>
      <c r="E64" s="14" t="n">
        <v>1023.83</v>
      </c>
      <c r="F64" s="14" t="n">
        <v>813.74</v>
      </c>
      <c r="G64" s="15">
        <f>HYPERLINK("https://www.tradingview.com/chart/?symbol=NSE:AEGISLOG","Chart 📈")</f>
        <v/>
      </c>
    </row>
    <row r="65" ht="16" customHeight="1">
      <c r="A65" s="8" t="inlineStr">
        <is>
          <t>NIFTY BANK</t>
        </is>
      </c>
      <c r="B65" s="17" t="inlineStr">
        <is>
          <t>FEDERALBNK</t>
        </is>
      </c>
      <c r="C65" s="18" t="n">
        <v>326.6</v>
      </c>
      <c r="D65" s="18" t="n">
        <v>325.13</v>
      </c>
      <c r="E65" s="18" t="n">
        <v>313.39</v>
      </c>
      <c r="F65" s="18" t="n">
        <v>278.34</v>
      </c>
      <c r="G65" s="19">
        <f>HYPERLINK("https://www.tradingview.com/chart/?symbol=NSE:FEDERALBNK","Chart 📈")</f>
        <v/>
      </c>
    </row>
    <row r="66" ht="16" customHeight="1">
      <c r="A66" s="20" t="inlineStr">
        <is>
          <t>NIFTY BANK</t>
        </is>
      </c>
      <c r="B66" s="17" t="inlineStr">
        <is>
          <t>IDFCFIRSTB</t>
        </is>
      </c>
      <c r="C66" s="18" t="n">
        <v>79.28</v>
      </c>
      <c r="D66" s="18" t="n">
        <v>78.81999999999999</v>
      </c>
      <c r="E66" s="18" t="n">
        <v>75.97</v>
      </c>
      <c r="F66" s="18" t="n">
        <v>74.41</v>
      </c>
      <c r="G66" s="19">
        <f>HYPERLINK("https://www.tradingview.com/chart/?symbol=NSE:IDFCFIRSTB","Chart 📈")</f>
        <v/>
      </c>
    </row>
    <row r="67" ht="16" customHeight="1">
      <c r="A67" s="20" t="inlineStr">
        <is>
          <t>NIFTY BANK</t>
        </is>
      </c>
      <c r="B67" s="17" t="inlineStr">
        <is>
          <t>INDUSINDBK</t>
        </is>
      </c>
      <c r="C67" s="18" t="n">
        <v>1013.5</v>
      </c>
      <c r="D67" s="18" t="n">
        <v>976.23</v>
      </c>
      <c r="E67" s="18" t="n">
        <v>940.8099999999999</v>
      </c>
      <c r="F67" s="18" t="n">
        <v>888.42</v>
      </c>
      <c r="G67" s="19">
        <f>HYPERLINK("https://www.tradingview.com/chart/?symbol=NSE:INDUSINDBK","Chart 📈")</f>
        <v/>
      </c>
    </row>
    <row r="68" ht="16" customHeight="1">
      <c r="A68" s="12" t="inlineStr">
        <is>
          <t>NIFTY IT</t>
        </is>
      </c>
      <c r="B68" s="13" t="inlineStr">
        <is>
          <t>TECHM</t>
        </is>
      </c>
      <c r="C68" s="14" t="n">
        <v>1510.3</v>
      </c>
      <c r="D68" s="14" t="n">
        <v>1441.59</v>
      </c>
      <c r="E68" s="14" t="n">
        <v>1425.65</v>
      </c>
      <c r="F68" s="14" t="n">
        <v>1446.47</v>
      </c>
      <c r="G68" s="15">
        <f>HYPERLINK("https://www.tradingview.com/chart/?symbol=NSE:TECHM","Chart 📈")</f>
        <v/>
      </c>
    </row>
    <row r="69" ht="16" customHeight="1">
      <c r="A69" s="8" t="inlineStr">
        <is>
          <t>NIFTY ENERGY</t>
        </is>
      </c>
      <c r="B69" s="17" t="inlineStr">
        <is>
          <t>ABB</t>
        </is>
      </c>
      <c r="C69" s="18" t="n">
        <v>7667.5</v>
      </c>
      <c r="D69" s="18" t="n">
        <v>7029.3</v>
      </c>
      <c r="E69" s="18" t="n">
        <v>6930.14</v>
      </c>
      <c r="F69" s="18" t="n">
        <v>6251.25</v>
      </c>
      <c r="G69" s="19">
        <f>HYPERLINK("https://www.tradingview.com/chart/?symbol=NSE:ABB","Chart 📈")</f>
        <v/>
      </c>
    </row>
    <row r="70" ht="16" customHeight="1">
      <c r="A70" s="20" t="inlineStr">
        <is>
          <t>NIFTY ENERGY</t>
        </is>
      </c>
      <c r="B70" s="17" t="inlineStr">
        <is>
          <t>ADANIENSOL</t>
        </is>
      </c>
      <c r="C70" s="18" t="n">
        <v>1689.5</v>
      </c>
      <c r="D70" s="18" t="n">
        <v>1599.09</v>
      </c>
      <c r="E70" s="18" t="n">
        <v>1498.97</v>
      </c>
      <c r="F70" s="18" t="n">
        <v>1209.34</v>
      </c>
      <c r="G70" s="19">
        <f>HYPERLINK("https://www.tradingview.com/chart/?symbol=NSE:ADANIENSOL","Chart 📈")</f>
        <v/>
      </c>
    </row>
    <row r="71" ht="16" customHeight="1">
      <c r="A71" s="20" t="inlineStr">
        <is>
          <t>NIFTY ENERGY</t>
        </is>
      </c>
      <c r="B71" s="17" t="inlineStr">
        <is>
          <t>ADANIGREEN</t>
        </is>
      </c>
      <c r="C71" s="18" t="n">
        <v>1543.7</v>
      </c>
      <c r="D71" s="18" t="n">
        <v>1526.66</v>
      </c>
      <c r="E71" s="18" t="n">
        <v>1446.26</v>
      </c>
      <c r="F71" s="18" t="n">
        <v>1198.61</v>
      </c>
      <c r="G71" s="19">
        <f>HYPERLINK("https://www.tradingview.com/chart/?symbol=NSE:ADANIGREEN","Chart 📈")</f>
        <v/>
      </c>
    </row>
    <row r="72" ht="16" customHeight="1">
      <c r="A72" s="20" t="inlineStr">
        <is>
          <t>NIFTY ENERGY</t>
        </is>
      </c>
      <c r="B72" s="17" t="inlineStr">
        <is>
          <t>BHEL</t>
        </is>
      </c>
      <c r="C72" s="18" t="n">
        <v>435.4</v>
      </c>
      <c r="D72" s="18" t="n">
        <v>401.75</v>
      </c>
      <c r="E72" s="18" t="n">
        <v>387.9</v>
      </c>
      <c r="F72" s="18" t="n">
        <v>323.25</v>
      </c>
      <c r="G72" s="19">
        <f>HYPERLINK("https://www.tradingview.com/chart/?symbol=NSE:BHEL","Chart 📈")</f>
        <v/>
      </c>
    </row>
    <row r="73" ht="16" customHeight="1">
      <c r="A73" s="20" t="inlineStr">
        <is>
          <t>NIFTY ENERGY</t>
        </is>
      </c>
      <c r="B73" s="17" t="inlineStr">
        <is>
          <t>POWERINDIA</t>
        </is>
      </c>
      <c r="C73" s="18" t="n">
        <v>33545</v>
      </c>
      <c r="D73" s="18" t="n">
        <v>33426.6</v>
      </c>
      <c r="E73" s="18" t="n">
        <v>33225.09</v>
      </c>
      <c r="F73" s="18" t="n">
        <v>27262.8</v>
      </c>
      <c r="G73" s="19">
        <f>HYPERLINK("https://www.tradingview.com/chart/?symbol=NSE:POWERINDIA","Chart 📈")</f>
        <v/>
      </c>
    </row>
    <row r="74" ht="16" customHeight="1">
      <c r="A74" s="20" t="inlineStr">
        <is>
          <t>NIFTY ENERGY</t>
        </is>
      </c>
      <c r="B74" s="17" t="inlineStr">
        <is>
          <t>SIEMENS</t>
        </is>
      </c>
      <c r="C74" s="18" t="n">
        <v>3657.6</v>
      </c>
      <c r="D74" s="18" t="n">
        <v>3570.63</v>
      </c>
      <c r="E74" s="18" t="n">
        <v>3587.65</v>
      </c>
      <c r="F74" s="18" t="n">
        <v>3392.58</v>
      </c>
      <c r="G74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2026-07-16T12:32:44Z</dcterms:created>
  <dcterms:modified xsi:type="dcterms:W3CDTF">2026-07-16T12:32:44Z</dcterms:modified>
</cp:coreProperties>
</file>