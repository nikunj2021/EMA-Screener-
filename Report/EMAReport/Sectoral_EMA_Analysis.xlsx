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29-Jun-2026  14:57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15</v>
      </c>
      <c r="D4" s="5" t="n">
        <v>16</v>
      </c>
      <c r="E4" s="5" t="n">
        <v>18</v>
      </c>
      <c r="F4" s="6" t="n">
        <v>0.75</v>
      </c>
      <c r="G4" s="6" t="n">
        <v>0.8</v>
      </c>
      <c r="H4" s="6" t="n">
        <v>0.9</v>
      </c>
      <c r="I4" s="7" t="n">
        <v>0.8167</v>
      </c>
    </row>
    <row r="5" ht="17" customHeight="1">
      <c r="A5" s="8" t="inlineStr">
        <is>
          <t>NIFTY REALTY</t>
        </is>
      </c>
      <c r="B5" s="9" t="n">
        <v>10</v>
      </c>
      <c r="C5" s="9" t="n">
        <v>9</v>
      </c>
      <c r="D5" s="9" t="n">
        <v>9</v>
      </c>
      <c r="E5" s="9" t="n">
        <v>5</v>
      </c>
      <c r="F5" s="10" t="n">
        <v>0.9</v>
      </c>
      <c r="G5" s="10" t="n">
        <v>0.9</v>
      </c>
      <c r="H5" s="10" t="n">
        <v>0.5</v>
      </c>
      <c r="I5" s="11" t="n">
        <v>0.7667</v>
      </c>
    </row>
    <row r="6" ht="17" customHeight="1">
      <c r="A6" s="4" t="inlineStr">
        <is>
          <t>NIFTY AUTO</t>
        </is>
      </c>
      <c r="B6" s="5" t="n">
        <v>15</v>
      </c>
      <c r="C6" s="5" t="n">
        <v>10</v>
      </c>
      <c r="D6" s="5" t="n">
        <v>8</v>
      </c>
      <c r="E6" s="5" t="n">
        <v>6</v>
      </c>
      <c r="F6" s="6" t="n">
        <v>0.667</v>
      </c>
      <c r="G6" s="6" t="n">
        <v>0.5329999999999999</v>
      </c>
      <c r="H6" s="6" t="n">
        <v>0.4</v>
      </c>
      <c r="I6" s="7" t="n">
        <v>0.5333</v>
      </c>
    </row>
    <row r="7" ht="17" customHeight="1">
      <c r="A7" s="8" t="inlineStr">
        <is>
          <t>NIFTY FINANCIAL SERVICES</t>
        </is>
      </c>
      <c r="B7" s="9" t="n">
        <v>20</v>
      </c>
      <c r="C7" s="9" t="n">
        <v>10</v>
      </c>
      <c r="D7" s="9" t="n">
        <v>11</v>
      </c>
      <c r="E7" s="9" t="n">
        <v>10</v>
      </c>
      <c r="F7" s="10" t="n">
        <v>0.5</v>
      </c>
      <c r="G7" s="10" t="n">
        <v>0.55</v>
      </c>
      <c r="H7" s="10" t="n">
        <v>0.5</v>
      </c>
      <c r="I7" s="11" t="n">
        <v>0.5167</v>
      </c>
    </row>
    <row r="8" ht="17" customHeight="1">
      <c r="A8" s="4" t="inlineStr">
        <is>
          <t>NIFTY PSU BANK</t>
        </is>
      </c>
      <c r="B8" s="5" t="n">
        <v>12</v>
      </c>
      <c r="C8" s="5" t="n">
        <v>6</v>
      </c>
      <c r="D8" s="5" t="n">
        <v>7</v>
      </c>
      <c r="E8" s="5" t="n">
        <v>5</v>
      </c>
      <c r="F8" s="6" t="n">
        <v>0.5</v>
      </c>
      <c r="G8" s="6" t="n">
        <v>0.583</v>
      </c>
      <c r="H8" s="6" t="n">
        <v>0.417</v>
      </c>
      <c r="I8" s="7" t="n">
        <v>0.5</v>
      </c>
    </row>
    <row r="9" ht="17" customHeight="1">
      <c r="A9" s="8" t="inlineStr">
        <is>
          <t>NIFTY MIDSMALL IT &amp; TELECOM</t>
        </is>
      </c>
      <c r="B9" s="9" t="n">
        <v>20</v>
      </c>
      <c r="C9" s="9" t="n">
        <v>7</v>
      </c>
      <c r="D9" s="9" t="n">
        <v>9</v>
      </c>
      <c r="E9" s="9" t="n">
        <v>7</v>
      </c>
      <c r="F9" s="10" t="n">
        <v>0.35</v>
      </c>
      <c r="G9" s="10" t="n">
        <v>0.45</v>
      </c>
      <c r="H9" s="10" t="n">
        <v>0.35</v>
      </c>
      <c r="I9" s="11" t="n">
        <v>0.3833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5</v>
      </c>
      <c r="D10" s="5" t="n">
        <v>8</v>
      </c>
      <c r="E10" s="5" t="n">
        <v>4</v>
      </c>
      <c r="F10" s="6" t="n">
        <v>0.333</v>
      </c>
      <c r="G10" s="6" t="n">
        <v>0.5329999999999999</v>
      </c>
      <c r="H10" s="6" t="n">
        <v>0.267</v>
      </c>
      <c r="I10" s="7" t="n">
        <v>0.3777</v>
      </c>
    </row>
    <row r="11" ht="17" customHeight="1">
      <c r="A11" s="8" t="inlineStr">
        <is>
          <t>NIFTY MEDIA</t>
        </is>
      </c>
      <c r="B11" s="9" t="n">
        <v>10</v>
      </c>
      <c r="C11" s="9" t="n">
        <v>2</v>
      </c>
      <c r="D11" s="9" t="n">
        <v>5</v>
      </c>
      <c r="E11" s="9" t="n">
        <v>4</v>
      </c>
      <c r="F11" s="10" t="n">
        <v>0.2</v>
      </c>
      <c r="G11" s="10" t="n">
        <v>0.5</v>
      </c>
      <c r="H11" s="10" t="n">
        <v>0.4</v>
      </c>
      <c r="I11" s="11" t="n">
        <v>0.3667</v>
      </c>
    </row>
    <row r="12" ht="17" customHeight="1">
      <c r="A12" s="4" t="inlineStr">
        <is>
          <t>NIFTY ENERGY</t>
        </is>
      </c>
      <c r="B12" s="5" t="n">
        <v>40</v>
      </c>
      <c r="C12" s="5" t="n">
        <v>11</v>
      </c>
      <c r="D12" s="5" t="n">
        <v>15</v>
      </c>
      <c r="E12" s="5" t="n">
        <v>18</v>
      </c>
      <c r="F12" s="6" t="n">
        <v>0.275</v>
      </c>
      <c r="G12" s="6" t="n">
        <v>0.375</v>
      </c>
      <c r="H12" s="6" t="n">
        <v>0.45</v>
      </c>
      <c r="I12" s="7" t="n">
        <v>0.3667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5</v>
      </c>
      <c r="D13" s="9" t="n">
        <v>6</v>
      </c>
      <c r="E13" s="9" t="n">
        <v>4</v>
      </c>
      <c r="F13" s="10" t="n">
        <v>0.333</v>
      </c>
      <c r="G13" s="10" t="n">
        <v>0.4</v>
      </c>
      <c r="H13" s="10" t="n">
        <v>0.267</v>
      </c>
      <c r="I13" s="11" t="n">
        <v>0.3333</v>
      </c>
    </row>
    <row r="14" ht="17" customHeight="1">
      <c r="A14" s="4" t="inlineStr">
        <is>
          <t>NIFTY FMCG</t>
        </is>
      </c>
      <c r="B14" s="5" t="n">
        <v>15</v>
      </c>
      <c r="C14" s="5" t="n">
        <v>5</v>
      </c>
      <c r="D14" s="5" t="n">
        <v>3</v>
      </c>
      <c r="E14" s="5" t="n">
        <v>6</v>
      </c>
      <c r="F14" s="6" t="n">
        <v>0.333</v>
      </c>
      <c r="G14" s="6" t="n">
        <v>0.2</v>
      </c>
      <c r="H14" s="6" t="n">
        <v>0.4</v>
      </c>
      <c r="I14" s="7" t="n">
        <v>0.311</v>
      </c>
    </row>
    <row r="15" ht="17" customHeight="1">
      <c r="A15" s="8" t="inlineStr">
        <is>
          <t>NIFTY METAL</t>
        </is>
      </c>
      <c r="B15" s="9" t="n">
        <v>15</v>
      </c>
      <c r="C15" s="9" t="n">
        <v>2</v>
      </c>
      <c r="D15" s="9" t="n">
        <v>2</v>
      </c>
      <c r="E15" s="9" t="n">
        <v>10</v>
      </c>
      <c r="F15" s="10" t="n">
        <v>0.133</v>
      </c>
      <c r="G15" s="10" t="n">
        <v>0.133</v>
      </c>
      <c r="H15" s="10" t="n">
        <v>0.667</v>
      </c>
      <c r="I15" s="11" t="n">
        <v>0.311</v>
      </c>
    </row>
    <row r="16" ht="17" customHeight="1">
      <c r="A16" s="4" t="inlineStr">
        <is>
          <t>NIFTY BANK</t>
        </is>
      </c>
      <c r="B16" s="5" t="n">
        <v>12</v>
      </c>
      <c r="C16" s="5" t="n">
        <v>3</v>
      </c>
      <c r="D16" s="5" t="n">
        <v>4</v>
      </c>
      <c r="E16" s="5" t="n">
        <v>4</v>
      </c>
      <c r="F16" s="6" t="n">
        <v>0.25</v>
      </c>
      <c r="G16" s="6" t="n">
        <v>0.333</v>
      </c>
      <c r="H16" s="6" t="n">
        <v>0.333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3384.2</v>
      </c>
      <c r="D3" s="14" t="n">
        <v>3126.62</v>
      </c>
      <c r="E3" s="14" t="n">
        <v>3045.42</v>
      </c>
      <c r="F3" s="14" t="n">
        <v>2840.98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5416.5</v>
      </c>
      <c r="D4" s="14" t="n">
        <v>5379.58</v>
      </c>
      <c r="E4" s="14" t="n">
        <v>5400.68</v>
      </c>
      <c r="F4" s="14" t="n">
        <v>5396.38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1547.5</v>
      </c>
      <c r="D5" s="14" t="n">
        <v>1482.72</v>
      </c>
      <c r="E5" s="14" t="n">
        <v>1442.86</v>
      </c>
      <c r="F5" s="14" t="n">
        <v>1297.74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CIPLA</t>
        </is>
      </c>
      <c r="C6" s="14" t="n">
        <v>1454.1</v>
      </c>
      <c r="D6" s="14" t="n">
        <v>1397.01</v>
      </c>
      <c r="E6" s="14" t="n">
        <v>1366.16</v>
      </c>
      <c r="F6" s="14" t="n">
        <v>1387.69</v>
      </c>
      <c r="G6" s="15">
        <f>HYPERLINK("https://www.tradingview.com/chart/?symbol=NSE:CIPLA","Chart 📈")</f>
        <v/>
      </c>
    </row>
    <row r="7" ht="16" customHeight="1">
      <c r="A7" s="16" t="inlineStr">
        <is>
          <t>NIFTY PHARMA</t>
        </is>
      </c>
      <c r="B7" s="13" t="inlineStr">
        <is>
          <t>DRREDDY</t>
        </is>
      </c>
      <c r="C7" s="14" t="n">
        <v>1375.7</v>
      </c>
      <c r="D7" s="14" t="n">
        <v>1301.85</v>
      </c>
      <c r="E7" s="14" t="n">
        <v>1292.14</v>
      </c>
      <c r="F7" s="14" t="n">
        <v>1273.68</v>
      </c>
      <c r="G7" s="15">
        <f>HYPERLINK("https://www.tradingview.com/chart/?symbol=NSE:DRREDDY","Chart 📈")</f>
        <v/>
      </c>
    </row>
    <row r="8" ht="16" customHeight="1">
      <c r="A8" s="16" t="inlineStr">
        <is>
          <t>NIFTY PHARMA</t>
        </is>
      </c>
      <c r="B8" s="13" t="inlineStr">
        <is>
          <t>GLAND</t>
        </is>
      </c>
      <c r="C8" s="14" t="n">
        <v>2373</v>
      </c>
      <c r="D8" s="14" t="n">
        <v>2246.45</v>
      </c>
      <c r="E8" s="14" t="n">
        <v>2119.43</v>
      </c>
      <c r="F8" s="14" t="n">
        <v>1916.35</v>
      </c>
      <c r="G8" s="15">
        <f>HYPERLINK("https://www.tradingview.com/chart/?symbol=NSE:GLAND","Chart 📈")</f>
        <v/>
      </c>
    </row>
    <row r="9" ht="16" customHeight="1">
      <c r="A9" s="16" t="inlineStr">
        <is>
          <t>NIFTY PHARMA</t>
        </is>
      </c>
      <c r="B9" s="13" t="inlineStr">
        <is>
          <t>GRANULES</t>
        </is>
      </c>
      <c r="C9" s="14" t="n">
        <v>794.8</v>
      </c>
      <c r="D9" s="14" t="n">
        <v>769.55</v>
      </c>
      <c r="E9" s="14" t="n">
        <v>739.23</v>
      </c>
      <c r="F9" s="14" t="n">
        <v>635.86</v>
      </c>
      <c r="G9" s="15">
        <f>HYPERLINK("https://www.tradingview.com/chart/?symbol=NSE:GRANULES","Chart 📈")</f>
        <v/>
      </c>
    </row>
    <row r="10" ht="16" customHeight="1">
      <c r="A10" s="16" t="inlineStr">
        <is>
          <t>NIFTY PHARMA</t>
        </is>
      </c>
      <c r="B10" s="13" t="inlineStr">
        <is>
          <t>IPCALAB</t>
        </is>
      </c>
      <c r="C10" s="14" t="n">
        <v>1647.2</v>
      </c>
      <c r="D10" s="14" t="n">
        <v>1595.66</v>
      </c>
      <c r="E10" s="14" t="n">
        <v>1571.48</v>
      </c>
      <c r="F10" s="14" t="n">
        <v>1493</v>
      </c>
      <c r="G10" s="15">
        <f>HYPERLINK("https://www.tradingview.com/chart/?symbol=NSE:IPCALAB","Chart 📈")</f>
        <v/>
      </c>
    </row>
    <row r="11" ht="16" customHeight="1">
      <c r="A11" s="16" t="inlineStr">
        <is>
          <t>NIFTY PHARMA</t>
        </is>
      </c>
      <c r="B11" s="13" t="inlineStr">
        <is>
          <t>JBCHEPHARM</t>
        </is>
      </c>
      <c r="C11" s="14" t="n">
        <v>2303.2</v>
      </c>
      <c r="D11" s="14" t="n">
        <v>2209.78</v>
      </c>
      <c r="E11" s="14" t="n">
        <v>2152.94</v>
      </c>
      <c r="F11" s="14" t="n">
        <v>1962.58</v>
      </c>
      <c r="G11" s="15">
        <f>HYPERLINK("https://www.tradingview.com/chart/?symbol=NSE:JBCHEPHARM","Chart 📈")</f>
        <v/>
      </c>
    </row>
    <row r="12" ht="16" customHeight="1">
      <c r="A12" s="16" t="inlineStr">
        <is>
          <t>NIFTY PHARMA</t>
        </is>
      </c>
      <c r="B12" s="13" t="inlineStr">
        <is>
          <t>LAURUSLABS</t>
        </is>
      </c>
      <c r="C12" s="14" t="n">
        <v>1500.3</v>
      </c>
      <c r="D12" s="14" t="n">
        <v>1409.73</v>
      </c>
      <c r="E12" s="14" t="n">
        <v>1320.64</v>
      </c>
      <c r="F12" s="14" t="n">
        <v>1101.6</v>
      </c>
      <c r="G12" s="15">
        <f>HYPERLINK("https://www.tradingview.com/chart/?symbol=NSE:LAURUSLABS","Chart 📈")</f>
        <v/>
      </c>
    </row>
    <row r="13" ht="16" customHeight="1">
      <c r="A13" s="16" t="inlineStr">
        <is>
          <t>NIFTY PHARMA</t>
        </is>
      </c>
      <c r="B13" s="13" t="inlineStr">
        <is>
          <t>LUPIN</t>
        </is>
      </c>
      <c r="C13" s="14" t="n">
        <v>2409.3</v>
      </c>
      <c r="D13" s="14" t="n">
        <v>2317.29</v>
      </c>
      <c r="E13" s="14" t="n">
        <v>2299.12</v>
      </c>
      <c r="F13" s="14" t="n">
        <v>2191.75</v>
      </c>
      <c r="G13" s="15">
        <f>HYPERLINK("https://www.tradingview.com/chart/?symbol=NSE:LUPIN","Chart 📈")</f>
        <v/>
      </c>
    </row>
    <row r="14" ht="16" customHeight="1">
      <c r="A14" s="16" t="inlineStr">
        <is>
          <t>NIFTY PHARMA</t>
        </is>
      </c>
      <c r="B14" s="13" t="inlineStr">
        <is>
          <t>MANKIND</t>
        </is>
      </c>
      <c r="C14" s="14" t="n">
        <v>2486</v>
      </c>
      <c r="D14" s="14" t="n">
        <v>2426.61</v>
      </c>
      <c r="E14" s="14" t="n">
        <v>2363.82</v>
      </c>
      <c r="F14" s="14" t="n">
        <v>2292.65</v>
      </c>
      <c r="G14" s="15">
        <f>HYPERLINK("https://www.tradingview.com/chart/?symbol=NSE:MANKIND","Chart 📈")</f>
        <v/>
      </c>
    </row>
    <row r="15" ht="16" customHeight="1">
      <c r="A15" s="16" t="inlineStr">
        <is>
          <t>NIFTY PHARMA</t>
        </is>
      </c>
      <c r="B15" s="13" t="inlineStr">
        <is>
          <t>SUNPHARMA</t>
        </is>
      </c>
      <c r="C15" s="14" t="n">
        <v>1874.8</v>
      </c>
      <c r="D15" s="14" t="n">
        <v>1834.09</v>
      </c>
      <c r="E15" s="14" t="n">
        <v>1810.89</v>
      </c>
      <c r="F15" s="14" t="n">
        <v>1746.39</v>
      </c>
      <c r="G15" s="15">
        <f>HYPERLINK("https://www.tradingview.com/chart/?symbol=NSE:SUNPHARMA","Chart 📈")</f>
        <v/>
      </c>
    </row>
    <row r="16" ht="16" customHeight="1">
      <c r="A16" s="16" t="inlineStr">
        <is>
          <t>NIFTY PHARMA</t>
        </is>
      </c>
      <c r="B16" s="13" t="inlineStr">
        <is>
          <t>TORNTPHARM</t>
        </is>
      </c>
      <c r="C16" s="14" t="n">
        <v>4657.6</v>
      </c>
      <c r="D16" s="14" t="n">
        <v>4480.3</v>
      </c>
      <c r="E16" s="14" t="n">
        <v>4396.85</v>
      </c>
      <c r="F16" s="14" t="n">
        <v>4066.54</v>
      </c>
      <c r="G16" s="15">
        <f>HYPERLINK("https://www.tradingview.com/chart/?symbol=NSE:TORNTPHARM","Chart 📈")</f>
        <v/>
      </c>
    </row>
    <row r="17" ht="16" customHeight="1">
      <c r="A17" s="16" t="inlineStr">
        <is>
          <t>NIFTY PHARMA</t>
        </is>
      </c>
      <c r="B17" s="13" t="inlineStr">
        <is>
          <t>ZYDUSLIFE</t>
        </is>
      </c>
      <c r="C17" s="14" t="n">
        <v>1121.3</v>
      </c>
      <c r="D17" s="14" t="n">
        <v>1083.19</v>
      </c>
      <c r="E17" s="14" t="n">
        <v>1035.47</v>
      </c>
      <c r="F17" s="14" t="n">
        <v>971.6</v>
      </c>
      <c r="G17" s="15">
        <f>HYPERLINK("https://www.tradingview.com/chart/?symbol=NSE:ZYDUSLIFE","Chart 📈")</f>
        <v/>
      </c>
    </row>
    <row r="18" ht="16" customHeight="1">
      <c r="A18" s="8" t="inlineStr">
        <is>
          <t>NIFTY REALTY</t>
        </is>
      </c>
      <c r="B18" s="17" t="inlineStr">
        <is>
          <t>MAHLIFE</t>
        </is>
      </c>
      <c r="C18" s="18" t="n">
        <v>367.05</v>
      </c>
      <c r="D18" s="18" t="n">
        <v>347.32</v>
      </c>
      <c r="E18" s="18" t="n">
        <v>341.85</v>
      </c>
      <c r="F18" s="18" t="n">
        <v>353.87</v>
      </c>
      <c r="G18" s="19">
        <f>HYPERLINK("https://www.tradingview.com/chart/?symbol=NSE:MAHLIFE","Chart 📈")</f>
        <v/>
      </c>
    </row>
    <row r="19" ht="16" customHeight="1">
      <c r="A19" s="20" t="inlineStr">
        <is>
          <t>NIFTY REALTY</t>
        </is>
      </c>
      <c r="B19" s="17" t="inlineStr">
        <is>
          <t>OBEROIRLTY</t>
        </is>
      </c>
      <c r="C19" s="18" t="n">
        <v>1754.1</v>
      </c>
      <c r="D19" s="18" t="n">
        <v>1687.62</v>
      </c>
      <c r="E19" s="18" t="n">
        <v>1657.33</v>
      </c>
      <c r="F19" s="18" t="n">
        <v>1650.45</v>
      </c>
      <c r="G19" s="19">
        <f>HYPERLINK("https://www.tradingview.com/chart/?symbol=NSE:OBEROIRLTY","Chart 📈")</f>
        <v/>
      </c>
    </row>
    <row r="20" ht="16" customHeight="1">
      <c r="A20" s="20" t="inlineStr">
        <is>
          <t>NIFTY REALTY</t>
        </is>
      </c>
      <c r="B20" s="17" t="inlineStr">
        <is>
          <t>PHOENIXLTD</t>
        </is>
      </c>
      <c r="C20" s="18" t="n">
        <v>1912</v>
      </c>
      <c r="D20" s="18" t="n">
        <v>1834.56</v>
      </c>
      <c r="E20" s="18" t="n">
        <v>1787.08</v>
      </c>
      <c r="F20" s="18" t="n">
        <v>1713</v>
      </c>
      <c r="G20" s="19">
        <f>HYPERLINK("https://www.tradingview.com/chart/?symbol=NSE:PHOENIXLTD","Chart 📈")</f>
        <v/>
      </c>
    </row>
    <row r="21" ht="16" customHeight="1">
      <c r="A21" s="20" t="inlineStr">
        <is>
          <t>NIFTY REALTY</t>
        </is>
      </c>
      <c r="B21" s="17" t="inlineStr">
        <is>
          <t>PRESTIGE</t>
        </is>
      </c>
      <c r="C21" s="18" t="n">
        <v>1539.4</v>
      </c>
      <c r="D21" s="18" t="n">
        <v>1466.89</v>
      </c>
      <c r="E21" s="18" t="n">
        <v>1423.2</v>
      </c>
      <c r="F21" s="18" t="n">
        <v>1478.26</v>
      </c>
      <c r="G21" s="19">
        <f>HYPERLINK("https://www.tradingview.com/chart/?symbol=NSE:PRESTIGE","Chart 📈")</f>
        <v/>
      </c>
    </row>
    <row r="22" ht="16" customHeight="1">
      <c r="A22" s="20" t="inlineStr">
        <is>
          <t>NIFTY REALTY</t>
        </is>
      </c>
      <c r="B22" s="17" t="inlineStr">
        <is>
          <t>RAYMOND</t>
        </is>
      </c>
      <c r="C22" s="18" t="n">
        <v>583.4</v>
      </c>
      <c r="D22" s="18" t="n">
        <v>568.98</v>
      </c>
      <c r="E22" s="18" t="n">
        <v>523.8200000000001</v>
      </c>
      <c r="F22" s="18" t="n">
        <v>504.31</v>
      </c>
      <c r="G22" s="19">
        <f>HYPERLINK("https://www.tradingview.com/chart/?symbol=NSE:RAYMOND","Chart 📈")</f>
        <v/>
      </c>
    </row>
    <row r="23" ht="16" customHeight="1">
      <c r="A23" s="12" t="inlineStr">
        <is>
          <t>NIFTY AUTO</t>
        </is>
      </c>
      <c r="B23" s="13" t="inlineStr">
        <is>
          <t>BHARATFORG</t>
        </is>
      </c>
      <c r="C23" s="14" t="n">
        <v>2170.9</v>
      </c>
      <c r="D23" s="14" t="n">
        <v>2034.18</v>
      </c>
      <c r="E23" s="14" t="n">
        <v>1947.49</v>
      </c>
      <c r="F23" s="14" t="n">
        <v>1676.34</v>
      </c>
      <c r="G23" s="15">
        <f>HYPERLINK("https://www.tradingview.com/chart/?symbol=NSE:BHARATFORG","Chart 📈")</f>
        <v/>
      </c>
    </row>
    <row r="24" ht="16" customHeight="1">
      <c r="A24" s="16" t="inlineStr">
        <is>
          <t>NIFTY AUTO</t>
        </is>
      </c>
      <c r="B24" s="13" t="inlineStr">
        <is>
          <t>BOSCHLTD</t>
        </is>
      </c>
      <c r="C24" s="14" t="n">
        <v>39885</v>
      </c>
      <c r="D24" s="14" t="n">
        <v>38945.86</v>
      </c>
      <c r="E24" s="14" t="n">
        <v>37585.46</v>
      </c>
      <c r="F24" s="14" t="n">
        <v>36268.84</v>
      </c>
      <c r="G24" s="15">
        <f>HYPERLINK("https://www.tradingview.com/chart/?symbol=NSE:BOSCHLTD","Chart 📈")</f>
        <v/>
      </c>
    </row>
    <row r="25" ht="16" customHeight="1">
      <c r="A25" s="16" t="inlineStr">
        <is>
          <t>NIFTY AUTO</t>
        </is>
      </c>
      <c r="B25" s="13" t="inlineStr">
        <is>
          <t>EICHERMOT</t>
        </is>
      </c>
      <c r="C25" s="14" t="n">
        <v>7426</v>
      </c>
      <c r="D25" s="14" t="n">
        <v>7418.67</v>
      </c>
      <c r="E25" s="14" t="n">
        <v>7296.2</v>
      </c>
      <c r="F25" s="14" t="n">
        <v>7012.88</v>
      </c>
      <c r="G25" s="15">
        <f>HYPERLINK("https://www.tradingview.com/chart/?symbol=NSE:EICHERMOT","Chart 📈")</f>
        <v/>
      </c>
    </row>
    <row r="26" ht="16" customHeight="1">
      <c r="A26" s="16" t="inlineStr">
        <is>
          <t>NIFTY AUTO</t>
        </is>
      </c>
      <c r="B26" s="13" t="inlineStr">
        <is>
          <t>EXIDEIND</t>
        </is>
      </c>
      <c r="C26" s="14" t="n">
        <v>386.55</v>
      </c>
      <c r="D26" s="14" t="n">
        <v>384.81</v>
      </c>
      <c r="E26" s="14" t="n">
        <v>370.25</v>
      </c>
      <c r="F26" s="14" t="n">
        <v>360.81</v>
      </c>
      <c r="G26" s="15">
        <f>HYPERLINK("https://www.tradingview.com/chart/?symbol=NSE:EXIDEIND","Chart 📈")</f>
        <v/>
      </c>
    </row>
    <row r="27" ht="16" customHeight="1">
      <c r="A27" s="16" t="inlineStr">
        <is>
          <t>NIFTY AUTO</t>
        </is>
      </c>
      <c r="B27" s="13" t="inlineStr">
        <is>
          <t>MOTHERSON</t>
        </is>
      </c>
      <c r="C27" s="14" t="n">
        <v>150.56</v>
      </c>
      <c r="D27" s="14" t="n">
        <v>144.2</v>
      </c>
      <c r="E27" s="14" t="n">
        <v>137.2</v>
      </c>
      <c r="F27" s="14" t="n">
        <v>122.23</v>
      </c>
      <c r="G27" s="15">
        <f>HYPERLINK("https://www.tradingview.com/chart/?symbol=NSE:MOTHERSON","Chart 📈")</f>
        <v/>
      </c>
    </row>
    <row r="28" ht="16" customHeight="1">
      <c r="A28" s="8" t="inlineStr">
        <is>
          <t>NIFTY FINANCIAL SERVICES</t>
        </is>
      </c>
      <c r="B28" s="17" t="inlineStr">
        <is>
          <t>AXISBANK</t>
        </is>
      </c>
      <c r="C28" s="18" t="n">
        <v>1356.8</v>
      </c>
      <c r="D28" s="18" t="n">
        <v>1337.44</v>
      </c>
      <c r="E28" s="18" t="n">
        <v>1312.58</v>
      </c>
      <c r="F28" s="18" t="n">
        <v>1270.89</v>
      </c>
      <c r="G28" s="19">
        <f>HYPERLINK("https://www.tradingview.com/chart/?symbol=NSE:AXISBANK","Chart 📈")</f>
        <v/>
      </c>
    </row>
    <row r="29" ht="16" customHeight="1">
      <c r="A29" s="20" t="inlineStr">
        <is>
          <t>NIFTY FINANCIAL SERVICES</t>
        </is>
      </c>
      <c r="B29" s="17" t="inlineStr">
        <is>
          <t>BAJFINANCE</t>
        </is>
      </c>
      <c r="C29" s="18" t="n">
        <v>982.05</v>
      </c>
      <c r="D29" s="18" t="n">
        <v>944.12</v>
      </c>
      <c r="E29" s="18" t="n">
        <v>929.72</v>
      </c>
      <c r="F29" s="18" t="n">
        <v>942.87</v>
      </c>
      <c r="G29" s="19">
        <f>HYPERLINK("https://www.tradingview.com/chart/?symbol=NSE:BAJFINANCE","Chart 📈")</f>
        <v/>
      </c>
    </row>
    <row r="30" ht="16" customHeight="1">
      <c r="A30" s="20" t="inlineStr">
        <is>
          <t>NIFTY FINANCIAL SERVICES</t>
        </is>
      </c>
      <c r="B30" s="17" t="inlineStr">
        <is>
          <t>CHOLAFIN</t>
        </is>
      </c>
      <c r="C30" s="18" t="n">
        <v>1774</v>
      </c>
      <c r="D30" s="18" t="n">
        <v>1654.32</v>
      </c>
      <c r="E30" s="18" t="n">
        <v>1603.61</v>
      </c>
      <c r="F30" s="18" t="n">
        <v>1607.54</v>
      </c>
      <c r="G30" s="19">
        <f>HYPERLINK("https://www.tradingview.com/chart/?symbol=NSE:CHOLAFIN","Chart 📈")</f>
        <v/>
      </c>
    </row>
    <row r="31" ht="16" customHeight="1">
      <c r="A31" s="20" t="inlineStr">
        <is>
          <t>NIFTY FINANCIAL SERVICES</t>
        </is>
      </c>
      <c r="B31" s="17" t="inlineStr">
        <is>
          <t>ICICIBANK</t>
        </is>
      </c>
      <c r="C31" s="18" t="n">
        <v>1387.6</v>
      </c>
      <c r="D31" s="18" t="n">
        <v>1327.59</v>
      </c>
      <c r="E31" s="18" t="n">
        <v>1305.61</v>
      </c>
      <c r="F31" s="18" t="n">
        <v>1339.22</v>
      </c>
      <c r="G31" s="19">
        <f>HYPERLINK("https://www.tradingview.com/chart/?symbol=NSE:ICICIBANK","Chart 📈")</f>
        <v/>
      </c>
    </row>
    <row r="32" ht="16" customHeight="1">
      <c r="A32" s="20" t="inlineStr">
        <is>
          <t>NIFTY FINANCIAL SERVICES</t>
        </is>
      </c>
      <c r="B32" s="17" t="inlineStr">
        <is>
          <t>LICHSGFIN</t>
        </is>
      </c>
      <c r="C32" s="18" t="n">
        <v>560.75</v>
      </c>
      <c r="D32" s="18" t="n">
        <v>549.5</v>
      </c>
      <c r="E32" s="18" t="n">
        <v>546.03</v>
      </c>
      <c r="F32" s="18" t="n">
        <v>548.0599999999999</v>
      </c>
      <c r="G32" s="19">
        <f>HYPERLINK("https://www.tradingview.com/chart/?symbol=NSE:LICHSGFIN","Chart 📈")</f>
        <v/>
      </c>
    </row>
    <row r="33" ht="16" customHeight="1">
      <c r="A33" s="20" t="inlineStr">
        <is>
          <t>NIFTY FINANCIAL SERVICES</t>
        </is>
      </c>
      <c r="B33" s="17" t="inlineStr">
        <is>
          <t>MCX</t>
        </is>
      </c>
      <c r="C33" s="18" t="n">
        <v>2914.5</v>
      </c>
      <c r="D33" s="18" t="n">
        <v>2888.57</v>
      </c>
      <c r="E33" s="18" t="n">
        <v>2890.23</v>
      </c>
      <c r="F33" s="18" t="n">
        <v>2478.07</v>
      </c>
      <c r="G33" s="19">
        <f>HYPERLINK("https://www.tradingview.com/chart/?symbol=NSE:MCX","Chart 📈")</f>
        <v/>
      </c>
    </row>
    <row r="34" ht="16" customHeight="1">
      <c r="A34" s="20" t="inlineStr">
        <is>
          <t>NIFTY FINANCIAL SERVICES</t>
        </is>
      </c>
      <c r="B34" s="17" t="inlineStr">
        <is>
          <t>RECLTD</t>
        </is>
      </c>
      <c r="C34" s="18" t="n">
        <v>364.95</v>
      </c>
      <c r="D34" s="18" t="n">
        <v>354.41</v>
      </c>
      <c r="E34" s="18" t="n">
        <v>350.04</v>
      </c>
      <c r="F34" s="18" t="n">
        <v>353.58</v>
      </c>
      <c r="G34" s="19">
        <f>HYPERLINK("https://www.tradingview.com/chart/?symbol=NSE:RECLTD","Chart 📈")</f>
        <v/>
      </c>
    </row>
    <row r="35" ht="16" customHeight="1">
      <c r="A35" s="20" t="inlineStr">
        <is>
          <t>NIFTY FINANCIAL SERVICES</t>
        </is>
      </c>
      <c r="B35" s="17" t="inlineStr">
        <is>
          <t>SHRIRAMFIN</t>
        </is>
      </c>
      <c r="C35" s="18" t="n">
        <v>1032.65</v>
      </c>
      <c r="D35" s="18" t="n">
        <v>980.95</v>
      </c>
      <c r="E35" s="18" t="n">
        <v>969.1799999999999</v>
      </c>
      <c r="F35" s="18" t="n">
        <v>907.28</v>
      </c>
      <c r="G35" s="19">
        <f>HYPERLINK("https://www.tradingview.com/chart/?symbol=NSE:SHRIRAMFIN","Chart 📈")</f>
        <v/>
      </c>
    </row>
    <row r="36" ht="16" customHeight="1">
      <c r="A36" s="12" t="inlineStr">
        <is>
          <t>NIFTY PSU BANK</t>
        </is>
      </c>
      <c r="B36" s="13" t="inlineStr">
        <is>
          <t>MAHABANK</t>
        </is>
      </c>
      <c r="C36" s="14" t="n">
        <v>93.84999999999999</v>
      </c>
      <c r="D36" s="14" t="n">
        <v>86.31</v>
      </c>
      <c r="E36" s="14" t="n">
        <v>81.06</v>
      </c>
      <c r="F36" s="14" t="n">
        <v>68.91</v>
      </c>
      <c r="G36" s="15">
        <f>HYPERLINK("https://www.tradingview.com/chart/?symbol=NSE:MAHABANK","Chart 📈")</f>
        <v/>
      </c>
    </row>
    <row r="37" ht="16" customHeight="1">
      <c r="A37" s="16" t="inlineStr">
        <is>
          <t>NIFTY PSU BANK</t>
        </is>
      </c>
      <c r="B37" s="13" t="inlineStr">
        <is>
          <t>SBIN</t>
        </is>
      </c>
      <c r="C37" s="14" t="n">
        <v>1036.1</v>
      </c>
      <c r="D37" s="14" t="n">
        <v>1016.43</v>
      </c>
      <c r="E37" s="14" t="n">
        <v>1013.67</v>
      </c>
      <c r="F37" s="14" t="n">
        <v>983.4400000000001</v>
      </c>
      <c r="G37" s="15">
        <f>HYPERLINK("https://www.tradingview.com/chart/?symbol=NSE:SBIN","Chart 📈")</f>
        <v/>
      </c>
    </row>
    <row r="38" ht="16" customHeight="1">
      <c r="A38" s="16" t="inlineStr">
        <is>
          <t>NIFTY PSU BANK</t>
        </is>
      </c>
      <c r="B38" s="13" t="inlineStr">
        <is>
          <t>UNIONBANK</t>
        </is>
      </c>
      <c r="C38" s="14" t="n">
        <v>174.56</v>
      </c>
      <c r="D38" s="14" t="n">
        <v>171.65</v>
      </c>
      <c r="E38" s="14" t="n">
        <v>170.99</v>
      </c>
      <c r="F38" s="14" t="n">
        <v>165.5</v>
      </c>
      <c r="G38" s="15">
        <f>HYPERLINK("https://www.tradingview.com/chart/?symbol=NSE:UNIONBANK","Chart 📈")</f>
        <v/>
      </c>
    </row>
    <row r="39" ht="16" customHeight="1">
      <c r="A39" s="8" t="inlineStr">
        <is>
          <t>NIFTY MIDSMALL IT &amp; TELECOM</t>
        </is>
      </c>
      <c r="B39" s="17" t="inlineStr">
        <is>
          <t>HFCL</t>
        </is>
      </c>
      <c r="C39" s="18" t="n">
        <v>210.93</v>
      </c>
      <c r="D39" s="18" t="n">
        <v>190.45</v>
      </c>
      <c r="E39" s="18" t="n">
        <v>161.25</v>
      </c>
      <c r="F39" s="18" t="n">
        <v>108.59</v>
      </c>
      <c r="G39" s="19">
        <f>HYPERLINK("https://www.tradingview.com/chart/?symbol=NSE:HFCL","Chart 📈")</f>
        <v/>
      </c>
    </row>
    <row r="40" ht="16" customHeight="1">
      <c r="A40" s="20" t="inlineStr">
        <is>
          <t>NIFTY MIDSMALL IT &amp; TELECOM</t>
        </is>
      </c>
      <c r="B40" s="17" t="inlineStr">
        <is>
          <t>IDEA</t>
        </is>
      </c>
      <c r="C40" s="18" t="n">
        <v>14.43</v>
      </c>
      <c r="D40" s="18" t="n">
        <v>14.32</v>
      </c>
      <c r="E40" s="18" t="n">
        <v>13.21</v>
      </c>
      <c r="F40" s="18" t="n">
        <v>10.9</v>
      </c>
      <c r="G40" s="19">
        <f>HYPERLINK("https://www.tradingview.com/chart/?symbol=NSE:IDEA","Chart 📈")</f>
        <v/>
      </c>
    </row>
    <row r="41" ht="16" customHeight="1">
      <c r="A41" s="20" t="inlineStr">
        <is>
          <t>NIFTY MIDSMALL IT &amp; TELECOM</t>
        </is>
      </c>
      <c r="B41" s="17" t="inlineStr">
        <is>
          <t>OFSS</t>
        </is>
      </c>
      <c r="C41" s="18" t="n">
        <v>10874.5</v>
      </c>
      <c r="D41" s="18" t="n">
        <v>9915.219999999999</v>
      </c>
      <c r="E41" s="18" t="n">
        <v>9344.48</v>
      </c>
      <c r="F41" s="18" t="n">
        <v>8359.07</v>
      </c>
      <c r="G41" s="19">
        <f>HYPERLINK("https://www.tradingview.com/chart/?symbol=NSE:OFSS","Chart 📈")</f>
        <v/>
      </c>
    </row>
    <row r="42" ht="16" customHeight="1">
      <c r="A42" s="20" t="inlineStr">
        <is>
          <t>NIFTY MIDSMALL IT &amp; TELECOM</t>
        </is>
      </c>
      <c r="B42" s="17" t="inlineStr">
        <is>
          <t>TANLA</t>
        </is>
      </c>
      <c r="C42" s="18" t="n">
        <v>530.35</v>
      </c>
      <c r="D42" s="18" t="n">
        <v>521.2</v>
      </c>
      <c r="E42" s="18" t="n">
        <v>512.26</v>
      </c>
      <c r="F42" s="18" t="n">
        <v>528.0599999999999</v>
      </c>
      <c r="G42" s="19">
        <f>HYPERLINK("https://www.tradingview.com/chart/?symbol=NSE:TANLA","Chart 📈")</f>
        <v/>
      </c>
    </row>
    <row r="43" ht="16" customHeight="1">
      <c r="A43" s="20" t="inlineStr">
        <is>
          <t>NIFTY MIDSMALL IT &amp; TELECOM</t>
        </is>
      </c>
      <c r="B43" s="17" t="inlineStr">
        <is>
          <t>TATACOMM</t>
        </is>
      </c>
      <c r="C43" s="18" t="n">
        <v>1993.4</v>
      </c>
      <c r="D43" s="18" t="n">
        <v>1943.42</v>
      </c>
      <c r="E43" s="18" t="n">
        <v>1821.46</v>
      </c>
      <c r="F43" s="18" t="n">
        <v>1701.69</v>
      </c>
      <c r="G43" s="19">
        <f>HYPERLINK("https://www.tradingview.com/chart/?symbol=NSE:TATACOMM","Chart 📈")</f>
        <v/>
      </c>
    </row>
    <row r="44" ht="16" customHeight="1">
      <c r="A44" s="20" t="inlineStr">
        <is>
          <t>NIFTY MIDSMALL IT &amp; TELECOM</t>
        </is>
      </c>
      <c r="B44" s="17" t="inlineStr">
        <is>
          <t>TEJASNET</t>
        </is>
      </c>
      <c r="C44" s="18" t="n">
        <v>603.55</v>
      </c>
      <c r="D44" s="18" t="n">
        <v>582.23</v>
      </c>
      <c r="E44" s="18" t="n">
        <v>527.33</v>
      </c>
      <c r="F44" s="18" t="n">
        <v>502.18</v>
      </c>
      <c r="G44" s="19">
        <f>HYPERLINK("https://www.tradingview.com/chart/?symbol=NSE:TEJASNET","Chart 📈")</f>
        <v/>
      </c>
    </row>
    <row r="45" ht="16" customHeight="1">
      <c r="A45" s="12" t="inlineStr">
        <is>
          <t>NIFTY OIL &amp; GAS</t>
        </is>
      </c>
      <c r="B45" s="13" t="inlineStr">
        <is>
          <t>AEGISLOG</t>
        </is>
      </c>
      <c r="C45" s="14" t="n">
        <v>1174.1</v>
      </c>
      <c r="D45" s="14" t="n">
        <v>960.4299999999999</v>
      </c>
      <c r="E45" s="14" t="n">
        <v>837.87</v>
      </c>
      <c r="F45" s="14" t="n">
        <v>750.96</v>
      </c>
      <c r="G45" s="15">
        <f>HYPERLINK("https://www.tradingview.com/chart/?symbol=NSE:AEGISLOG","Chart 📈")</f>
        <v/>
      </c>
    </row>
    <row r="46" ht="16" customHeight="1">
      <c r="A46" s="16" t="inlineStr">
        <is>
          <t>NIFTY OIL &amp; GAS</t>
        </is>
      </c>
      <c r="B46" s="13" t="inlineStr">
        <is>
          <t>ATGL</t>
        </is>
      </c>
      <c r="C46" s="14" t="n">
        <v>731.65</v>
      </c>
      <c r="D46" s="14" t="n">
        <v>718.46</v>
      </c>
      <c r="E46" s="14" t="n">
        <v>681.4</v>
      </c>
      <c r="F46" s="14" t="n">
        <v>623.9400000000001</v>
      </c>
      <c r="G46" s="15">
        <f>HYPERLINK("https://www.tradingview.com/chart/?symbol=NSE:ATGL","Chart 📈")</f>
        <v/>
      </c>
    </row>
    <row r="47" ht="16" customHeight="1">
      <c r="A47" s="16" t="inlineStr">
        <is>
          <t>NIFTY OIL &amp; GAS</t>
        </is>
      </c>
      <c r="B47" s="13" t="inlineStr">
        <is>
          <t>GAIL</t>
        </is>
      </c>
      <c r="C47" s="14" t="n">
        <v>172.22</v>
      </c>
      <c r="D47" s="14" t="n">
        <v>171.29</v>
      </c>
      <c r="E47" s="14" t="n">
        <v>166.63</v>
      </c>
      <c r="F47" s="14" t="n">
        <v>165.92</v>
      </c>
      <c r="G47" s="15">
        <f>HYPERLINK("https://www.tradingview.com/chart/?symbol=NSE:GAIL","Chart 📈")</f>
        <v/>
      </c>
    </row>
    <row r="48" ht="16" customHeight="1">
      <c r="A48" s="16" t="inlineStr">
        <is>
          <t>NIFTY OIL &amp; GAS</t>
        </is>
      </c>
      <c r="B48" s="13" t="inlineStr">
        <is>
          <t>PETRONET</t>
        </is>
      </c>
      <c r="C48" s="14" t="n">
        <v>281.25</v>
      </c>
      <c r="D48" s="14" t="n">
        <v>279.49</v>
      </c>
      <c r="E48" s="14" t="n">
        <v>275.56</v>
      </c>
      <c r="F48" s="14" t="n">
        <v>276.38</v>
      </c>
      <c r="G48" s="15">
        <f>HYPERLINK("https://www.tradingview.com/chart/?symbol=NSE:PETRONET","Chart 📈")</f>
        <v/>
      </c>
    </row>
    <row r="49" ht="16" customHeight="1">
      <c r="A49" s="8" t="inlineStr">
        <is>
          <t>NIFTY MEDIA</t>
        </is>
      </c>
      <c r="B49" s="17" t="inlineStr">
        <is>
          <t>NAZARA</t>
        </is>
      </c>
      <c r="C49" s="18" t="n">
        <v>303.75</v>
      </c>
      <c r="D49" s="18" t="n">
        <v>290.9</v>
      </c>
      <c r="E49" s="18" t="n">
        <v>281.02</v>
      </c>
      <c r="F49" s="18" t="n">
        <v>276.66</v>
      </c>
      <c r="G49" s="19">
        <f>HYPERLINK("https://www.tradingview.com/chart/?symbol=NSE:NAZARA","Chart 📈")</f>
        <v/>
      </c>
    </row>
    <row r="50" ht="16" customHeight="1">
      <c r="A50" s="20" t="inlineStr">
        <is>
          <t>NIFTY MEDIA</t>
        </is>
      </c>
      <c r="B50" s="17" t="inlineStr">
        <is>
          <t>SAREGAMA</t>
        </is>
      </c>
      <c r="C50" s="18" t="n">
        <v>498.9</v>
      </c>
      <c r="D50" s="18" t="n">
        <v>457.64</v>
      </c>
      <c r="E50" s="18" t="n">
        <v>420.8</v>
      </c>
      <c r="F50" s="18" t="n">
        <v>400.38</v>
      </c>
      <c r="G50" s="19">
        <f>HYPERLINK("https://www.tradingview.com/chart/?symbol=NSE:SAREGAMA","Chart 📈")</f>
        <v/>
      </c>
    </row>
    <row r="51" ht="16" customHeight="1">
      <c r="A51" s="12" t="inlineStr">
        <is>
          <t>NIFTY ENERGY</t>
        </is>
      </c>
      <c r="B51" s="13" t="inlineStr">
        <is>
          <t>ABB</t>
        </is>
      </c>
      <c r="C51" s="14" t="n">
        <v>7128</v>
      </c>
      <c r="D51" s="14" t="n">
        <v>7034.86</v>
      </c>
      <c r="E51" s="14" t="n">
        <v>6876.86</v>
      </c>
      <c r="F51" s="14" t="n">
        <v>6187.33</v>
      </c>
      <c r="G51" s="15">
        <f>HYPERLINK("https://www.tradingview.com/chart/?symbol=NSE:ABB","Chart 📈")</f>
        <v/>
      </c>
    </row>
    <row r="52" ht="16" customHeight="1">
      <c r="A52" s="16" t="inlineStr">
        <is>
          <t>NIFTY ENERGY</t>
        </is>
      </c>
      <c r="B52" s="13" t="inlineStr">
        <is>
          <t>ADANIGREEN</t>
        </is>
      </c>
      <c r="C52" s="14" t="n">
        <v>1502.5</v>
      </c>
      <c r="D52" s="14" t="n">
        <v>1483.3</v>
      </c>
      <c r="E52" s="14" t="n">
        <v>1377.26</v>
      </c>
      <c r="F52" s="14" t="n">
        <v>1146.35</v>
      </c>
      <c r="G52" s="15">
        <f>HYPERLINK("https://www.tradingview.com/chart/?symbol=NSE:ADANIGREEN","Chart 📈")</f>
        <v/>
      </c>
    </row>
    <row r="53" ht="16" customHeight="1">
      <c r="A53" s="16" t="inlineStr">
        <is>
          <t>NIFTY ENERGY</t>
        </is>
      </c>
      <c r="B53" s="13" t="inlineStr">
        <is>
          <t>BHEL</t>
        </is>
      </c>
      <c r="C53" s="14" t="n">
        <v>413.75</v>
      </c>
      <c r="D53" s="14" t="n">
        <v>398.71</v>
      </c>
      <c r="E53" s="14" t="n">
        <v>378.11</v>
      </c>
      <c r="F53" s="14" t="n">
        <v>312.73</v>
      </c>
      <c r="G53" s="15">
        <f>HYPERLINK("https://www.tradingview.com/chart/?symbol=NSE:BHEL","Chart 📈")</f>
        <v/>
      </c>
    </row>
    <row r="54" ht="16" customHeight="1">
      <c r="A54" s="16" t="inlineStr">
        <is>
          <t>NIFTY ENERGY</t>
        </is>
      </c>
      <c r="B54" s="13" t="inlineStr">
        <is>
          <t>CGPOWER</t>
        </is>
      </c>
      <c r="C54" s="14" t="n">
        <v>956.25</v>
      </c>
      <c r="D54" s="14" t="n">
        <v>928.36</v>
      </c>
      <c r="E54" s="14" t="n">
        <v>877</v>
      </c>
      <c r="F54" s="14" t="n">
        <v>764.83</v>
      </c>
      <c r="G54" s="15">
        <f>HYPERLINK("https://www.tradingview.com/chart/?symbol=NSE:CGPOWER","Chart 📈")</f>
        <v/>
      </c>
    </row>
    <row r="55" ht="16" customHeight="1">
      <c r="A55" s="16" t="inlineStr">
        <is>
          <t>NIFTY ENERGY</t>
        </is>
      </c>
      <c r="B55" s="13" t="inlineStr">
        <is>
          <t>JSWENERGY</t>
        </is>
      </c>
      <c r="C55" s="14" t="n">
        <v>586.25</v>
      </c>
      <c r="D55" s="14" t="n">
        <v>571.09</v>
      </c>
      <c r="E55" s="14" t="n">
        <v>556.76</v>
      </c>
      <c r="F55" s="14" t="n">
        <v>524.86</v>
      </c>
      <c r="G55" s="15">
        <f>HYPERLINK("https://www.tradingview.com/chart/?symbol=NSE:JSWENERGY","Chart 📈")</f>
        <v/>
      </c>
    </row>
    <row r="56" ht="16" customHeight="1">
      <c r="A56" s="16" t="inlineStr">
        <is>
          <t>NIFTY ENERGY</t>
        </is>
      </c>
      <c r="B56" s="13" t="inlineStr">
        <is>
          <t>NHPC</t>
        </is>
      </c>
      <c r="C56" s="14" t="n">
        <v>81.56999999999999</v>
      </c>
      <c r="D56" s="14" t="n">
        <v>77.16</v>
      </c>
      <c r="E56" s="14" t="n">
        <v>77.48999999999999</v>
      </c>
      <c r="F56" s="14" t="n">
        <v>78.73</v>
      </c>
      <c r="G56" s="15">
        <f>HYPERLINK("https://www.tradingview.com/chart/?symbol=NSE:NHPC","Chart 📈")</f>
        <v/>
      </c>
    </row>
    <row r="57" ht="16" customHeight="1">
      <c r="A57" s="16" t="inlineStr">
        <is>
          <t>NIFTY ENERGY</t>
        </is>
      </c>
      <c r="B57" s="13" t="inlineStr">
        <is>
          <t>NLCINDIA</t>
        </is>
      </c>
      <c r="C57" s="14" t="n">
        <v>327.75</v>
      </c>
      <c r="D57" s="14" t="n">
        <v>325.77</v>
      </c>
      <c r="E57" s="14" t="n">
        <v>319.98</v>
      </c>
      <c r="F57" s="14" t="n">
        <v>281.68</v>
      </c>
      <c r="G57" s="15">
        <f>HYPERLINK("https://www.tradingview.com/chart/?symbol=NSE:NLCINDIA","Chart 📈")</f>
        <v/>
      </c>
    </row>
    <row r="58" ht="16" customHeight="1">
      <c r="A58" s="16" t="inlineStr">
        <is>
          <t>NIFTY ENERGY</t>
        </is>
      </c>
      <c r="B58" s="13" t="inlineStr">
        <is>
          <t>SCHNEIDER</t>
        </is>
      </c>
      <c r="C58" s="14" t="n">
        <v>1453.6</v>
      </c>
      <c r="D58" s="14" t="n">
        <v>1289.53</v>
      </c>
      <c r="E58" s="14" t="n">
        <v>1213.65</v>
      </c>
      <c r="F58" s="14" t="n">
        <v>994.92</v>
      </c>
      <c r="G58" s="15">
        <f>HYPERLINK("https://www.tradingview.com/chart/?symbol=NSE:SCHNEIDER","Chart 📈")</f>
        <v/>
      </c>
    </row>
    <row r="59" ht="16" customHeight="1">
      <c r="A59" s="16" t="inlineStr">
        <is>
          <t>NIFTY ENERGY</t>
        </is>
      </c>
      <c r="B59" s="13" t="inlineStr">
        <is>
          <t>SUZLON</t>
        </is>
      </c>
      <c r="C59" s="14" t="n">
        <v>57.21</v>
      </c>
      <c r="D59" s="14" t="n">
        <v>56.71</v>
      </c>
      <c r="E59" s="14" t="n">
        <v>54.4</v>
      </c>
      <c r="F59" s="14" t="n">
        <v>53.51</v>
      </c>
      <c r="G59" s="15">
        <f>HYPERLINK("https://www.tradingview.com/chart/?symbol=NSE:SUZLON","Chart 📈")</f>
        <v/>
      </c>
    </row>
    <row r="60" ht="16" customHeight="1">
      <c r="A60" s="16" t="inlineStr">
        <is>
          <t>NIFTY ENERGY</t>
        </is>
      </c>
      <c r="B60" s="13" t="inlineStr">
        <is>
          <t>THERMAX</t>
        </is>
      </c>
      <c r="C60" s="14" t="n">
        <v>5125.1</v>
      </c>
      <c r="D60" s="14" t="n">
        <v>4758.21</v>
      </c>
      <c r="E60" s="14" t="n">
        <v>4469.91</v>
      </c>
      <c r="F60" s="14" t="n">
        <v>3734.69</v>
      </c>
      <c r="G60" s="15">
        <f>HYPERLINK("https://www.tradingview.com/chart/?symbol=NSE:THERMAX","Chart 📈")</f>
        <v/>
      </c>
    </row>
    <row r="61" ht="16" customHeight="1">
      <c r="A61" s="16" t="inlineStr">
        <is>
          <t>NIFTY ENERGY</t>
        </is>
      </c>
      <c r="B61" s="13" t="inlineStr">
        <is>
          <t>TRITURBINE</t>
        </is>
      </c>
      <c r="C61" s="14" t="n">
        <v>687.4</v>
      </c>
      <c r="D61" s="14" t="n">
        <v>676.6900000000001</v>
      </c>
      <c r="E61" s="14" t="n">
        <v>636.3099999999999</v>
      </c>
      <c r="F61" s="14" t="n">
        <v>568.49</v>
      </c>
      <c r="G61" s="15">
        <f>HYPERLINK("https://www.tradingview.com/chart/?symbol=NSE:TRITURBINE","Chart 📈")</f>
        <v/>
      </c>
    </row>
    <row r="62" ht="16" customHeight="1">
      <c r="A62" s="8" t="inlineStr">
        <is>
          <t>NIFTY CONSUMER DURABLES</t>
        </is>
      </c>
      <c r="B62" s="17" t="inlineStr">
        <is>
          <t>CERA</t>
        </is>
      </c>
      <c r="C62" s="18" t="n">
        <v>6463.5</v>
      </c>
      <c r="D62" s="18" t="n">
        <v>6125.01</v>
      </c>
      <c r="E62" s="18" t="n">
        <v>5794.45</v>
      </c>
      <c r="F62" s="18" t="n">
        <v>5652.41</v>
      </c>
      <c r="G62" s="19">
        <f>HYPERLINK("https://www.tradingview.com/chart/?symbol=NSE:CERA","Chart 📈")</f>
        <v/>
      </c>
    </row>
    <row r="63" ht="16" customHeight="1">
      <c r="A63" s="20" t="inlineStr">
        <is>
          <t>NIFTY CONSUMER DURABLES</t>
        </is>
      </c>
      <c r="B63" s="17" t="inlineStr">
        <is>
          <t>KAJARIACER</t>
        </is>
      </c>
      <c r="C63" s="18" t="n">
        <v>1205.9</v>
      </c>
      <c r="D63" s="18" t="n">
        <v>1143.67</v>
      </c>
      <c r="E63" s="18" t="n">
        <v>1108.52</v>
      </c>
      <c r="F63" s="18" t="n">
        <v>1076.76</v>
      </c>
      <c r="G63" s="19">
        <f>HYPERLINK("https://www.tradingview.com/chart/?symbol=NSE:KAJARIACER","Chart 📈")</f>
        <v/>
      </c>
    </row>
    <row r="64" ht="16" customHeight="1">
      <c r="A64" s="20" t="inlineStr">
        <is>
          <t>NIFTY CONSUMER DURABLES</t>
        </is>
      </c>
      <c r="B64" s="17" t="inlineStr">
        <is>
          <t>TITAN</t>
        </is>
      </c>
      <c r="C64" s="18" t="n">
        <v>4277.2</v>
      </c>
      <c r="D64" s="18" t="n">
        <v>4262.61</v>
      </c>
      <c r="E64" s="18" t="n">
        <v>4235.44</v>
      </c>
      <c r="F64" s="18" t="n">
        <v>4064.75</v>
      </c>
      <c r="G64" s="19">
        <f>HYPERLINK("https://www.tradingview.com/chart/?symbol=NSE:TITAN","Chart 📈")</f>
        <v/>
      </c>
    </row>
    <row r="65" ht="16" customHeight="1">
      <c r="A65" s="12" t="inlineStr">
        <is>
          <t>NIFTY FMCG</t>
        </is>
      </c>
      <c r="B65" s="13" t="inlineStr">
        <is>
          <t>MARICO</t>
        </is>
      </c>
      <c r="C65" s="14" t="n">
        <v>839.95</v>
      </c>
      <c r="D65" s="14" t="n">
        <v>818.85</v>
      </c>
      <c r="E65" s="14" t="n">
        <v>808.66</v>
      </c>
      <c r="F65" s="14" t="n">
        <v>769.65</v>
      </c>
      <c r="G65" s="15">
        <f>HYPERLINK("https://www.tradingview.com/chart/?symbol=NSE:MARICO","Chart 📈")</f>
        <v/>
      </c>
    </row>
    <row r="66" ht="16" customHeight="1">
      <c r="A66" s="16" t="inlineStr">
        <is>
          <t>NIFTY FMCG</t>
        </is>
      </c>
      <c r="B66" s="13" t="inlineStr">
        <is>
          <t>RADICO</t>
        </is>
      </c>
      <c r="C66" s="14" t="n">
        <v>3876.9</v>
      </c>
      <c r="D66" s="14" t="n">
        <v>3644.91</v>
      </c>
      <c r="E66" s="14" t="n">
        <v>3463.94</v>
      </c>
      <c r="F66" s="14" t="n">
        <v>3120.35</v>
      </c>
      <c r="G66" s="15">
        <f>HYPERLINK("https://www.tradingview.com/chart/?symbol=NSE:RADICO","Chart 📈")</f>
        <v/>
      </c>
    </row>
    <row r="67" ht="16" customHeight="1">
      <c r="A67" s="16" t="inlineStr">
        <is>
          <t>NIFTY FMCG</t>
        </is>
      </c>
      <c r="B67" s="13" t="inlineStr">
        <is>
          <t>UNITDSPR</t>
        </is>
      </c>
      <c r="C67" s="14" t="n">
        <v>1341.5</v>
      </c>
      <c r="D67" s="14" t="n">
        <v>1313.6</v>
      </c>
      <c r="E67" s="14" t="n">
        <v>1304.82</v>
      </c>
      <c r="F67" s="14" t="n">
        <v>1336.56</v>
      </c>
      <c r="G67" s="15">
        <f>HYPERLINK("https://www.tradingview.com/chart/?symbol=NSE:UNITDSPR","Chart 📈")</f>
        <v/>
      </c>
    </row>
    <row r="68" ht="16" customHeight="1">
      <c r="A68" s="8" t="inlineStr">
        <is>
          <t>NIFTY METAL</t>
        </is>
      </c>
      <c r="B68" s="17" t="inlineStr">
        <is>
          <t>ADANIENT</t>
        </is>
      </c>
      <c r="C68" s="18" t="n">
        <v>2962.5</v>
      </c>
      <c r="D68" s="18" t="n">
        <v>2949.96</v>
      </c>
      <c r="E68" s="18" t="n">
        <v>2747.06</v>
      </c>
      <c r="F68" s="18" t="n">
        <v>2456.87</v>
      </c>
      <c r="G68" s="19">
        <f>HYPERLINK("https://www.tradingview.com/chart/?symbol=NSE:ADANIENT","Chart 📈")</f>
        <v/>
      </c>
    </row>
    <row r="69" ht="16" customHeight="1">
      <c r="A69" s="20" t="inlineStr">
        <is>
          <t>NIFTY METAL</t>
        </is>
      </c>
      <c r="B69" s="17" t="inlineStr">
        <is>
          <t>WELCORP</t>
        </is>
      </c>
      <c r="C69" s="18" t="n">
        <v>1510.8</v>
      </c>
      <c r="D69" s="18" t="n">
        <v>1399.88</v>
      </c>
      <c r="E69" s="18" t="n">
        <v>1298.38</v>
      </c>
      <c r="F69" s="18" t="n">
        <v>1043.37</v>
      </c>
      <c r="G69" s="19">
        <f>HYPERLINK("https://www.tradingview.com/chart/?symbol=NSE:WELCORP","Chart 📈")</f>
        <v/>
      </c>
    </row>
    <row r="70" ht="16" customHeight="1">
      <c r="A70" s="12" t="inlineStr">
        <is>
          <t>NIFTY BANK</t>
        </is>
      </c>
      <c r="B70" s="13" t="inlineStr">
        <is>
          <t>AUBANK</t>
        </is>
      </c>
      <c r="C70" s="14" t="n">
        <v>1030.45</v>
      </c>
      <c r="D70" s="14" t="n">
        <v>1015.7</v>
      </c>
      <c r="E70" s="14" t="n">
        <v>999.15</v>
      </c>
      <c r="F70" s="14" t="n">
        <v>942.64</v>
      </c>
      <c r="G70" s="15">
        <f>HYPERLINK("https://www.tradingview.com/chart/?symbol=NSE:AUBANK","Chart 📈")</f>
        <v/>
      </c>
    </row>
    <row r="71" ht="16" customHeight="1">
      <c r="A71" s="16" t="inlineStr">
        <is>
          <t>NIFTY BANK</t>
        </is>
      </c>
      <c r="B71" s="13" t="inlineStr">
        <is>
          <t>FEDERALBNK</t>
        </is>
      </c>
      <c r="C71" s="14" t="n">
        <v>324.05</v>
      </c>
      <c r="D71" s="14" t="n">
        <v>314.14</v>
      </c>
      <c r="E71" s="14" t="n">
        <v>301.8</v>
      </c>
      <c r="F71" s="14" t="n">
        <v>270.61</v>
      </c>
      <c r="G71" s="15">
        <f>HYPERLINK("https://www.tradingview.com/chart/?symbol=NSE:FEDERALBNK","Chart 📈")</f>
        <v/>
      </c>
    </row>
    <row r="72" ht="16" customHeight="1">
      <c r="A72" s="16" t="inlineStr">
        <is>
          <t>NIFTY BANK</t>
        </is>
      </c>
      <c r="B72" s="13" t="inlineStr">
        <is>
          <t>IDFCFIRSTB</t>
        </is>
      </c>
      <c r="C72" s="14" t="n">
        <v>78.2</v>
      </c>
      <c r="D72" s="14" t="n">
        <v>76.12</v>
      </c>
      <c r="E72" s="14" t="n">
        <v>73.16</v>
      </c>
      <c r="F72" s="14" t="n">
        <v>73.54000000000001</v>
      </c>
      <c r="G72" s="15">
        <f>HYPERLINK("https://www.tradingview.com/chart/?symbol=NSE:IDFCFIRSTB","Chart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2026-06-29T14:57:45Z</dcterms:created>
  <dcterms:modified xsi:type="dcterms:W3CDTF">2026-06-29T14:57:45Z</dcterms:modified>
</cp:coreProperties>
</file>