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12-May-2026  18:32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18</v>
      </c>
      <c r="D4" s="5" t="n">
        <v>19</v>
      </c>
      <c r="E4" s="5" t="n">
        <v>18</v>
      </c>
      <c r="F4" s="6" t="n">
        <v>0.9</v>
      </c>
      <c r="G4" s="6" t="n">
        <v>0.95</v>
      </c>
      <c r="H4" s="6" t="n">
        <v>0.9</v>
      </c>
      <c r="I4" s="7" t="n">
        <v>0.9167000000000001</v>
      </c>
    </row>
    <row r="5" ht="17" customHeight="1">
      <c r="A5" s="8" t="inlineStr">
        <is>
          <t>NIFTY METAL</t>
        </is>
      </c>
      <c r="B5" s="9" t="n">
        <v>15</v>
      </c>
      <c r="C5" s="9" t="n">
        <v>8</v>
      </c>
      <c r="D5" s="9" t="n">
        <v>11</v>
      </c>
      <c r="E5" s="9" t="n">
        <v>13</v>
      </c>
      <c r="F5" s="10" t="n">
        <v>0.5329999999999999</v>
      </c>
      <c r="G5" s="10" t="n">
        <v>0.733</v>
      </c>
      <c r="H5" s="10" t="n">
        <v>0.867</v>
      </c>
      <c r="I5" s="11" t="n">
        <v>0.711</v>
      </c>
    </row>
    <row r="6" ht="17" customHeight="1">
      <c r="A6" s="4" t="inlineStr">
        <is>
          <t>NIFTY AUTO</t>
        </is>
      </c>
      <c r="B6" s="5" t="n">
        <v>15</v>
      </c>
      <c r="C6" s="5" t="n">
        <v>10</v>
      </c>
      <c r="D6" s="5" t="n">
        <v>8</v>
      </c>
      <c r="E6" s="5" t="n">
        <v>7</v>
      </c>
      <c r="F6" s="6" t="n">
        <v>0.667</v>
      </c>
      <c r="G6" s="6" t="n">
        <v>0.5329999999999999</v>
      </c>
      <c r="H6" s="6" t="n">
        <v>0.467</v>
      </c>
      <c r="I6" s="7" t="n">
        <v>0.5557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14</v>
      </c>
      <c r="D7" s="9" t="n">
        <v>13</v>
      </c>
      <c r="E7" s="9" t="n">
        <v>5</v>
      </c>
      <c r="F7" s="10" t="n">
        <v>0.7</v>
      </c>
      <c r="G7" s="10" t="n">
        <v>0.65</v>
      </c>
      <c r="H7" s="10" t="n">
        <v>0.25</v>
      </c>
      <c r="I7" s="11" t="n">
        <v>0.5333</v>
      </c>
    </row>
    <row r="8" ht="17" customHeight="1">
      <c r="A8" s="4" t="inlineStr">
        <is>
          <t>NIFTY FMCG</t>
        </is>
      </c>
      <c r="B8" s="5" t="n">
        <v>15</v>
      </c>
      <c r="C8" s="5" t="n">
        <v>9</v>
      </c>
      <c r="D8" s="5" t="n">
        <v>9</v>
      </c>
      <c r="E8" s="5" t="n">
        <v>6</v>
      </c>
      <c r="F8" s="6" t="n">
        <v>0.6</v>
      </c>
      <c r="G8" s="6" t="n">
        <v>0.6</v>
      </c>
      <c r="H8" s="6" t="n">
        <v>0.4</v>
      </c>
      <c r="I8" s="7" t="n">
        <v>0.5333</v>
      </c>
    </row>
    <row r="9" ht="17" customHeight="1">
      <c r="A9" s="8" t="inlineStr">
        <is>
          <t>NIFTY ENERGY</t>
        </is>
      </c>
      <c r="B9" s="9" t="n">
        <v>40</v>
      </c>
      <c r="C9" s="9" t="n">
        <v>17</v>
      </c>
      <c r="D9" s="9" t="n">
        <v>23</v>
      </c>
      <c r="E9" s="9" t="n">
        <v>22</v>
      </c>
      <c r="F9" s="10" t="n">
        <v>0.425</v>
      </c>
      <c r="G9" s="10" t="n">
        <v>0.575</v>
      </c>
      <c r="H9" s="10" t="n">
        <v>0.55</v>
      </c>
      <c r="I9" s="11" t="n">
        <v>0.5167</v>
      </c>
    </row>
    <row r="10" ht="17" customHeight="1">
      <c r="A10" s="4" t="inlineStr">
        <is>
          <t>NIFTY REALTY</t>
        </is>
      </c>
      <c r="B10" s="5" t="n">
        <v>10</v>
      </c>
      <c r="C10" s="5" t="n">
        <v>5</v>
      </c>
      <c r="D10" s="5" t="n">
        <v>7</v>
      </c>
      <c r="E10" s="5" t="n">
        <v>2</v>
      </c>
      <c r="F10" s="6" t="n">
        <v>0.5</v>
      </c>
      <c r="G10" s="6" t="n">
        <v>0.7</v>
      </c>
      <c r="H10" s="6" t="n">
        <v>0.2</v>
      </c>
      <c r="I10" s="7" t="n">
        <v>0.4667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11</v>
      </c>
      <c r="D11" s="9" t="n">
        <v>8</v>
      </c>
      <c r="E11" s="9" t="n">
        <v>8</v>
      </c>
      <c r="F11" s="10" t="n">
        <v>0.55</v>
      </c>
      <c r="G11" s="10" t="n">
        <v>0.4</v>
      </c>
      <c r="H11" s="10" t="n">
        <v>0.4</v>
      </c>
      <c r="I11" s="11" t="n">
        <v>0.45</v>
      </c>
    </row>
    <row r="12" ht="17" customHeight="1">
      <c r="A12" s="4" t="inlineStr">
        <is>
          <t>NIFTY MEDIA</t>
        </is>
      </c>
      <c r="B12" s="5" t="n">
        <v>10</v>
      </c>
      <c r="C12" s="5" t="n">
        <v>5</v>
      </c>
      <c r="D12" s="5" t="n">
        <v>6</v>
      </c>
      <c r="E12" s="5" t="n">
        <v>2</v>
      </c>
      <c r="F12" s="6" t="n">
        <v>0.5</v>
      </c>
      <c r="G12" s="6" t="n">
        <v>0.6</v>
      </c>
      <c r="H12" s="6" t="n">
        <v>0.2</v>
      </c>
      <c r="I12" s="7" t="n">
        <v>0.4333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5</v>
      </c>
      <c r="D13" s="9" t="n">
        <v>7</v>
      </c>
      <c r="E13" s="9" t="n">
        <v>6</v>
      </c>
      <c r="F13" s="10" t="n">
        <v>0.333</v>
      </c>
      <c r="G13" s="10" t="n">
        <v>0.467</v>
      </c>
      <c r="H13" s="10" t="n">
        <v>0.4</v>
      </c>
      <c r="I13" s="11" t="n">
        <v>0.4</v>
      </c>
    </row>
    <row r="14" ht="17" customHeight="1">
      <c r="A14" s="4" t="inlineStr">
        <is>
          <t>NIFTY PSU BANK</t>
        </is>
      </c>
      <c r="B14" s="5" t="n">
        <v>12</v>
      </c>
      <c r="C14" s="5" t="n">
        <v>4</v>
      </c>
      <c r="D14" s="5" t="n">
        <v>3</v>
      </c>
      <c r="E14" s="5" t="n">
        <v>4</v>
      </c>
      <c r="F14" s="6" t="n">
        <v>0.333</v>
      </c>
      <c r="G14" s="6" t="n">
        <v>0.25</v>
      </c>
      <c r="H14" s="6" t="n">
        <v>0.333</v>
      </c>
      <c r="I14" s="7" t="n">
        <v>0.3053</v>
      </c>
    </row>
    <row r="15" ht="17" customHeight="1">
      <c r="A15" s="8" t="inlineStr">
        <is>
          <t>NIFTY BANK</t>
        </is>
      </c>
      <c r="B15" s="9" t="n">
        <v>12</v>
      </c>
      <c r="C15" s="9" t="n">
        <v>4</v>
      </c>
      <c r="D15" s="9" t="n">
        <v>3</v>
      </c>
      <c r="E15" s="9" t="n">
        <v>3</v>
      </c>
      <c r="F15" s="10" t="n">
        <v>0.333</v>
      </c>
      <c r="G15" s="10" t="n">
        <v>0.25</v>
      </c>
      <c r="H15" s="10" t="n">
        <v>0.25</v>
      </c>
      <c r="I15" s="11" t="n">
        <v>0.2777</v>
      </c>
    </row>
    <row r="16" ht="17" customHeight="1">
      <c r="A16" s="4" t="inlineStr">
        <is>
          <t>NIFTY OIL &amp; GAS</t>
        </is>
      </c>
      <c r="B16" s="5" t="n">
        <v>15</v>
      </c>
      <c r="C16" s="5" t="n">
        <v>3</v>
      </c>
      <c r="D16" s="5" t="n">
        <v>6</v>
      </c>
      <c r="E16" s="5" t="n">
        <v>3</v>
      </c>
      <c r="F16" s="6" t="n">
        <v>0.2</v>
      </c>
      <c r="G16" s="6" t="n">
        <v>0.4</v>
      </c>
      <c r="H16" s="6" t="n">
        <v>0.2</v>
      </c>
      <c r="I16" s="7" t="n">
        <v>0.2667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3064.2</v>
      </c>
      <c r="D3" s="14" t="n">
        <v>2906.26</v>
      </c>
      <c r="E3" s="14" t="n">
        <v>2870.87</v>
      </c>
      <c r="F3" s="14" t="n">
        <v>2729.65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5599.5</v>
      </c>
      <c r="D4" s="14" t="n">
        <v>5471.98</v>
      </c>
      <c r="E4" s="14" t="n">
        <v>5462.99</v>
      </c>
      <c r="F4" s="14" t="n">
        <v>5409.27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1486.6</v>
      </c>
      <c r="D5" s="14" t="n">
        <v>1414.92</v>
      </c>
      <c r="E5" s="14" t="n">
        <v>1347.46</v>
      </c>
      <c r="F5" s="14" t="n">
        <v>1233.01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390.45</v>
      </c>
      <c r="D6" s="14" t="n">
        <v>368.16</v>
      </c>
      <c r="E6" s="14" t="n">
        <v>368.61</v>
      </c>
      <c r="F6" s="14" t="n">
        <v>368.75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6714</v>
      </c>
      <c r="D7" s="14" t="n">
        <v>6464.17</v>
      </c>
      <c r="E7" s="14" t="n">
        <v>6320.18</v>
      </c>
      <c r="F7" s="14" t="n">
        <v>6276.22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GLAND</t>
        </is>
      </c>
      <c r="C8" s="14" t="n">
        <v>1919.1</v>
      </c>
      <c r="D8" s="14" t="n">
        <v>1796.94</v>
      </c>
      <c r="E8" s="14" t="n">
        <v>1764.87</v>
      </c>
      <c r="F8" s="14" t="n">
        <v>1750.51</v>
      </c>
      <c r="G8" s="15">
        <f>HYPERLINK("https://www.tradingview.com/chart/?symbol=NSE:GLAND","Chart 📈")</f>
        <v/>
      </c>
    </row>
    <row r="9" ht="16" customHeight="1">
      <c r="A9" s="16" t="inlineStr">
        <is>
          <t>NIFTY PHARMA</t>
        </is>
      </c>
      <c r="B9" s="13" t="inlineStr">
        <is>
          <t>GLENMARK</t>
        </is>
      </c>
      <c r="C9" s="14" t="n">
        <v>2347.3</v>
      </c>
      <c r="D9" s="14" t="n">
        <v>2324.69</v>
      </c>
      <c r="E9" s="14" t="n">
        <v>2229.97</v>
      </c>
      <c r="F9" s="14" t="n">
        <v>2010.89</v>
      </c>
      <c r="G9" s="15">
        <f>HYPERLINK("https://www.tradingview.com/chart/?symbol=NSE:GLENMARK","Chart 📈")</f>
        <v/>
      </c>
    </row>
    <row r="10" ht="16" customHeight="1">
      <c r="A10" s="16" t="inlineStr">
        <is>
          <t>NIFTY PHARMA</t>
        </is>
      </c>
      <c r="B10" s="13" t="inlineStr">
        <is>
          <t>GRANULES</t>
        </is>
      </c>
      <c r="C10" s="14" t="n">
        <v>755.6</v>
      </c>
      <c r="D10" s="14" t="n">
        <v>698.9299999999999</v>
      </c>
      <c r="E10" s="14" t="n">
        <v>654.27</v>
      </c>
      <c r="F10" s="14" t="n">
        <v>580.76</v>
      </c>
      <c r="G10" s="15">
        <f>HYPERLINK("https://www.tradingview.com/chart/?symbol=NSE:GRANULES","Chart 📈")</f>
        <v/>
      </c>
    </row>
    <row r="11" ht="16" customHeight="1">
      <c r="A11" s="16" t="inlineStr">
        <is>
          <t>NIFTY PHARMA</t>
        </is>
      </c>
      <c r="B11" s="13" t="inlineStr">
        <is>
          <t>IPCALAB</t>
        </is>
      </c>
      <c r="C11" s="14" t="n">
        <v>1535</v>
      </c>
      <c r="D11" s="14" t="n">
        <v>1528.02</v>
      </c>
      <c r="E11" s="14" t="n">
        <v>1510.82</v>
      </c>
      <c r="F11" s="14" t="n">
        <v>1452.39</v>
      </c>
      <c r="G11" s="15">
        <f>HYPERLINK("https://www.tradingview.com/chart/?symbol=NSE:IPCALAB","Chart 📈")</f>
        <v/>
      </c>
    </row>
    <row r="12" ht="16" customHeight="1">
      <c r="A12" s="16" t="inlineStr">
        <is>
          <t>NIFTY PHARMA</t>
        </is>
      </c>
      <c r="B12" s="13" t="inlineStr">
        <is>
          <t>JBCHEPHARM</t>
        </is>
      </c>
      <c r="C12" s="14" t="n">
        <v>2209.2</v>
      </c>
      <c r="D12" s="14" t="n">
        <v>2076.77</v>
      </c>
      <c r="E12" s="14" t="n">
        <v>2033.13</v>
      </c>
      <c r="F12" s="14" t="n">
        <v>1870.43</v>
      </c>
      <c r="G12" s="15">
        <f>HYPERLINK("https://www.tradingview.com/chart/?symbol=NSE:JBCHEPHARM","Chart 📈")</f>
        <v/>
      </c>
    </row>
    <row r="13" ht="16" customHeight="1">
      <c r="A13" s="16" t="inlineStr">
        <is>
          <t>NIFTY PHARMA</t>
        </is>
      </c>
      <c r="B13" s="13" t="inlineStr">
        <is>
          <t>LAURUSLABS</t>
        </is>
      </c>
      <c r="C13" s="14" t="n">
        <v>1266.8</v>
      </c>
      <c r="D13" s="14" t="n">
        <v>1143.43</v>
      </c>
      <c r="E13" s="14" t="n">
        <v>1091.72</v>
      </c>
      <c r="F13" s="14" t="n">
        <v>971.73</v>
      </c>
      <c r="G13" s="15">
        <f>HYPERLINK("https://www.tradingview.com/chart/?symbol=NSE:LAURUSLABS","Chart 📈")</f>
        <v/>
      </c>
    </row>
    <row r="14" ht="16" customHeight="1">
      <c r="A14" s="16" t="inlineStr">
        <is>
          <t>NIFTY PHARMA</t>
        </is>
      </c>
      <c r="B14" s="13" t="inlineStr">
        <is>
          <t>MANKIND</t>
        </is>
      </c>
      <c r="C14" s="14" t="n">
        <v>2468.8</v>
      </c>
      <c r="D14" s="14" t="n">
        <v>2268.79</v>
      </c>
      <c r="E14" s="14" t="n">
        <v>2192.24</v>
      </c>
      <c r="F14" s="14" t="n">
        <v>2258.13</v>
      </c>
      <c r="G14" s="15">
        <f>HYPERLINK("https://www.tradingview.com/chart/?symbol=NSE:MANKIND","Chart 📈")</f>
        <v/>
      </c>
    </row>
    <row r="15" ht="16" customHeight="1">
      <c r="A15" s="16" t="inlineStr">
        <is>
          <t>NIFTY PHARMA</t>
        </is>
      </c>
      <c r="B15" s="13" t="inlineStr">
        <is>
          <t>NATCOPHARM</t>
        </is>
      </c>
      <c r="C15" s="14" t="n">
        <v>1206</v>
      </c>
      <c r="D15" s="14" t="n">
        <v>1111.28</v>
      </c>
      <c r="E15" s="14" t="n">
        <v>1046.9</v>
      </c>
      <c r="F15" s="14" t="n">
        <v>937.15</v>
      </c>
      <c r="G15" s="15">
        <f>HYPERLINK("https://www.tradingview.com/chart/?symbol=NSE:NATCOPHARM","Chart 📈")</f>
        <v/>
      </c>
    </row>
    <row r="16" ht="16" customHeight="1">
      <c r="A16" s="16" t="inlineStr">
        <is>
          <t>NIFTY PHARMA</t>
        </is>
      </c>
      <c r="B16" s="13" t="inlineStr">
        <is>
          <t>SUNPHARMA</t>
        </is>
      </c>
      <c r="C16" s="14" t="n">
        <v>1872.7</v>
      </c>
      <c r="D16" s="14" t="n">
        <v>1780.36</v>
      </c>
      <c r="E16" s="14" t="n">
        <v>1751.34</v>
      </c>
      <c r="F16" s="14" t="n">
        <v>1712.87</v>
      </c>
      <c r="G16" s="15">
        <f>HYPERLINK("https://www.tradingview.com/chart/?symbol=NSE:SUNPHARMA","Chart 📈")</f>
        <v/>
      </c>
    </row>
    <row r="17" ht="16" customHeight="1">
      <c r="A17" s="16" t="inlineStr">
        <is>
          <t>NIFTY PHARMA</t>
        </is>
      </c>
      <c r="B17" s="13" t="inlineStr">
        <is>
          <t>TORNTPHARM</t>
        </is>
      </c>
      <c r="C17" s="14" t="n">
        <v>4517.1</v>
      </c>
      <c r="D17" s="14" t="n">
        <v>4262.61</v>
      </c>
      <c r="E17" s="14" t="n">
        <v>4202.62</v>
      </c>
      <c r="F17" s="14" t="n">
        <v>3895.36</v>
      </c>
      <c r="G17" s="15">
        <f>HYPERLINK("https://www.tradingview.com/chart/?symbol=NSE:TORNTPHARM","Chart 📈")</f>
        <v/>
      </c>
    </row>
    <row r="18" ht="16" customHeight="1">
      <c r="A18" s="16" t="inlineStr">
        <is>
          <t>NIFTY PHARMA</t>
        </is>
      </c>
      <c r="B18" s="13" t="inlineStr">
        <is>
          <t>ZYDUSLIFE</t>
        </is>
      </c>
      <c r="C18" s="14" t="n">
        <v>956.95</v>
      </c>
      <c r="D18" s="14" t="n">
        <v>922.71</v>
      </c>
      <c r="E18" s="14" t="n">
        <v>914.11</v>
      </c>
      <c r="F18" s="14" t="n">
        <v>922.05</v>
      </c>
      <c r="G18" s="15">
        <f>HYPERLINK("https://www.tradingview.com/chart/?symbol=NSE:ZYDUSLIFE","Chart 📈")</f>
        <v/>
      </c>
    </row>
    <row r="19" ht="16" customHeight="1">
      <c r="A19" s="8" t="inlineStr">
        <is>
          <t>NIFTY METAL</t>
        </is>
      </c>
      <c r="B19" s="17" t="inlineStr">
        <is>
          <t>ADANIENT</t>
        </is>
      </c>
      <c r="C19" s="18" t="n">
        <v>2500.2</v>
      </c>
      <c r="D19" s="18" t="n">
        <v>2353.87</v>
      </c>
      <c r="E19" s="18" t="n">
        <v>2222.96</v>
      </c>
      <c r="F19" s="18" t="n">
        <v>2260.22</v>
      </c>
      <c r="G19" s="19">
        <f>HYPERLINK("https://www.tradingview.com/chart/?symbol=NSE:ADANIENT","Chart 📈")</f>
        <v/>
      </c>
    </row>
    <row r="20" ht="16" customHeight="1">
      <c r="A20" s="20" t="inlineStr">
        <is>
          <t>NIFTY METAL</t>
        </is>
      </c>
      <c r="B20" s="17" t="inlineStr">
        <is>
          <t>HINDCOPPER</t>
        </is>
      </c>
      <c r="C20" s="18" t="n">
        <v>572.9</v>
      </c>
      <c r="D20" s="18" t="n">
        <v>547.52</v>
      </c>
      <c r="E20" s="18" t="n">
        <v>536.67</v>
      </c>
      <c r="F20" s="18" t="n">
        <v>443.5</v>
      </c>
      <c r="G20" s="19">
        <f>HYPERLINK("https://www.tradingview.com/chart/?symbol=NSE:HINDCOPPER","Chart 📈")</f>
        <v/>
      </c>
    </row>
    <row r="21" ht="16" customHeight="1">
      <c r="A21" s="20" t="inlineStr">
        <is>
          <t>NIFTY METAL</t>
        </is>
      </c>
      <c r="B21" s="17" t="inlineStr">
        <is>
          <t>HINDZINC</t>
        </is>
      </c>
      <c r="C21" s="18" t="n">
        <v>629.1</v>
      </c>
      <c r="D21" s="18" t="n">
        <v>599.48</v>
      </c>
      <c r="E21" s="18" t="n">
        <v>580.9400000000001</v>
      </c>
      <c r="F21" s="18" t="n">
        <v>535.4299999999999</v>
      </c>
      <c r="G21" s="19">
        <f>HYPERLINK("https://www.tradingview.com/chart/?symbol=NSE:HINDZINC","Chart 📈")</f>
        <v/>
      </c>
    </row>
    <row r="22" ht="16" customHeight="1">
      <c r="A22" s="20" t="inlineStr">
        <is>
          <t>NIFTY METAL</t>
        </is>
      </c>
      <c r="B22" s="17" t="inlineStr">
        <is>
          <t>JSWSTEEL</t>
        </is>
      </c>
      <c r="C22" s="18" t="n">
        <v>1262.6</v>
      </c>
      <c r="D22" s="18" t="n">
        <v>1253.47</v>
      </c>
      <c r="E22" s="18" t="n">
        <v>1226.58</v>
      </c>
      <c r="F22" s="18" t="n">
        <v>1160.96</v>
      </c>
      <c r="G22" s="19">
        <f>HYPERLINK("https://www.tradingview.com/chart/?symbol=NSE:JSWSTEEL","Chart 📈")</f>
        <v/>
      </c>
    </row>
    <row r="23" ht="16" customHeight="1">
      <c r="A23" s="20" t="inlineStr">
        <is>
          <t>NIFTY METAL</t>
        </is>
      </c>
      <c r="B23" s="17" t="inlineStr">
        <is>
          <t>RATNAMANI</t>
        </is>
      </c>
      <c r="C23" s="18" t="n">
        <v>3046.2</v>
      </c>
      <c r="D23" s="18" t="n">
        <v>2640.05</v>
      </c>
      <c r="E23" s="18" t="n">
        <v>2476.56</v>
      </c>
      <c r="F23" s="18" t="n">
        <v>2425.73</v>
      </c>
      <c r="G23" s="19">
        <f>HYPERLINK("https://www.tradingview.com/chart/?symbol=NSE:RATNAMANI","Chart 📈")</f>
        <v/>
      </c>
    </row>
    <row r="24" ht="16" customHeight="1">
      <c r="A24" s="20" t="inlineStr">
        <is>
          <t>NIFTY METAL</t>
        </is>
      </c>
      <c r="B24" s="17" t="inlineStr">
        <is>
          <t>SAIL</t>
        </is>
      </c>
      <c r="C24" s="18" t="n">
        <v>180.72</v>
      </c>
      <c r="D24" s="18" t="n">
        <v>179.08</v>
      </c>
      <c r="E24" s="18" t="n">
        <v>168.95</v>
      </c>
      <c r="F24" s="18" t="n">
        <v>148.43</v>
      </c>
      <c r="G24" s="19">
        <f>HYPERLINK("https://www.tradingview.com/chart/?symbol=NSE:SAIL","Chart 📈")</f>
        <v/>
      </c>
    </row>
    <row r="25" ht="16" customHeight="1">
      <c r="A25" s="20" t="inlineStr">
        <is>
          <t>NIFTY METAL</t>
        </is>
      </c>
      <c r="B25" s="17" t="inlineStr">
        <is>
          <t>TATASTEEL</t>
        </is>
      </c>
      <c r="C25" s="18" t="n">
        <v>212.08</v>
      </c>
      <c r="D25" s="18" t="n">
        <v>210.97</v>
      </c>
      <c r="E25" s="18" t="n">
        <v>204.95</v>
      </c>
      <c r="F25" s="18" t="n">
        <v>185.6</v>
      </c>
      <c r="G25" s="19">
        <f>HYPERLINK("https://www.tradingview.com/chart/?symbol=NSE:TATASTEEL","Chart 📈")</f>
        <v/>
      </c>
    </row>
    <row r="26" ht="16" customHeight="1">
      <c r="A26" s="20" t="inlineStr">
        <is>
          <t>NIFTY METAL</t>
        </is>
      </c>
      <c r="B26" s="17" t="inlineStr">
        <is>
          <t>WELCORP</t>
        </is>
      </c>
      <c r="C26" s="18" t="n">
        <v>1329.3</v>
      </c>
      <c r="D26" s="18" t="n">
        <v>1188.49</v>
      </c>
      <c r="E26" s="18" t="n">
        <v>1040.64</v>
      </c>
      <c r="F26" s="18" t="n">
        <v>893.6</v>
      </c>
      <c r="G26" s="19">
        <f>HYPERLINK("https://www.tradingview.com/chart/?symbol=NSE:WELCORP","Chart 📈")</f>
        <v/>
      </c>
    </row>
    <row r="27" ht="16" customHeight="1">
      <c r="A27" s="12" t="inlineStr">
        <is>
          <t>NIFTY AUTO</t>
        </is>
      </c>
      <c r="B27" s="13" t="inlineStr">
        <is>
          <t>BAJAJ-AUTO</t>
        </is>
      </c>
      <c r="C27" s="14" t="n">
        <v>10595.5</v>
      </c>
      <c r="D27" s="14" t="n">
        <v>9983.68</v>
      </c>
      <c r="E27" s="14" t="n">
        <v>9693.34</v>
      </c>
      <c r="F27" s="14" t="n">
        <v>9191.139999999999</v>
      </c>
      <c r="G27" s="15">
        <f>HYPERLINK("https://www.tradingview.com/chart/?symbol=NSE:BAJAJ-AUTO","Chart 📈")</f>
        <v/>
      </c>
    </row>
    <row r="28" ht="16" customHeight="1">
      <c r="A28" s="16" t="inlineStr">
        <is>
          <t>NIFTY AUTO</t>
        </is>
      </c>
      <c r="B28" s="13" t="inlineStr">
        <is>
          <t>BHARATFORG</t>
        </is>
      </c>
      <c r="C28" s="14" t="n">
        <v>1987</v>
      </c>
      <c r="D28" s="14" t="n">
        <v>1884.6</v>
      </c>
      <c r="E28" s="14" t="n">
        <v>1803.43</v>
      </c>
      <c r="F28" s="14" t="n">
        <v>1544.88</v>
      </c>
      <c r="G28" s="15">
        <f>HYPERLINK("https://www.tradingview.com/chart/?symbol=NSE:BHARATFORG","Chart 📈")</f>
        <v/>
      </c>
    </row>
    <row r="29" ht="16" customHeight="1">
      <c r="A29" s="16" t="inlineStr">
        <is>
          <t>NIFTY AUTO</t>
        </is>
      </c>
      <c r="B29" s="13" t="inlineStr">
        <is>
          <t>BOSCHLTD</t>
        </is>
      </c>
      <c r="C29" s="14" t="n">
        <v>37315</v>
      </c>
      <c r="D29" s="14" t="n">
        <v>36466.85</v>
      </c>
      <c r="E29" s="14" t="n">
        <v>35496.27</v>
      </c>
      <c r="F29" s="14" t="n">
        <v>35436.89</v>
      </c>
      <c r="G29" s="15">
        <f>HYPERLINK("https://www.tradingview.com/chart/?symbol=NSE:BOSCHLTD","Chart 📈")</f>
        <v/>
      </c>
    </row>
    <row r="30" ht="16" customHeight="1">
      <c r="A30" s="16" t="inlineStr">
        <is>
          <t>NIFTY AUTO</t>
        </is>
      </c>
      <c r="B30" s="13" t="inlineStr">
        <is>
          <t>EICHERMOT</t>
        </is>
      </c>
      <c r="C30" s="14" t="n">
        <v>7202.5</v>
      </c>
      <c r="D30" s="14" t="n">
        <v>7192.83</v>
      </c>
      <c r="E30" s="14" t="n">
        <v>7192.21</v>
      </c>
      <c r="F30" s="14" t="n">
        <v>6887.72</v>
      </c>
      <c r="G30" s="15">
        <f>HYPERLINK("https://www.tradingview.com/chart/?symbol=NSE:EICHERMOT","Chart 📈")</f>
        <v/>
      </c>
    </row>
    <row r="31" ht="16" customHeight="1">
      <c r="A31" s="16" t="inlineStr">
        <is>
          <t>NIFTY AUTO</t>
        </is>
      </c>
      <c r="B31" s="13" t="inlineStr">
        <is>
          <t>MOTHERSON</t>
        </is>
      </c>
      <c r="C31" s="14" t="n">
        <v>130.3</v>
      </c>
      <c r="D31" s="14" t="n">
        <v>124.44</v>
      </c>
      <c r="E31" s="14" t="n">
        <v>121.65</v>
      </c>
      <c r="F31" s="14" t="n">
        <v>114.01</v>
      </c>
      <c r="G31" s="15">
        <f>HYPERLINK("https://www.tradingview.com/chart/?symbol=NSE:MOTHERSON","Chart 📈")</f>
        <v/>
      </c>
    </row>
    <row r="32" ht="16" customHeight="1">
      <c r="A32" s="16" t="inlineStr">
        <is>
          <t>NIFTY AUTO</t>
        </is>
      </c>
      <c r="B32" s="13" t="inlineStr">
        <is>
          <t>TVSMOTOR</t>
        </is>
      </c>
      <c r="C32" s="14" t="n">
        <v>3613.7</v>
      </c>
      <c r="D32" s="14" t="n">
        <v>3599.54</v>
      </c>
      <c r="E32" s="14" t="n">
        <v>3611.39</v>
      </c>
      <c r="F32" s="14" t="n">
        <v>3472.95</v>
      </c>
      <c r="G32" s="15">
        <f>HYPERLINK("https://www.tradingview.com/chart/?symbol=NSE:TVSMOTOR","Chart 📈")</f>
        <v/>
      </c>
    </row>
    <row r="33" ht="16" customHeight="1">
      <c r="A33" s="8" t="inlineStr">
        <is>
          <t>NIFTY MIDSMALL IT &amp; TELECOM</t>
        </is>
      </c>
      <c r="B33" s="17" t="inlineStr">
        <is>
          <t>AFFLE</t>
        </is>
      </c>
      <c r="C33" s="18" t="n">
        <v>1637.5</v>
      </c>
      <c r="D33" s="18" t="n">
        <v>1456.96</v>
      </c>
      <c r="E33" s="18" t="n">
        <v>1457.61</v>
      </c>
      <c r="F33" s="18" t="n">
        <v>1612.94</v>
      </c>
      <c r="G33" s="19">
        <f>HYPERLINK("https://www.tradingview.com/chart/?symbol=NSE:AFFLE","Chart 📈")</f>
        <v/>
      </c>
    </row>
    <row r="34" ht="16" customHeight="1">
      <c r="A34" s="20" t="inlineStr">
        <is>
          <t>NIFTY MIDSMALL IT &amp; TELECOM</t>
        </is>
      </c>
      <c r="B34" s="17" t="inlineStr">
        <is>
          <t>HFCL</t>
        </is>
      </c>
      <c r="C34" s="18" t="n">
        <v>148.46</v>
      </c>
      <c r="D34" s="18" t="n">
        <v>115.97</v>
      </c>
      <c r="E34" s="18" t="n">
        <v>95.95999999999999</v>
      </c>
      <c r="F34" s="18" t="n">
        <v>80.06</v>
      </c>
      <c r="G34" s="19">
        <f>HYPERLINK("https://www.tradingview.com/chart/?symbol=NSE:HFCL","Chart 📈")</f>
        <v/>
      </c>
    </row>
    <row r="35" ht="16" customHeight="1">
      <c r="A35" s="20" t="inlineStr">
        <is>
          <t>NIFTY MIDSMALL IT &amp; TELECOM</t>
        </is>
      </c>
      <c r="B35" s="17" t="inlineStr">
        <is>
          <t>IDEA</t>
        </is>
      </c>
      <c r="C35" s="18" t="n">
        <v>12.18</v>
      </c>
      <c r="D35" s="18" t="n">
        <v>10.4</v>
      </c>
      <c r="E35" s="18" t="n">
        <v>10.09</v>
      </c>
      <c r="F35" s="18" t="n">
        <v>9.529999999999999</v>
      </c>
      <c r="G35" s="19">
        <f>HYPERLINK("https://www.tradingview.com/chart/?symbol=NSE:IDEA","Chart 📈")</f>
        <v/>
      </c>
    </row>
    <row r="36" ht="16" customHeight="1">
      <c r="A36" s="20" t="inlineStr">
        <is>
          <t>NIFTY MIDSMALL IT &amp; TELECOM</t>
        </is>
      </c>
      <c r="B36" s="17" t="inlineStr">
        <is>
          <t>OFSS</t>
        </is>
      </c>
      <c r="C36" s="18" t="n">
        <v>9239.5</v>
      </c>
      <c r="D36" s="18" t="n">
        <v>8736.27</v>
      </c>
      <c r="E36" s="18" t="n">
        <v>7934.41</v>
      </c>
      <c r="F36" s="18" t="n">
        <v>7764.93</v>
      </c>
      <c r="G36" s="19">
        <f>HYPERLINK("https://www.tradingview.com/chart/?symbol=NSE:OFSS","Chart 📈")</f>
        <v/>
      </c>
    </row>
    <row r="37" ht="16" customHeight="1">
      <c r="A37" s="20" t="inlineStr">
        <is>
          <t>NIFTY MIDSMALL IT &amp; TELECOM</t>
        </is>
      </c>
      <c r="B37" s="17" t="inlineStr">
        <is>
          <t>TANLA</t>
        </is>
      </c>
      <c r="C37" s="18" t="n">
        <v>549.5</v>
      </c>
      <c r="D37" s="18" t="n">
        <v>518.92</v>
      </c>
      <c r="E37" s="18" t="n">
        <v>489.23</v>
      </c>
      <c r="F37" s="18" t="n">
        <v>518.45</v>
      </c>
      <c r="G37" s="19">
        <f>HYPERLINK("https://www.tradingview.com/chart/?symbol=NSE:TANLA","Chart 📈")</f>
        <v/>
      </c>
    </row>
    <row r="38" ht="16" customHeight="1">
      <c r="A38" s="12" t="inlineStr">
        <is>
          <t>NIFTY FMCG</t>
        </is>
      </c>
      <c r="B38" s="13" t="inlineStr">
        <is>
          <t>BALRAMCHIN</t>
        </is>
      </c>
      <c r="C38" s="14" t="n">
        <v>525.4</v>
      </c>
      <c r="D38" s="14" t="n">
        <v>515.01</v>
      </c>
      <c r="E38" s="14" t="n">
        <v>497.16</v>
      </c>
      <c r="F38" s="14" t="n">
        <v>490.75</v>
      </c>
      <c r="G38" s="15">
        <f>HYPERLINK("https://www.tradingview.com/chart/?symbol=NSE:BALRAMCHIN","Chart 📈")</f>
        <v/>
      </c>
    </row>
    <row r="39" ht="16" customHeight="1">
      <c r="A39" s="16" t="inlineStr">
        <is>
          <t>NIFTY FMCG</t>
        </is>
      </c>
      <c r="B39" s="13" t="inlineStr">
        <is>
          <t>MARICO</t>
        </is>
      </c>
      <c r="C39" s="14" t="n">
        <v>842.55</v>
      </c>
      <c r="D39" s="14" t="n">
        <v>792.33</v>
      </c>
      <c r="E39" s="14" t="n">
        <v>774.8099999999999</v>
      </c>
      <c r="F39" s="14" t="n">
        <v>749.4</v>
      </c>
      <c r="G39" s="15">
        <f>HYPERLINK("https://www.tradingview.com/chart/?symbol=NSE:MARICO","Chart 📈")</f>
        <v/>
      </c>
    </row>
    <row r="40" ht="16" customHeight="1">
      <c r="A40" s="16" t="inlineStr">
        <is>
          <t>NIFTY FMCG</t>
        </is>
      </c>
      <c r="B40" s="13" t="inlineStr">
        <is>
          <t>NESTLEIND</t>
        </is>
      </c>
      <c r="C40" s="14" t="n">
        <v>1481.9</v>
      </c>
      <c r="D40" s="14" t="n">
        <v>1409.9</v>
      </c>
      <c r="E40" s="14" t="n">
        <v>1337.86</v>
      </c>
      <c r="F40" s="14" t="n">
        <v>1264.23</v>
      </c>
      <c r="G40" s="15">
        <f>HYPERLINK("https://www.tradingview.com/chart/?symbol=NSE:NESTLEIND","Chart 📈")</f>
        <v/>
      </c>
    </row>
    <row r="41" ht="16" customHeight="1">
      <c r="A41" s="16" t="inlineStr">
        <is>
          <t>NIFTY FMCG</t>
        </is>
      </c>
      <c r="B41" s="13" t="inlineStr">
        <is>
          <t>RADICO</t>
        </is>
      </c>
      <c r="C41" s="14" t="n">
        <v>3489.7</v>
      </c>
      <c r="D41" s="14" t="n">
        <v>3268.13</v>
      </c>
      <c r="E41" s="14" t="n">
        <v>3067.6</v>
      </c>
      <c r="F41" s="14" t="n">
        <v>2928.83</v>
      </c>
      <c r="G41" s="15">
        <f>HYPERLINK("https://www.tradingview.com/chart/?symbol=NSE:RADICO","Chart 📈")</f>
        <v/>
      </c>
    </row>
    <row r="42" ht="16" customHeight="1">
      <c r="A42" s="16" t="inlineStr">
        <is>
          <t>NIFTY FMCG</t>
        </is>
      </c>
      <c r="B42" s="13" t="inlineStr">
        <is>
          <t>TATACONSUM</t>
        </is>
      </c>
      <c r="C42" s="14" t="n">
        <v>1271</v>
      </c>
      <c r="D42" s="14" t="n">
        <v>1152.98</v>
      </c>
      <c r="E42" s="14" t="n">
        <v>1131.55</v>
      </c>
      <c r="F42" s="14" t="n">
        <v>1132.12</v>
      </c>
      <c r="G42" s="15">
        <f>HYPERLINK("https://www.tradingview.com/chart/?symbol=NSE:TATACONSUM","Chart 📈")</f>
        <v/>
      </c>
    </row>
    <row r="43" ht="16" customHeight="1">
      <c r="A43" s="16" t="inlineStr">
        <is>
          <t>NIFTY FMCG</t>
        </is>
      </c>
      <c r="B43" s="13" t="inlineStr">
        <is>
          <t>VBL</t>
        </is>
      </c>
      <c r="C43" s="14" t="n">
        <v>501.3</v>
      </c>
      <c r="D43" s="14" t="n">
        <v>490.26</v>
      </c>
      <c r="E43" s="14" t="n">
        <v>467.02</v>
      </c>
      <c r="F43" s="14" t="n">
        <v>467.52</v>
      </c>
      <c r="G43" s="15">
        <f>HYPERLINK("https://www.tradingview.com/chart/?symbol=NSE:VBL","Chart 📈")</f>
        <v/>
      </c>
    </row>
    <row r="44" ht="16" customHeight="1">
      <c r="A44" s="8" t="inlineStr">
        <is>
          <t>NIFTY ENERGY</t>
        </is>
      </c>
      <c r="B44" s="17" t="inlineStr">
        <is>
          <t>ADANIGREEN</t>
        </is>
      </c>
      <c r="C44" s="18" t="n">
        <v>1387.7</v>
      </c>
      <c r="D44" s="18" t="n">
        <v>1231.81</v>
      </c>
      <c r="E44" s="18" t="n">
        <v>1103.41</v>
      </c>
      <c r="F44" s="18" t="n">
        <v>1012.06</v>
      </c>
      <c r="G44" s="19">
        <f>HYPERLINK("https://www.tradingview.com/chart/?symbol=NSE:ADANIGREEN","Chart 📈")</f>
        <v/>
      </c>
    </row>
    <row r="45" ht="16" customHeight="1">
      <c r="A45" s="20" t="inlineStr">
        <is>
          <t>NIFTY ENERGY</t>
        </is>
      </c>
      <c r="B45" s="17" t="inlineStr">
        <is>
          <t>ADANIPOWER</t>
        </is>
      </c>
      <c r="C45" s="18" t="n">
        <v>222.03</v>
      </c>
      <c r="D45" s="18" t="n">
        <v>211.65</v>
      </c>
      <c r="E45" s="18" t="n">
        <v>187.03</v>
      </c>
      <c r="F45" s="18" t="n">
        <v>153.27</v>
      </c>
      <c r="G45" s="19">
        <f>HYPERLINK("https://www.tradingview.com/chart/?symbol=NSE:ADANIPOWER","Chart 📈")</f>
        <v/>
      </c>
    </row>
    <row r="46" ht="16" customHeight="1">
      <c r="A46" s="20" t="inlineStr">
        <is>
          <t>NIFTY ENERGY</t>
        </is>
      </c>
      <c r="B46" s="17" t="inlineStr">
        <is>
          <t>BHEL</t>
        </is>
      </c>
      <c r="C46" s="18" t="n">
        <v>401.35</v>
      </c>
      <c r="D46" s="18" t="n">
        <v>352.48</v>
      </c>
      <c r="E46" s="18" t="n">
        <v>313.55</v>
      </c>
      <c r="F46" s="18" t="n">
        <v>273.79</v>
      </c>
      <c r="G46" s="19">
        <f>HYPERLINK("https://www.tradingview.com/chart/?symbol=NSE:BHEL","Chart 📈")</f>
        <v/>
      </c>
    </row>
    <row r="47" ht="16" customHeight="1">
      <c r="A47" s="20" t="inlineStr">
        <is>
          <t>NIFTY ENERGY</t>
        </is>
      </c>
      <c r="B47" s="17" t="inlineStr">
        <is>
          <t>CESC</t>
        </is>
      </c>
      <c r="C47" s="18" t="n">
        <v>182.01</v>
      </c>
      <c r="D47" s="18" t="n">
        <v>180.37</v>
      </c>
      <c r="E47" s="18" t="n">
        <v>170.48</v>
      </c>
      <c r="F47" s="18" t="n">
        <v>164.18</v>
      </c>
      <c r="G47" s="19">
        <f>HYPERLINK("https://www.tradingview.com/chart/?symbol=NSE:CESC","Chart 📈")</f>
        <v/>
      </c>
    </row>
    <row r="48" ht="16" customHeight="1">
      <c r="A48" s="20" t="inlineStr">
        <is>
          <t>NIFTY ENERGY</t>
        </is>
      </c>
      <c r="B48" s="17" t="inlineStr">
        <is>
          <t>CGPOWER</t>
        </is>
      </c>
      <c r="C48" s="18" t="n">
        <v>858.1</v>
      </c>
      <c r="D48" s="18" t="n">
        <v>810.0700000000001</v>
      </c>
      <c r="E48" s="18" t="n">
        <v>759.25</v>
      </c>
      <c r="F48" s="18" t="n">
        <v>704.16</v>
      </c>
      <c r="G48" s="19">
        <f>HYPERLINK("https://www.tradingview.com/chart/?symbol=NSE:CGPOWER","Chart 📈")</f>
        <v/>
      </c>
    </row>
    <row r="49" ht="16" customHeight="1">
      <c r="A49" s="20" t="inlineStr">
        <is>
          <t>NIFTY ENERGY</t>
        </is>
      </c>
      <c r="B49" s="17" t="inlineStr">
        <is>
          <t>COALINDIA</t>
        </is>
      </c>
      <c r="C49" s="18" t="n">
        <v>464.45</v>
      </c>
      <c r="D49" s="18" t="n">
        <v>461.6</v>
      </c>
      <c r="E49" s="18" t="n">
        <v>450.4</v>
      </c>
      <c r="F49" s="18" t="n">
        <v>413.33</v>
      </c>
      <c r="G49" s="19">
        <f>HYPERLINK("https://www.tradingview.com/chart/?symbol=NSE:COALINDIA","Chart 📈")</f>
        <v/>
      </c>
    </row>
    <row r="50" ht="16" customHeight="1">
      <c r="A50" s="20" t="inlineStr">
        <is>
          <t>NIFTY ENERGY</t>
        </is>
      </c>
      <c r="B50" s="17" t="inlineStr">
        <is>
          <t>GVT&amp;D</t>
        </is>
      </c>
      <c r="C50" s="18" t="n">
        <v>4432.9</v>
      </c>
      <c r="D50" s="18" t="n">
        <v>4390.45</v>
      </c>
      <c r="E50" s="18" t="n">
        <v>4064.45</v>
      </c>
      <c r="F50" s="18" t="n">
        <v>3287.36</v>
      </c>
      <c r="G50" s="19">
        <f>HYPERLINK("https://www.tradingview.com/chart/?symbol=NSE:GVT&amp;D","Chart 📈")</f>
        <v/>
      </c>
    </row>
    <row r="51" ht="16" customHeight="1">
      <c r="A51" s="20" t="inlineStr">
        <is>
          <t>NIFTY ENERGY</t>
        </is>
      </c>
      <c r="B51" s="17" t="inlineStr">
        <is>
          <t>JSWENERGY</t>
        </is>
      </c>
      <c r="C51" s="18" t="n">
        <v>556.65</v>
      </c>
      <c r="D51" s="18" t="n">
        <v>551.6900000000001</v>
      </c>
      <c r="E51" s="18" t="n">
        <v>527.2</v>
      </c>
      <c r="F51" s="18" t="n">
        <v>506.59</v>
      </c>
      <c r="G51" s="19">
        <f>HYPERLINK("https://www.tradingview.com/chart/?symbol=NSE:JSWENERGY","Chart 📈")</f>
        <v/>
      </c>
    </row>
    <row r="52" ht="16" customHeight="1">
      <c r="A52" s="20" t="inlineStr">
        <is>
          <t>NIFTY ENERGY</t>
        </is>
      </c>
      <c r="B52" s="17" t="inlineStr">
        <is>
          <t>NLCINDIA</t>
        </is>
      </c>
      <c r="C52" s="18" t="n">
        <v>329.7</v>
      </c>
      <c r="D52" s="18" t="n">
        <v>309.59</v>
      </c>
      <c r="E52" s="18" t="n">
        <v>289.28</v>
      </c>
      <c r="F52" s="18" t="n">
        <v>260.87</v>
      </c>
      <c r="G52" s="19">
        <f>HYPERLINK("https://www.tradingview.com/chart/?symbol=NSE:NLCINDIA","Chart 📈")</f>
        <v/>
      </c>
    </row>
    <row r="53" ht="16" customHeight="1">
      <c r="A53" s="20" t="inlineStr">
        <is>
          <t>NIFTY ENERGY</t>
        </is>
      </c>
      <c r="B53" s="17" t="inlineStr">
        <is>
          <t>POWERINDIA</t>
        </is>
      </c>
      <c r="C53" s="18" t="n">
        <v>33020</v>
      </c>
      <c r="D53" s="18" t="n">
        <v>31790</v>
      </c>
      <c r="E53" s="18" t="n">
        <v>28438.38</v>
      </c>
      <c r="F53" s="18" t="n">
        <v>22655.05</v>
      </c>
      <c r="G53" s="19">
        <f>HYPERLINK("https://www.tradingview.com/chart/?symbol=NSE:POWERINDIA","Chart 📈")</f>
        <v/>
      </c>
    </row>
    <row r="54" ht="16" customHeight="1">
      <c r="A54" s="20" t="inlineStr">
        <is>
          <t>NIFTY ENERGY</t>
        </is>
      </c>
      <c r="B54" s="17" t="inlineStr">
        <is>
          <t>SCHNEIDER</t>
        </is>
      </c>
      <c r="C54" s="18" t="n">
        <v>1316.9</v>
      </c>
      <c r="D54" s="18" t="n">
        <v>1195.52</v>
      </c>
      <c r="E54" s="18" t="n">
        <v>1050.31</v>
      </c>
      <c r="F54" s="18" t="n">
        <v>863.84</v>
      </c>
      <c r="G54" s="19">
        <f>HYPERLINK("https://www.tradingview.com/chart/?symbol=NSE:SCHNEIDER","Chart 📈")</f>
        <v/>
      </c>
    </row>
    <row r="55" ht="16" customHeight="1">
      <c r="A55" s="20" t="inlineStr">
        <is>
          <t>NIFTY ENERGY</t>
        </is>
      </c>
      <c r="B55" s="17" t="inlineStr">
        <is>
          <t>SUZLON</t>
        </is>
      </c>
      <c r="C55" s="18" t="n">
        <v>53.3</v>
      </c>
      <c r="D55" s="18" t="n">
        <v>52.89</v>
      </c>
      <c r="E55" s="18" t="n">
        <v>49.59</v>
      </c>
      <c r="F55" s="18" t="n">
        <v>51.67</v>
      </c>
      <c r="G55" s="19">
        <f>HYPERLINK("https://www.tradingview.com/chart/?symbol=NSE:SUZLON","Chart 📈")</f>
        <v/>
      </c>
    </row>
    <row r="56" ht="16" customHeight="1">
      <c r="A56" s="20" t="inlineStr">
        <is>
          <t>NIFTY ENERGY</t>
        </is>
      </c>
      <c r="B56" s="17" t="inlineStr">
        <is>
          <t>TATAPOWER</t>
        </is>
      </c>
      <c r="C56" s="18" t="n">
        <v>433.2</v>
      </c>
      <c r="D56" s="18" t="n">
        <v>432.77</v>
      </c>
      <c r="E56" s="18" t="n">
        <v>413.85</v>
      </c>
      <c r="F56" s="18" t="n">
        <v>394.05</v>
      </c>
      <c r="G56" s="19">
        <f>HYPERLINK("https://www.tradingview.com/chart/?symbol=NSE:TATAPOWER","Chart 📈")</f>
        <v/>
      </c>
    </row>
    <row r="57" ht="16" customHeight="1">
      <c r="A57" s="20" t="inlineStr">
        <is>
          <t>NIFTY ENERGY</t>
        </is>
      </c>
      <c r="B57" s="17" t="inlineStr">
        <is>
          <t>THERMAX</t>
        </is>
      </c>
      <c r="C57" s="18" t="n">
        <v>4545.1</v>
      </c>
      <c r="D57" s="18" t="n">
        <v>4078.99</v>
      </c>
      <c r="E57" s="18" t="n">
        <v>3715.6</v>
      </c>
      <c r="F57" s="18" t="n">
        <v>3336.91</v>
      </c>
      <c r="G57" s="19">
        <f>HYPERLINK("https://www.tradingview.com/chart/?symbol=NSE:THERMAX","Chart 📈")</f>
        <v/>
      </c>
    </row>
    <row r="58" ht="16" customHeight="1">
      <c r="A58" s="20" t="inlineStr">
        <is>
          <t>NIFTY ENERGY</t>
        </is>
      </c>
      <c r="B58" s="17" t="inlineStr">
        <is>
          <t>TORNTPOWER</t>
        </is>
      </c>
      <c r="C58" s="18" t="n">
        <v>1680.9</v>
      </c>
      <c r="D58" s="18" t="n">
        <v>1661.43</v>
      </c>
      <c r="E58" s="18" t="n">
        <v>1562.77</v>
      </c>
      <c r="F58" s="18" t="n">
        <v>1425.37</v>
      </c>
      <c r="G58" s="19">
        <f>HYPERLINK("https://www.tradingview.com/chart/?symbol=NSE:TORNTPOWER","Chart 📈")</f>
        <v/>
      </c>
    </row>
    <row r="59" ht="16" customHeight="1">
      <c r="A59" s="20" t="inlineStr">
        <is>
          <t>NIFTY ENERGY</t>
        </is>
      </c>
      <c r="B59" s="17" t="inlineStr">
        <is>
          <t>TRITURBINE</t>
        </is>
      </c>
      <c r="C59" s="18" t="n">
        <v>582.05</v>
      </c>
      <c r="D59" s="18" t="n">
        <v>553.26</v>
      </c>
      <c r="E59" s="18" t="n">
        <v>522.25</v>
      </c>
      <c r="F59" s="18" t="n">
        <v>522.05</v>
      </c>
      <c r="G59" s="19">
        <f>HYPERLINK("https://www.tradingview.com/chart/?symbol=NSE:TRITURBINE","Chart 📈")</f>
        <v/>
      </c>
    </row>
    <row r="60" ht="16" customHeight="1">
      <c r="A60" s="12" t="inlineStr">
        <is>
          <t>NIFTY REALTY</t>
        </is>
      </c>
      <c r="B60" s="13" t="inlineStr">
        <is>
          <t>PHOENIXLTD</t>
        </is>
      </c>
      <c r="C60" s="14" t="n">
        <v>1810.9</v>
      </c>
      <c r="D60" s="14" t="n">
        <v>1772.18</v>
      </c>
      <c r="E60" s="14" t="n">
        <v>1725.92</v>
      </c>
      <c r="F60" s="14" t="n">
        <v>1678.31</v>
      </c>
      <c r="G60" s="15">
        <f>HYPERLINK("https://www.tradingview.com/chart/?symbol=NSE:PHOENIXLTD","Chart 📈")</f>
        <v/>
      </c>
    </row>
    <row r="61" ht="16" customHeight="1">
      <c r="A61" s="8" t="inlineStr">
        <is>
          <t>NIFTY FINANCIAL SERVICES</t>
        </is>
      </c>
      <c r="B61" s="17" t="inlineStr">
        <is>
          <t>CHOLAFIN</t>
        </is>
      </c>
      <c r="C61" s="18" t="n">
        <v>1624.5</v>
      </c>
      <c r="D61" s="18" t="n">
        <v>1598.16</v>
      </c>
      <c r="E61" s="18" t="n">
        <v>1584.41</v>
      </c>
      <c r="F61" s="18" t="n">
        <v>1610.15</v>
      </c>
      <c r="G61" s="19">
        <f>HYPERLINK("https://www.tradingview.com/chart/?symbol=NSE:CHOLAFIN","Chart 📈")</f>
        <v/>
      </c>
    </row>
    <row r="62" ht="16" customHeight="1">
      <c r="A62" s="20" t="inlineStr">
        <is>
          <t>NIFTY FINANCIAL SERVICES</t>
        </is>
      </c>
      <c r="B62" s="17" t="inlineStr">
        <is>
          <t>HDFCAMC</t>
        </is>
      </c>
      <c r="C62" s="18" t="n">
        <v>2747.2</v>
      </c>
      <c r="D62" s="18" t="n">
        <v>2726.23</v>
      </c>
      <c r="E62" s="18" t="n">
        <v>2648.42</v>
      </c>
      <c r="F62" s="18" t="n">
        <v>2609.27</v>
      </c>
      <c r="G62" s="19">
        <f>HYPERLINK("https://www.tradingview.com/chart/?symbol=NSE:HDFCAMC","Chart 📈")</f>
        <v/>
      </c>
    </row>
    <row r="63" ht="16" customHeight="1">
      <c r="A63" s="20" t="inlineStr">
        <is>
          <t>NIFTY FINANCIAL SERVICES</t>
        </is>
      </c>
      <c r="B63" s="17" t="inlineStr">
        <is>
          <t>LICHSGFIN</t>
        </is>
      </c>
      <c r="C63" s="18" t="n">
        <v>585.6</v>
      </c>
      <c r="D63" s="18" t="n">
        <v>556.4299999999999</v>
      </c>
      <c r="E63" s="18" t="n">
        <v>538.73</v>
      </c>
      <c r="F63" s="18" t="n">
        <v>545.9400000000001</v>
      </c>
      <c r="G63" s="19">
        <f>HYPERLINK("https://www.tradingview.com/chart/?symbol=NSE:LICHSGFIN","Chart 📈")</f>
        <v/>
      </c>
    </row>
    <row r="64" ht="16" customHeight="1">
      <c r="A64" s="20" t="inlineStr">
        <is>
          <t>NIFTY FINANCIAL SERVICES</t>
        </is>
      </c>
      <c r="B64" s="17" t="inlineStr">
        <is>
          <t>MCX</t>
        </is>
      </c>
      <c r="C64" s="18" t="n">
        <v>3187.9</v>
      </c>
      <c r="D64" s="18" t="n">
        <v>2900.51</v>
      </c>
      <c r="E64" s="18" t="n">
        <v>2711.5</v>
      </c>
      <c r="F64" s="18" t="n">
        <v>2207.12</v>
      </c>
      <c r="G64" s="19">
        <f>HYPERLINK("https://www.tradingview.com/chart/?symbol=NSE:MCX","Chart 📈")</f>
        <v/>
      </c>
    </row>
    <row r="65" ht="16" customHeight="1">
      <c r="A65" s="12" t="inlineStr">
        <is>
          <t>NIFTY MEDIA</t>
        </is>
      </c>
      <c r="B65" s="13" t="inlineStr">
        <is>
          <t>NAZARA</t>
        </is>
      </c>
      <c r="C65" s="14" t="n">
        <v>270.4</v>
      </c>
      <c r="D65" s="14" t="n">
        <v>265.07</v>
      </c>
      <c r="E65" s="14" t="n">
        <v>260.19</v>
      </c>
      <c r="F65" s="14" t="n">
        <v>269.78</v>
      </c>
      <c r="G65" s="15">
        <f>HYPERLINK("https://www.tradingview.com/chart/?symbol=NSE:NAZARA","Chart 📈")</f>
        <v/>
      </c>
    </row>
    <row r="66" ht="16" customHeight="1">
      <c r="A66" s="16" t="inlineStr">
        <is>
          <t>NIFTY MEDIA</t>
        </is>
      </c>
      <c r="B66" s="13" t="inlineStr">
        <is>
          <t>TIPSMUSIC</t>
        </is>
      </c>
      <c r="C66" s="14" t="n">
        <v>655.75</v>
      </c>
      <c r="D66" s="14" t="n">
        <v>624.8099999999999</v>
      </c>
      <c r="E66" s="14" t="n">
        <v>585.61</v>
      </c>
      <c r="F66" s="14" t="n">
        <v>564.75</v>
      </c>
      <c r="G66" s="15">
        <f>HYPERLINK("https://www.tradingview.com/chart/?symbol=NSE:TIPSMUSIC","Chart 📈")</f>
        <v/>
      </c>
    </row>
    <row r="67" ht="16" customHeight="1">
      <c r="A67" s="8" t="inlineStr">
        <is>
          <t>NIFTY CONSUMER DURABLES</t>
        </is>
      </c>
      <c r="B67" s="17" t="inlineStr">
        <is>
          <t>AMBER</t>
        </is>
      </c>
      <c r="C67" s="18" t="n">
        <v>8539.5</v>
      </c>
      <c r="D67" s="18" t="n">
        <v>8057.08</v>
      </c>
      <c r="E67" s="18" t="n">
        <v>7581.47</v>
      </c>
      <c r="F67" s="18" t="n">
        <v>7180.9</v>
      </c>
      <c r="G67" s="19">
        <f>HYPERLINK("https://www.tradingview.com/chart/?symbol=NSE:AMBER","Chart 📈")</f>
        <v/>
      </c>
    </row>
    <row r="68" ht="16" customHeight="1">
      <c r="A68" s="20" t="inlineStr">
        <is>
          <t>NIFTY CONSUMER DURABLES</t>
        </is>
      </c>
      <c r="B68" s="17" t="inlineStr">
        <is>
          <t>CENTURYPLY</t>
        </is>
      </c>
      <c r="C68" s="18" t="n">
        <v>778.85</v>
      </c>
      <c r="D68" s="18" t="n">
        <v>778.73</v>
      </c>
      <c r="E68" s="18" t="n">
        <v>758.4</v>
      </c>
      <c r="F68" s="18" t="n">
        <v>756.8200000000001</v>
      </c>
      <c r="G68" s="19">
        <f>HYPERLINK("https://www.tradingview.com/chart/?symbol=NSE:CENTURYPLY","Chart 📈")</f>
        <v/>
      </c>
    </row>
    <row r="69" ht="16" customHeight="1">
      <c r="A69" s="20" t="inlineStr">
        <is>
          <t>NIFTY CONSUMER DURABLES</t>
        </is>
      </c>
      <c r="B69" s="17" t="inlineStr">
        <is>
          <t>CERA</t>
        </is>
      </c>
      <c r="C69" s="18" t="n">
        <v>6152</v>
      </c>
      <c r="D69" s="18" t="n">
        <v>5382.23</v>
      </c>
      <c r="E69" s="18" t="n">
        <v>5189</v>
      </c>
      <c r="F69" s="18" t="n">
        <v>5512.42</v>
      </c>
      <c r="G69" s="19">
        <f>HYPERLINK("https://www.tradingview.com/chart/?symbol=NSE:CERA","Chart 📈")</f>
        <v/>
      </c>
    </row>
    <row r="70" ht="16" customHeight="1">
      <c r="A70" s="20" t="inlineStr">
        <is>
          <t>NIFTY CONSUMER DURABLES</t>
        </is>
      </c>
      <c r="B70" s="17" t="inlineStr">
        <is>
          <t>CROMPTON</t>
        </is>
      </c>
      <c r="C70" s="18" t="n">
        <v>290.2</v>
      </c>
      <c r="D70" s="18" t="n">
        <v>270.53</v>
      </c>
      <c r="E70" s="18" t="n">
        <v>259.75</v>
      </c>
      <c r="F70" s="18" t="n">
        <v>274.01</v>
      </c>
      <c r="G70" s="19">
        <f>HYPERLINK("https://www.tradingview.com/chart/?symbol=NSE:CROMPTON","Chart 📈")</f>
        <v/>
      </c>
    </row>
    <row r="71" ht="16" customHeight="1">
      <c r="A71" s="12" t="inlineStr">
        <is>
          <t>NIFTY PSU BANK</t>
        </is>
      </c>
      <c r="B71" s="13" t="inlineStr">
        <is>
          <t>MAHABANK</t>
        </is>
      </c>
      <c r="C71" s="14" t="n">
        <v>81.42</v>
      </c>
      <c r="D71" s="14" t="n">
        <v>78.29000000000001</v>
      </c>
      <c r="E71" s="14" t="n">
        <v>73.12</v>
      </c>
      <c r="F71" s="14" t="n">
        <v>63.62</v>
      </c>
      <c r="G71" s="15">
        <f>HYPERLINK("https://www.tradingview.com/chart/?symbol=NSE:MAHABANK","Chart 📈")</f>
        <v/>
      </c>
    </row>
    <row r="72" ht="16" customHeight="1">
      <c r="A72" s="8" t="inlineStr">
        <is>
          <t>NIFTY BANK</t>
        </is>
      </c>
      <c r="B72" s="17" t="inlineStr">
        <is>
          <t>AUBANK</t>
        </is>
      </c>
      <c r="C72" s="18" t="n">
        <v>1021.4</v>
      </c>
      <c r="D72" s="18" t="n">
        <v>1010.22</v>
      </c>
      <c r="E72" s="18" t="n">
        <v>983.1</v>
      </c>
      <c r="F72" s="18" t="n">
        <v>907.73</v>
      </c>
      <c r="G72" s="19">
        <f>HYPERLINK("https://www.tradingview.com/chart/?symbol=NSE:AUBANK","Chart 📈")</f>
        <v/>
      </c>
    </row>
    <row r="73" ht="16" customHeight="1">
      <c r="A73" s="20" t="inlineStr">
        <is>
          <t>NIFTY BANK</t>
        </is>
      </c>
      <c r="B73" s="17" t="inlineStr">
        <is>
          <t>FEDERALBNK</t>
        </is>
      </c>
      <c r="C73" s="18" t="n">
        <v>292.45</v>
      </c>
      <c r="D73" s="18" t="n">
        <v>289.88</v>
      </c>
      <c r="E73" s="18" t="n">
        <v>284.05</v>
      </c>
      <c r="F73" s="18" t="n">
        <v>255.47</v>
      </c>
      <c r="G73" s="19">
        <f>HYPERLINK("https://www.tradingview.com/chart/?symbol=NSE:FEDERALBNK","Chart 📈")</f>
        <v/>
      </c>
    </row>
    <row r="74" ht="16" customHeight="1">
      <c r="A74" s="20" t="inlineStr">
        <is>
          <t>NIFTY BANK</t>
        </is>
      </c>
      <c r="B74" s="17" t="inlineStr">
        <is>
          <t>INDUSINDBK</t>
        </is>
      </c>
      <c r="C74" s="18" t="n">
        <v>922.3</v>
      </c>
      <c r="D74" s="18" t="n">
        <v>896.52</v>
      </c>
      <c r="E74" s="18" t="n">
        <v>877.08</v>
      </c>
      <c r="F74" s="18" t="n">
        <v>849.67</v>
      </c>
      <c r="G74" s="19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2026-05-12T18:32:25Z</dcterms:created>
  <dcterms:modified xsi:type="dcterms:W3CDTF">2026-05-12T18:32:26Z</dcterms:modified>
</cp:coreProperties>
</file>