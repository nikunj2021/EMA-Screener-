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02-Jul-2026  13:06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19</v>
      </c>
      <c r="D4" s="5" t="n">
        <v>17</v>
      </c>
      <c r="E4" s="5" t="n">
        <v>18</v>
      </c>
      <c r="F4" s="6" t="n">
        <v>0.95</v>
      </c>
      <c r="G4" s="6" t="n">
        <v>0.85</v>
      </c>
      <c r="H4" s="6" t="n">
        <v>0.9</v>
      </c>
      <c r="I4" s="7" t="n">
        <v>0.9</v>
      </c>
    </row>
    <row r="5" ht="17" customHeight="1">
      <c r="A5" s="8" t="inlineStr">
        <is>
          <t>NIFTY REALTY</t>
        </is>
      </c>
      <c r="B5" s="9" t="n">
        <v>10</v>
      </c>
      <c r="C5" s="9" t="n">
        <v>9</v>
      </c>
      <c r="D5" s="9" t="n">
        <v>9</v>
      </c>
      <c r="E5" s="9" t="n">
        <v>8</v>
      </c>
      <c r="F5" s="10" t="n">
        <v>0.9</v>
      </c>
      <c r="G5" s="10" t="n">
        <v>0.9</v>
      </c>
      <c r="H5" s="10" t="n">
        <v>0.8</v>
      </c>
      <c r="I5" s="11" t="n">
        <v>0.8667</v>
      </c>
    </row>
    <row r="6" ht="17" customHeight="1">
      <c r="A6" s="4" t="inlineStr">
        <is>
          <t>NIFTY AUTO</t>
        </is>
      </c>
      <c r="B6" s="5" t="n">
        <v>15</v>
      </c>
      <c r="C6" s="5" t="n">
        <v>11</v>
      </c>
      <c r="D6" s="5" t="n">
        <v>11</v>
      </c>
      <c r="E6" s="5" t="n">
        <v>10</v>
      </c>
      <c r="F6" s="6" t="n">
        <v>0.733</v>
      </c>
      <c r="G6" s="6" t="n">
        <v>0.733</v>
      </c>
      <c r="H6" s="6" t="n">
        <v>0.667</v>
      </c>
      <c r="I6" s="7" t="n">
        <v>0.711</v>
      </c>
    </row>
    <row r="7" ht="17" customHeight="1">
      <c r="A7" s="8" t="inlineStr">
        <is>
          <t>NIFTY FMCG</t>
        </is>
      </c>
      <c r="B7" s="9" t="n">
        <v>15</v>
      </c>
      <c r="C7" s="9" t="n">
        <v>12</v>
      </c>
      <c r="D7" s="9" t="n">
        <v>11</v>
      </c>
      <c r="E7" s="9" t="n">
        <v>6</v>
      </c>
      <c r="F7" s="10" t="n">
        <v>0.8</v>
      </c>
      <c r="G7" s="10" t="n">
        <v>0.733</v>
      </c>
      <c r="H7" s="10" t="n">
        <v>0.4</v>
      </c>
      <c r="I7" s="11" t="n">
        <v>0.6443000000000001</v>
      </c>
    </row>
    <row r="8" ht="17" customHeight="1">
      <c r="A8" s="4" t="inlineStr">
        <is>
          <t>NIFTY MEDIA</t>
        </is>
      </c>
      <c r="B8" s="5" t="n">
        <v>10</v>
      </c>
      <c r="C8" s="5" t="n">
        <v>7</v>
      </c>
      <c r="D8" s="5" t="n">
        <v>8</v>
      </c>
      <c r="E8" s="5" t="n">
        <v>4</v>
      </c>
      <c r="F8" s="6" t="n">
        <v>0.7</v>
      </c>
      <c r="G8" s="6" t="n">
        <v>0.8</v>
      </c>
      <c r="H8" s="6" t="n">
        <v>0.4</v>
      </c>
      <c r="I8" s="7" t="n">
        <v>0.6333</v>
      </c>
    </row>
    <row r="9" ht="17" customHeight="1">
      <c r="A9" s="8" t="inlineStr">
        <is>
          <t>NIFTY FINANCIAL SERVICES</t>
        </is>
      </c>
      <c r="B9" s="9" t="n">
        <v>20</v>
      </c>
      <c r="C9" s="9" t="n">
        <v>14</v>
      </c>
      <c r="D9" s="9" t="n">
        <v>12</v>
      </c>
      <c r="E9" s="9" t="n">
        <v>10</v>
      </c>
      <c r="F9" s="10" t="n">
        <v>0.7</v>
      </c>
      <c r="G9" s="10" t="n">
        <v>0.6</v>
      </c>
      <c r="H9" s="10" t="n">
        <v>0.5</v>
      </c>
      <c r="I9" s="11" t="n">
        <v>0.6</v>
      </c>
    </row>
    <row r="10" ht="17" customHeight="1">
      <c r="A10" s="4" t="inlineStr">
        <is>
          <t>NIFTY PSU BANK</t>
        </is>
      </c>
      <c r="B10" s="5" t="n">
        <v>12</v>
      </c>
      <c r="C10" s="5" t="n">
        <v>9</v>
      </c>
      <c r="D10" s="5" t="n">
        <v>8</v>
      </c>
      <c r="E10" s="5" t="n">
        <v>4</v>
      </c>
      <c r="F10" s="6" t="n">
        <v>0.75</v>
      </c>
      <c r="G10" s="6" t="n">
        <v>0.667</v>
      </c>
      <c r="H10" s="6" t="n">
        <v>0.333</v>
      </c>
      <c r="I10" s="7" t="n">
        <v>0.5832999999999999</v>
      </c>
    </row>
    <row r="11" ht="17" customHeight="1">
      <c r="A11" s="8" t="inlineStr">
        <is>
          <t>NIFTY CONSUMER DURABLES</t>
        </is>
      </c>
      <c r="B11" s="9" t="n">
        <v>15</v>
      </c>
      <c r="C11" s="9" t="n">
        <v>10</v>
      </c>
      <c r="D11" s="9" t="n">
        <v>6</v>
      </c>
      <c r="E11" s="9" t="n">
        <v>4</v>
      </c>
      <c r="F11" s="10" t="n">
        <v>0.667</v>
      </c>
      <c r="G11" s="10" t="n">
        <v>0.4</v>
      </c>
      <c r="H11" s="10" t="n">
        <v>0.267</v>
      </c>
      <c r="I11" s="11" t="n">
        <v>0.4447</v>
      </c>
    </row>
    <row r="12" ht="17" customHeight="1">
      <c r="A12" s="4" t="inlineStr">
        <is>
          <t>NIFTY MIDSMALL IT &amp; TELECOM</t>
        </is>
      </c>
      <c r="B12" s="5" t="n">
        <v>20</v>
      </c>
      <c r="C12" s="5" t="n">
        <v>8</v>
      </c>
      <c r="D12" s="5" t="n">
        <v>9</v>
      </c>
      <c r="E12" s="5" t="n">
        <v>7</v>
      </c>
      <c r="F12" s="6" t="n">
        <v>0.4</v>
      </c>
      <c r="G12" s="6" t="n">
        <v>0.45</v>
      </c>
      <c r="H12" s="6" t="n">
        <v>0.35</v>
      </c>
      <c r="I12" s="7" t="n">
        <v>0.4</v>
      </c>
    </row>
    <row r="13" ht="17" customHeight="1">
      <c r="A13" s="8" t="inlineStr">
        <is>
          <t>NIFTY ENERGY</t>
        </is>
      </c>
      <c r="B13" s="9" t="n">
        <v>40</v>
      </c>
      <c r="C13" s="9" t="n">
        <v>9</v>
      </c>
      <c r="D13" s="9" t="n">
        <v>13</v>
      </c>
      <c r="E13" s="9" t="n">
        <v>19</v>
      </c>
      <c r="F13" s="10" t="n">
        <v>0.225</v>
      </c>
      <c r="G13" s="10" t="n">
        <v>0.325</v>
      </c>
      <c r="H13" s="10" t="n">
        <v>0.475</v>
      </c>
      <c r="I13" s="11" t="n">
        <v>0.3417</v>
      </c>
    </row>
    <row r="14" ht="17" customHeight="1">
      <c r="A14" s="4" t="inlineStr">
        <is>
          <t>NIFTY OIL &amp; GAS</t>
        </is>
      </c>
      <c r="B14" s="5" t="n">
        <v>15</v>
      </c>
      <c r="C14" s="5" t="n">
        <v>5</v>
      </c>
      <c r="D14" s="5" t="n">
        <v>7</v>
      </c>
      <c r="E14" s="5" t="n">
        <v>3</v>
      </c>
      <c r="F14" s="6" t="n">
        <v>0.333</v>
      </c>
      <c r="G14" s="6" t="n">
        <v>0.467</v>
      </c>
      <c r="H14" s="6" t="n">
        <v>0.2</v>
      </c>
      <c r="I14" s="7" t="n">
        <v>0.3333</v>
      </c>
    </row>
    <row r="15" ht="17" customHeight="1">
      <c r="A15" s="8" t="inlineStr">
        <is>
          <t>NIFTY BANK</t>
        </is>
      </c>
      <c r="B15" s="9" t="n">
        <v>12</v>
      </c>
      <c r="C15" s="9" t="n">
        <v>4</v>
      </c>
      <c r="D15" s="9" t="n">
        <v>4</v>
      </c>
      <c r="E15" s="9" t="n">
        <v>4</v>
      </c>
      <c r="F15" s="10" t="n">
        <v>0.333</v>
      </c>
      <c r="G15" s="10" t="n">
        <v>0.333</v>
      </c>
      <c r="H15" s="10" t="n">
        <v>0.333</v>
      </c>
      <c r="I15" s="11" t="n">
        <v>0.333</v>
      </c>
    </row>
    <row r="16" ht="17" customHeight="1">
      <c r="A16" s="4" t="inlineStr">
        <is>
          <t>NIFTY METAL</t>
        </is>
      </c>
      <c r="B16" s="5" t="n">
        <v>15</v>
      </c>
      <c r="C16" s="5" t="n">
        <v>2</v>
      </c>
      <c r="D16" s="5" t="n">
        <v>2</v>
      </c>
      <c r="E16" s="5" t="n">
        <v>7</v>
      </c>
      <c r="F16" s="6" t="n">
        <v>0.133</v>
      </c>
      <c r="G16" s="6" t="n">
        <v>0.133</v>
      </c>
      <c r="H16" s="6" t="n">
        <v>0.467</v>
      </c>
      <c r="I16" s="7" t="n">
        <v>0.2443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0</v>
      </c>
      <c r="F17" s="10" t="n">
        <v>0.1</v>
      </c>
      <c r="G17" s="10" t="n">
        <v>0.1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3345.3</v>
      </c>
      <c r="D3" s="14" t="n">
        <v>3194.72</v>
      </c>
      <c r="E3" s="14" t="n">
        <v>3087.19</v>
      </c>
      <c r="F3" s="14" t="n">
        <v>2857.95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5500.5</v>
      </c>
      <c r="D4" s="14" t="n">
        <v>5425.28</v>
      </c>
      <c r="E4" s="14" t="n">
        <v>5417.84</v>
      </c>
      <c r="F4" s="14" t="n">
        <v>5395.87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1561</v>
      </c>
      <c r="D5" s="14" t="n">
        <v>1508.74</v>
      </c>
      <c r="E5" s="14" t="n">
        <v>1460.44</v>
      </c>
      <c r="F5" s="14" t="n">
        <v>1310.01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BIOCON</t>
        </is>
      </c>
      <c r="C6" s="14" t="n">
        <v>418.6</v>
      </c>
      <c r="D6" s="14" t="n">
        <v>416.49</v>
      </c>
      <c r="E6" s="14" t="n">
        <v>407.65</v>
      </c>
      <c r="F6" s="14" t="n">
        <v>387.46</v>
      </c>
      <c r="G6" s="15">
        <f>HYPERLINK("https://www.tradingview.com/chart/?symbol=NSE:BIOCON","Chart 📈")</f>
        <v/>
      </c>
    </row>
    <row r="7" ht="16" customHeight="1">
      <c r="A7" s="16" t="inlineStr">
        <is>
          <t>NIFTY PHARMA</t>
        </is>
      </c>
      <c r="B7" s="13" t="inlineStr">
        <is>
          <t>CIPLA</t>
        </is>
      </c>
      <c r="C7" s="14" t="n">
        <v>1456</v>
      </c>
      <c r="D7" s="14" t="n">
        <v>1416.23</v>
      </c>
      <c r="E7" s="14" t="n">
        <v>1379.28</v>
      </c>
      <c r="F7" s="14" t="n">
        <v>1389.63</v>
      </c>
      <c r="G7" s="15">
        <f>HYPERLINK("https://www.tradingview.com/chart/?symbol=NSE:CIPLA","Chart 📈")</f>
        <v/>
      </c>
    </row>
    <row r="8" ht="16" customHeight="1">
      <c r="A8" s="16" t="inlineStr">
        <is>
          <t>NIFTY PHARMA</t>
        </is>
      </c>
      <c r="B8" s="13" t="inlineStr">
        <is>
          <t>DIVISLAB</t>
        </is>
      </c>
      <c r="C8" s="14" t="n">
        <v>6682.5</v>
      </c>
      <c r="D8" s="14" t="n">
        <v>6665.64</v>
      </c>
      <c r="E8" s="14" t="n">
        <v>6608.33</v>
      </c>
      <c r="F8" s="14" t="n">
        <v>6471.04</v>
      </c>
      <c r="G8" s="15">
        <f>HYPERLINK("https://www.tradingview.com/chart/?symbol=NSE:DIVISLAB","Chart 📈")</f>
        <v/>
      </c>
    </row>
    <row r="9" ht="16" customHeight="1">
      <c r="A9" s="16" t="inlineStr">
        <is>
          <t>NIFTY PHARMA</t>
        </is>
      </c>
      <c r="B9" s="13" t="inlineStr">
        <is>
          <t>DRREDDY</t>
        </is>
      </c>
      <c r="C9" s="14" t="n">
        <v>1345.7</v>
      </c>
      <c r="D9" s="14" t="n">
        <v>1317.21</v>
      </c>
      <c r="E9" s="14" t="n">
        <v>1300.46</v>
      </c>
      <c r="F9" s="14" t="n">
        <v>1275.59</v>
      </c>
      <c r="G9" s="15">
        <f>HYPERLINK("https://www.tradingview.com/chart/?symbol=NSE:DRREDDY","Chart 📈")</f>
        <v/>
      </c>
    </row>
    <row r="10" ht="16" customHeight="1">
      <c r="A10" s="16" t="inlineStr">
        <is>
          <t>NIFTY PHARMA</t>
        </is>
      </c>
      <c r="B10" s="13" t="inlineStr">
        <is>
          <t>GLAND</t>
        </is>
      </c>
      <c r="C10" s="14" t="n">
        <v>2446.2</v>
      </c>
      <c r="D10" s="14" t="n">
        <v>2308.91</v>
      </c>
      <c r="E10" s="14" t="n">
        <v>2165.74</v>
      </c>
      <c r="F10" s="14" t="n">
        <v>1939.22</v>
      </c>
      <c r="G10" s="15">
        <f>HYPERLINK("https://www.tradingview.com/chart/?symbol=NSE:GLAND","Chart 📈")</f>
        <v/>
      </c>
    </row>
    <row r="11" ht="16" customHeight="1">
      <c r="A11" s="16" t="inlineStr">
        <is>
          <t>NIFTY PHARMA</t>
        </is>
      </c>
      <c r="B11" s="13" t="inlineStr">
        <is>
          <t>GRANULES</t>
        </is>
      </c>
      <c r="C11" s="14" t="n">
        <v>825.7</v>
      </c>
      <c r="D11" s="14" t="n">
        <v>781.91</v>
      </c>
      <c r="E11" s="14" t="n">
        <v>748.02</v>
      </c>
      <c r="F11" s="14" t="n">
        <v>640.84</v>
      </c>
      <c r="G11" s="15">
        <f>HYPERLINK("https://www.tradingview.com/chart/?symbol=NSE:GRANULES","Chart 📈")</f>
        <v/>
      </c>
    </row>
    <row r="12" ht="16" customHeight="1">
      <c r="A12" s="16" t="inlineStr">
        <is>
          <t>NIFTY PHARMA</t>
        </is>
      </c>
      <c r="B12" s="13" t="inlineStr">
        <is>
          <t>IPCALAB</t>
        </is>
      </c>
      <c r="C12" s="14" t="n">
        <v>1719.4</v>
      </c>
      <c r="D12" s="14" t="n">
        <v>1624.34</v>
      </c>
      <c r="E12" s="14" t="n">
        <v>1586.68</v>
      </c>
      <c r="F12" s="14" t="n">
        <v>1498.07</v>
      </c>
      <c r="G12" s="15">
        <f>HYPERLINK("https://www.tradingview.com/chart/?symbol=NSE:IPCALAB","Chart 📈")</f>
        <v/>
      </c>
    </row>
    <row r="13" ht="16" customHeight="1">
      <c r="A13" s="16" t="inlineStr">
        <is>
          <t>NIFTY PHARMA</t>
        </is>
      </c>
      <c r="B13" s="13" t="inlineStr">
        <is>
          <t>JBCHEPHARM</t>
        </is>
      </c>
      <c r="C13" s="14" t="n">
        <v>2321.2</v>
      </c>
      <c r="D13" s="14" t="n">
        <v>2234.71</v>
      </c>
      <c r="E13" s="14" t="n">
        <v>2170.18</v>
      </c>
      <c r="F13" s="14" t="n">
        <v>1969.61</v>
      </c>
      <c r="G13" s="15">
        <f>HYPERLINK("https://www.tradingview.com/chart/?symbol=NSE:JBCHEPHARM","Chart 📈")</f>
        <v/>
      </c>
    </row>
    <row r="14" ht="16" customHeight="1">
      <c r="A14" s="16" t="inlineStr">
        <is>
          <t>NIFTY PHARMA</t>
        </is>
      </c>
      <c r="B14" s="13" t="inlineStr">
        <is>
          <t>LAURUSLABS</t>
        </is>
      </c>
      <c r="C14" s="14" t="n">
        <v>1528</v>
      </c>
      <c r="D14" s="14" t="n">
        <v>1439.77</v>
      </c>
      <c r="E14" s="14" t="n">
        <v>1346.97</v>
      </c>
      <c r="F14" s="14" t="n">
        <v>1119.72</v>
      </c>
      <c r="G14" s="15">
        <f>HYPERLINK("https://www.tradingview.com/chart/?symbol=NSE:LAURUSLABS","Chart 📈")</f>
        <v/>
      </c>
    </row>
    <row r="15" ht="16" customHeight="1">
      <c r="A15" s="16" t="inlineStr">
        <is>
          <t>NIFTY PHARMA</t>
        </is>
      </c>
      <c r="B15" s="13" t="inlineStr">
        <is>
          <t>LUPIN</t>
        </is>
      </c>
      <c r="C15" s="14" t="n">
        <v>2399.6</v>
      </c>
      <c r="D15" s="14" t="n">
        <v>2342.26</v>
      </c>
      <c r="E15" s="14" t="n">
        <v>2312.74</v>
      </c>
      <c r="F15" s="14" t="n">
        <v>2202</v>
      </c>
      <c r="G15" s="15">
        <f>HYPERLINK("https://www.tradingview.com/chart/?symbol=NSE:LUPIN","Chart 📈")</f>
        <v/>
      </c>
    </row>
    <row r="16" ht="16" customHeight="1">
      <c r="A16" s="16" t="inlineStr">
        <is>
          <t>NIFTY PHARMA</t>
        </is>
      </c>
      <c r="B16" s="13" t="inlineStr">
        <is>
          <t>MANKIND</t>
        </is>
      </c>
      <c r="C16" s="14" t="n">
        <v>2486.9</v>
      </c>
      <c r="D16" s="14" t="n">
        <v>2449.79</v>
      </c>
      <c r="E16" s="14" t="n">
        <v>2383.45</v>
      </c>
      <c r="F16" s="14" t="n">
        <v>2306.04</v>
      </c>
      <c r="G16" s="15">
        <f>HYPERLINK("https://www.tradingview.com/chart/?symbol=NSE:MANKIND","Chart 📈")</f>
        <v/>
      </c>
    </row>
    <row r="17" ht="16" customHeight="1">
      <c r="A17" s="16" t="inlineStr">
        <is>
          <t>NIFTY PHARMA</t>
        </is>
      </c>
      <c r="B17" s="13" t="inlineStr">
        <is>
          <t>SUNPHARMA</t>
        </is>
      </c>
      <c r="C17" s="14" t="n">
        <v>1871</v>
      </c>
      <c r="D17" s="14" t="n">
        <v>1844.69</v>
      </c>
      <c r="E17" s="14" t="n">
        <v>1819.02</v>
      </c>
      <c r="F17" s="14" t="n">
        <v>1751.22</v>
      </c>
      <c r="G17" s="15">
        <f>HYPERLINK("https://www.tradingview.com/chart/?symbol=NSE:SUNPHARMA","Chart 📈")</f>
        <v/>
      </c>
    </row>
    <row r="18" ht="16" customHeight="1">
      <c r="A18" s="16" t="inlineStr">
        <is>
          <t>NIFTY PHARMA</t>
        </is>
      </c>
      <c r="B18" s="13" t="inlineStr">
        <is>
          <t>TORNTPHARM</t>
        </is>
      </c>
      <c r="C18" s="14" t="n">
        <v>4661.4</v>
      </c>
      <c r="D18" s="14" t="n">
        <v>4525.76</v>
      </c>
      <c r="E18" s="14" t="n">
        <v>4428.84</v>
      </c>
      <c r="F18" s="14" t="n">
        <v>4083.08</v>
      </c>
      <c r="G18" s="15">
        <f>HYPERLINK("https://www.tradingview.com/chart/?symbol=NSE:TORNTPHARM","Chart 📈")</f>
        <v/>
      </c>
    </row>
    <row r="19" ht="16" customHeight="1">
      <c r="A19" s="16" t="inlineStr">
        <is>
          <t>NIFTY PHARMA</t>
        </is>
      </c>
      <c r="B19" s="13" t="inlineStr">
        <is>
          <t>ZYDUSLIFE</t>
        </is>
      </c>
      <c r="C19" s="14" t="n">
        <v>1099.8</v>
      </c>
      <c r="D19" s="14" t="n">
        <v>1090.73</v>
      </c>
      <c r="E19" s="14" t="n">
        <v>1045.88</v>
      </c>
      <c r="F19" s="14" t="n">
        <v>977.29</v>
      </c>
      <c r="G19" s="15">
        <f>HYPERLINK("https://www.tradingview.com/chart/?symbol=NSE:ZYDUSLIFE","Chart 📈")</f>
        <v/>
      </c>
    </row>
    <row r="20" ht="16" customHeight="1">
      <c r="A20" s="8" t="inlineStr">
        <is>
          <t>NIFTY REALTY</t>
        </is>
      </c>
      <c r="B20" s="17" t="inlineStr">
        <is>
          <t>DLF</t>
        </is>
      </c>
      <c r="C20" s="18" t="n">
        <v>658.2</v>
      </c>
      <c r="D20" s="18" t="n">
        <v>616.9299999999999</v>
      </c>
      <c r="E20" s="18" t="n">
        <v>602.74</v>
      </c>
      <c r="F20" s="18" t="n">
        <v>647.29</v>
      </c>
      <c r="G20" s="19">
        <f>HYPERLINK("https://www.tradingview.com/chart/?symbol=NSE:DLF","Chart 📈")</f>
        <v/>
      </c>
    </row>
    <row r="21" ht="16" customHeight="1">
      <c r="A21" s="20" t="inlineStr">
        <is>
          <t>NIFTY REALTY</t>
        </is>
      </c>
      <c r="B21" s="17" t="inlineStr">
        <is>
          <t>GODREJPROP</t>
        </is>
      </c>
      <c r="C21" s="18" t="n">
        <v>1968.7</v>
      </c>
      <c r="D21" s="18" t="n">
        <v>1819.97</v>
      </c>
      <c r="E21" s="18" t="n">
        <v>1778.06</v>
      </c>
      <c r="F21" s="18" t="n">
        <v>1867.74</v>
      </c>
      <c r="G21" s="19">
        <f>HYPERLINK("https://www.tradingview.com/chart/?symbol=NSE:GODREJPROP","Chart 📈")</f>
        <v/>
      </c>
    </row>
    <row r="22" ht="16" customHeight="1">
      <c r="A22" s="20" t="inlineStr">
        <is>
          <t>NIFTY REALTY</t>
        </is>
      </c>
      <c r="B22" s="17" t="inlineStr">
        <is>
          <t>MAHLIFE</t>
        </is>
      </c>
      <c r="C22" s="18" t="n">
        <v>372.2</v>
      </c>
      <c r="D22" s="18" t="n">
        <v>353.37</v>
      </c>
      <c r="E22" s="18" t="n">
        <v>345.09</v>
      </c>
      <c r="F22" s="18" t="n">
        <v>354.64</v>
      </c>
      <c r="G22" s="19">
        <f>HYPERLINK("https://www.tradingview.com/chart/?symbol=NSE:MAHLIFE","Chart 📈")</f>
        <v/>
      </c>
    </row>
    <row r="23" ht="16" customHeight="1">
      <c r="A23" s="20" t="inlineStr">
        <is>
          <t>NIFTY REALTY</t>
        </is>
      </c>
      <c r="B23" s="17" t="inlineStr">
        <is>
          <t>OBEROIRLTY</t>
        </is>
      </c>
      <c r="C23" s="18" t="n">
        <v>1864.7</v>
      </c>
      <c r="D23" s="18" t="n">
        <v>1725.3</v>
      </c>
      <c r="E23" s="18" t="n">
        <v>1678.26</v>
      </c>
      <c r="F23" s="18" t="n">
        <v>1655.57</v>
      </c>
      <c r="G23" s="19">
        <f>HYPERLINK("https://www.tradingview.com/chart/?symbol=NSE:OBEROIRLTY","Chart 📈")</f>
        <v/>
      </c>
    </row>
    <row r="24" ht="16" customHeight="1">
      <c r="A24" s="20" t="inlineStr">
        <is>
          <t>NIFTY REALTY</t>
        </is>
      </c>
      <c r="B24" s="17" t="inlineStr">
        <is>
          <t>PHOENIXLTD</t>
        </is>
      </c>
      <c r="C24" s="18" t="n">
        <v>2012.5</v>
      </c>
      <c r="D24" s="18" t="n">
        <v>1881.24</v>
      </c>
      <c r="E24" s="18" t="n">
        <v>1814.58</v>
      </c>
      <c r="F24" s="18" t="n">
        <v>1717.57</v>
      </c>
      <c r="G24" s="19">
        <f>HYPERLINK("https://www.tradingview.com/chart/?symbol=NSE:PHOENIXLTD","Chart 📈")</f>
        <v/>
      </c>
    </row>
    <row r="25" ht="16" customHeight="1">
      <c r="A25" s="20" t="inlineStr">
        <is>
          <t>NIFTY REALTY</t>
        </is>
      </c>
      <c r="B25" s="17" t="inlineStr">
        <is>
          <t>PRESTIGE</t>
        </is>
      </c>
      <c r="C25" s="18" t="n">
        <v>1674.1</v>
      </c>
      <c r="D25" s="18" t="n">
        <v>1507.89</v>
      </c>
      <c r="E25" s="18" t="n">
        <v>1445.77</v>
      </c>
      <c r="F25" s="18" t="n">
        <v>1477.9</v>
      </c>
      <c r="G25" s="19">
        <f>HYPERLINK("https://www.tradingview.com/chart/?symbol=NSE:PRESTIGE","Chart 📈")</f>
        <v/>
      </c>
    </row>
    <row r="26" ht="16" customHeight="1">
      <c r="A26" s="20" t="inlineStr">
        <is>
          <t>NIFTY REALTY</t>
        </is>
      </c>
      <c r="B26" s="17" t="inlineStr">
        <is>
          <t>RAYMOND</t>
        </is>
      </c>
      <c r="C26" s="18" t="n">
        <v>590.35</v>
      </c>
      <c r="D26" s="18" t="n">
        <v>575.52</v>
      </c>
      <c r="E26" s="18" t="n">
        <v>533.4400000000001</v>
      </c>
      <c r="F26" s="18" t="n">
        <v>511.58</v>
      </c>
      <c r="G26" s="19">
        <f>HYPERLINK("https://www.tradingview.com/chart/?symbol=NSE:RAYMOND","Chart 📈")</f>
        <v/>
      </c>
    </row>
    <row r="27" ht="16" customHeight="1">
      <c r="A27" s="20" t="inlineStr">
        <is>
          <t>NIFTY REALTY</t>
        </is>
      </c>
      <c r="B27" s="17" t="inlineStr">
        <is>
          <t>SOBHA</t>
        </is>
      </c>
      <c r="C27" s="18" t="n">
        <v>1434.6</v>
      </c>
      <c r="D27" s="18" t="n">
        <v>1394.27</v>
      </c>
      <c r="E27" s="18" t="n">
        <v>1384.62</v>
      </c>
      <c r="F27" s="18" t="n">
        <v>1423.51</v>
      </c>
      <c r="G27" s="19">
        <f>HYPERLINK("https://www.tradingview.com/chart/?symbol=NSE:SOBHA","Chart 📈")</f>
        <v/>
      </c>
    </row>
    <row r="28" ht="16" customHeight="1">
      <c r="A28" s="12" t="inlineStr">
        <is>
          <t>NIFTY AUTO</t>
        </is>
      </c>
      <c r="B28" s="13" t="inlineStr">
        <is>
          <t>APOLLOTYRE</t>
        </is>
      </c>
      <c r="C28" s="14" t="n">
        <v>456.6</v>
      </c>
      <c r="D28" s="14" t="n">
        <v>420.9</v>
      </c>
      <c r="E28" s="14" t="n">
        <v>415.48</v>
      </c>
      <c r="F28" s="14" t="n">
        <v>443.9</v>
      </c>
      <c r="G28" s="15">
        <f>HYPERLINK("https://www.tradingview.com/chart/?symbol=NSE:APOLLOTYRE","Chart 📈")</f>
        <v/>
      </c>
    </row>
    <row r="29" ht="16" customHeight="1">
      <c r="A29" s="16" t="inlineStr">
        <is>
          <t>NIFTY AUTO</t>
        </is>
      </c>
      <c r="B29" s="13" t="inlineStr">
        <is>
          <t>ASHOKLEY</t>
        </is>
      </c>
      <c r="C29" s="14" t="n">
        <v>164.73</v>
      </c>
      <c r="D29" s="14" t="n">
        <v>156.65</v>
      </c>
      <c r="E29" s="14" t="n">
        <v>157.8</v>
      </c>
      <c r="F29" s="14" t="n">
        <v>158.37</v>
      </c>
      <c r="G29" s="15">
        <f>HYPERLINK("https://www.tradingview.com/chart/?symbol=NSE:ASHOKLEY","Chart 📈")</f>
        <v/>
      </c>
    </row>
    <row r="30" ht="16" customHeight="1">
      <c r="A30" s="16" t="inlineStr">
        <is>
          <t>NIFTY AUTO</t>
        </is>
      </c>
      <c r="B30" s="13" t="inlineStr">
        <is>
          <t>BHARATFORG</t>
        </is>
      </c>
      <c r="C30" s="14" t="n">
        <v>2148.9</v>
      </c>
      <c r="D30" s="14" t="n">
        <v>2068.12</v>
      </c>
      <c r="E30" s="14" t="n">
        <v>1975.5</v>
      </c>
      <c r="F30" s="14" t="n">
        <v>1694.69</v>
      </c>
      <c r="G30" s="15">
        <f>HYPERLINK("https://www.tradingview.com/chart/?symbol=NSE:BHARATFORG","Chart 📈")</f>
        <v/>
      </c>
    </row>
    <row r="31" ht="16" customHeight="1">
      <c r="A31" s="16" t="inlineStr">
        <is>
          <t>NIFTY AUTO</t>
        </is>
      </c>
      <c r="B31" s="13" t="inlineStr">
        <is>
          <t>BOSCHLTD</t>
        </is>
      </c>
      <c r="C31" s="14" t="n">
        <v>41515</v>
      </c>
      <c r="D31" s="14" t="n">
        <v>39423.4</v>
      </c>
      <c r="E31" s="14" t="n">
        <v>37943.89</v>
      </c>
      <c r="F31" s="14" t="n">
        <v>36381.83</v>
      </c>
      <c r="G31" s="15">
        <f>HYPERLINK("https://www.tradingview.com/chart/?symbol=NSE:BOSCHLTD","Chart 📈")</f>
        <v/>
      </c>
    </row>
    <row r="32" ht="16" customHeight="1">
      <c r="A32" s="16" t="inlineStr">
        <is>
          <t>NIFTY AUTO</t>
        </is>
      </c>
      <c r="B32" s="13" t="inlineStr">
        <is>
          <t>EXIDEIND</t>
        </is>
      </c>
      <c r="C32" s="14" t="n">
        <v>419.35</v>
      </c>
      <c r="D32" s="14" t="n">
        <v>387.34</v>
      </c>
      <c r="E32" s="14" t="n">
        <v>372.4</v>
      </c>
      <c r="F32" s="14" t="n">
        <v>359.99</v>
      </c>
      <c r="G32" s="15">
        <f>HYPERLINK("https://www.tradingview.com/chart/?symbol=NSE:EXIDEIND","Chart 📈")</f>
        <v/>
      </c>
    </row>
    <row r="33" ht="16" customHeight="1">
      <c r="A33" s="16" t="inlineStr">
        <is>
          <t>NIFTY AUTO</t>
        </is>
      </c>
      <c r="B33" s="13" t="inlineStr">
        <is>
          <t>MARUTI</t>
        </is>
      </c>
      <c r="C33" s="14" t="n">
        <v>14348</v>
      </c>
      <c r="D33" s="14" t="n">
        <v>13634.1</v>
      </c>
      <c r="E33" s="14" t="n">
        <v>13490.26</v>
      </c>
      <c r="F33" s="14" t="n">
        <v>13986.04</v>
      </c>
      <c r="G33" s="15">
        <f>HYPERLINK("https://www.tradingview.com/chart/?symbol=NSE:MARUTI","Chart 📈")</f>
        <v/>
      </c>
    </row>
    <row r="34" ht="16" customHeight="1">
      <c r="A34" s="16" t="inlineStr">
        <is>
          <t>NIFTY AUTO</t>
        </is>
      </c>
      <c r="B34" s="13" t="inlineStr">
        <is>
          <t>MOTHERSON</t>
        </is>
      </c>
      <c r="C34" s="14" t="n">
        <v>147.59</v>
      </c>
      <c r="D34" s="14" t="n">
        <v>145.64</v>
      </c>
      <c r="E34" s="14" t="n">
        <v>138.89</v>
      </c>
      <c r="F34" s="14" t="n">
        <v>123.17</v>
      </c>
      <c r="G34" s="15">
        <f>HYPERLINK("https://www.tradingview.com/chart/?symbol=NSE:MOTHERSON","Chart 📈")</f>
        <v/>
      </c>
    </row>
    <row r="35" ht="16" customHeight="1">
      <c r="A35" s="16" t="inlineStr">
        <is>
          <t>NIFTY AUTO</t>
        </is>
      </c>
      <c r="B35" s="13" t="inlineStr">
        <is>
          <t>TVSMOTOR</t>
        </is>
      </c>
      <c r="C35" s="14" t="n">
        <v>3626.8</v>
      </c>
      <c r="D35" s="14" t="n">
        <v>3469.83</v>
      </c>
      <c r="E35" s="14" t="n">
        <v>3475.2</v>
      </c>
      <c r="F35" s="14" t="n">
        <v>3467.89</v>
      </c>
      <c r="G35" s="15">
        <f>HYPERLINK("https://www.tradingview.com/chart/?symbol=NSE:TVSMOTOR","Chart 📈")</f>
        <v/>
      </c>
    </row>
    <row r="36" ht="16" customHeight="1">
      <c r="A36" s="8" t="inlineStr">
        <is>
          <t>NIFTY FMCG</t>
        </is>
      </c>
      <c r="B36" s="17" t="inlineStr">
        <is>
          <t>BALRAMCHIN</t>
        </is>
      </c>
      <c r="C36" s="18" t="n">
        <v>567.2</v>
      </c>
      <c r="D36" s="18" t="n">
        <v>542.23</v>
      </c>
      <c r="E36" s="18" t="n">
        <v>530.77</v>
      </c>
      <c r="F36" s="18" t="n">
        <v>507.47</v>
      </c>
      <c r="G36" s="19">
        <f>HYPERLINK("https://www.tradingview.com/chart/?symbol=NSE:BALRAMCHIN","Chart 📈")</f>
        <v/>
      </c>
    </row>
    <row r="37" ht="16" customHeight="1">
      <c r="A37" s="20" t="inlineStr">
        <is>
          <t>NIFTY FMCG</t>
        </is>
      </c>
      <c r="B37" s="17" t="inlineStr">
        <is>
          <t>MARICO</t>
        </is>
      </c>
      <c r="C37" s="18" t="n">
        <v>856</v>
      </c>
      <c r="D37" s="18" t="n">
        <v>827.1</v>
      </c>
      <c r="E37" s="18" t="n">
        <v>813.72</v>
      </c>
      <c r="F37" s="18" t="n">
        <v>771.7</v>
      </c>
      <c r="G37" s="19">
        <f>HYPERLINK("https://www.tradingview.com/chart/?symbol=NSE:MARICO","Chart 📈")</f>
        <v/>
      </c>
    </row>
    <row r="38" ht="16" customHeight="1">
      <c r="A38" s="20" t="inlineStr">
        <is>
          <t>NIFTY FMCG</t>
        </is>
      </c>
      <c r="B38" s="17" t="inlineStr">
        <is>
          <t>NESTLEIND</t>
        </is>
      </c>
      <c r="C38" s="18" t="n">
        <v>1446.2</v>
      </c>
      <c r="D38" s="18" t="n">
        <v>1409.94</v>
      </c>
      <c r="E38" s="18" t="n">
        <v>1394.39</v>
      </c>
      <c r="F38" s="18" t="n">
        <v>1311.1</v>
      </c>
      <c r="G38" s="19">
        <f>HYPERLINK("https://www.tradingview.com/chart/?symbol=NSE:NESTLEIND","Chart 📈")</f>
        <v/>
      </c>
    </row>
    <row r="39" ht="16" customHeight="1">
      <c r="A39" s="20" t="inlineStr">
        <is>
          <t>NIFTY FMCG</t>
        </is>
      </c>
      <c r="B39" s="17" t="inlineStr">
        <is>
          <t>RADICO</t>
        </is>
      </c>
      <c r="C39" s="18" t="n">
        <v>3972.4</v>
      </c>
      <c r="D39" s="18" t="n">
        <v>3739.41</v>
      </c>
      <c r="E39" s="18" t="n">
        <v>3532.51</v>
      </c>
      <c r="F39" s="18" t="n">
        <v>3143.84</v>
      </c>
      <c r="G39" s="19">
        <f>HYPERLINK("https://www.tradingview.com/chart/?symbol=NSE:RADICO","Chart 📈")</f>
        <v/>
      </c>
    </row>
    <row r="40" ht="16" customHeight="1">
      <c r="A40" s="20" t="inlineStr">
        <is>
          <t>NIFTY FMCG</t>
        </is>
      </c>
      <c r="B40" s="17" t="inlineStr">
        <is>
          <t>UNITDSPR</t>
        </is>
      </c>
      <c r="C40" s="18" t="n">
        <v>1373.4</v>
      </c>
      <c r="D40" s="18" t="n">
        <v>1330.24</v>
      </c>
      <c r="E40" s="18" t="n">
        <v>1313.68</v>
      </c>
      <c r="F40" s="18" t="n">
        <v>1334.07</v>
      </c>
      <c r="G40" s="19">
        <f>HYPERLINK("https://www.tradingview.com/chart/?symbol=NSE:UNITDSPR","Chart 📈")</f>
        <v/>
      </c>
    </row>
    <row r="41" ht="16" customHeight="1">
      <c r="A41" s="12" t="inlineStr">
        <is>
          <t>NIFTY MEDIA</t>
        </is>
      </c>
      <c r="B41" s="13" t="inlineStr">
        <is>
          <t>NAZARA</t>
        </is>
      </c>
      <c r="C41" s="14" t="n">
        <v>305.25</v>
      </c>
      <c r="D41" s="14" t="n">
        <v>294.95</v>
      </c>
      <c r="E41" s="14" t="n">
        <v>284.28</v>
      </c>
      <c r="F41" s="14" t="n">
        <v>278.47</v>
      </c>
      <c r="G41" s="15">
        <f>HYPERLINK("https://www.tradingview.com/chart/?symbol=NSE:NAZARA","Chart 📈")</f>
        <v/>
      </c>
    </row>
    <row r="42" ht="16" customHeight="1">
      <c r="A42" s="16" t="inlineStr">
        <is>
          <t>NIFTY MEDIA</t>
        </is>
      </c>
      <c r="B42" s="13" t="inlineStr">
        <is>
          <t>SAREGAMA</t>
        </is>
      </c>
      <c r="C42" s="14" t="n">
        <v>494.3</v>
      </c>
      <c r="D42" s="14" t="n">
        <v>468.61</v>
      </c>
      <c r="E42" s="14" t="n">
        <v>431.09</v>
      </c>
      <c r="F42" s="14" t="n">
        <v>403.41</v>
      </c>
      <c r="G42" s="15">
        <f>HYPERLINK("https://www.tradingview.com/chart/?symbol=NSE:SAREGAMA","Chart 📈")</f>
        <v/>
      </c>
    </row>
    <row r="43" ht="16" customHeight="1">
      <c r="A43" s="16" t="inlineStr">
        <is>
          <t>NIFTY MEDIA</t>
        </is>
      </c>
      <c r="B43" s="13" t="inlineStr">
        <is>
          <t>TIPSMUSIC</t>
        </is>
      </c>
      <c r="C43" s="14" t="n">
        <v>677.1</v>
      </c>
      <c r="D43" s="14" t="n">
        <v>647.48</v>
      </c>
      <c r="E43" s="14" t="n">
        <v>636.01</v>
      </c>
      <c r="F43" s="14" t="n">
        <v>594.15</v>
      </c>
      <c r="G43" s="15">
        <f>HYPERLINK("https://www.tradingview.com/chart/?symbol=NSE:TIPSMUSIC","Chart 📈")</f>
        <v/>
      </c>
    </row>
    <row r="44" ht="16" customHeight="1">
      <c r="A44" s="8" t="inlineStr">
        <is>
          <t>NIFTY FINANCIAL SERVICES</t>
        </is>
      </c>
      <c r="B44" s="17" t="inlineStr">
        <is>
          <t>AXISBANK</t>
        </is>
      </c>
      <c r="C44" s="18" t="n">
        <v>1362.6</v>
      </c>
      <c r="D44" s="18" t="n">
        <v>1345.84</v>
      </c>
      <c r="E44" s="18" t="n">
        <v>1320.07</v>
      </c>
      <c r="F44" s="18" t="n">
        <v>1272.58</v>
      </c>
      <c r="G44" s="19">
        <f>HYPERLINK("https://www.tradingview.com/chart/?symbol=NSE:AXISBANK","Chart 📈")</f>
        <v/>
      </c>
    </row>
    <row r="45" ht="16" customHeight="1">
      <c r="A45" s="20" t="inlineStr">
        <is>
          <t>NIFTY FINANCIAL SERVICES</t>
        </is>
      </c>
      <c r="B45" s="17" t="inlineStr">
        <is>
          <t>BAJFINANCE</t>
        </is>
      </c>
      <c r="C45" s="18" t="n">
        <v>1018.4</v>
      </c>
      <c r="D45" s="18" t="n">
        <v>960.3</v>
      </c>
      <c r="E45" s="18" t="n">
        <v>935.84</v>
      </c>
      <c r="F45" s="18" t="n">
        <v>938.6</v>
      </c>
      <c r="G45" s="19">
        <f>HYPERLINK("https://www.tradingview.com/chart/?symbol=NSE:BAJFINANCE","Chart 📈")</f>
        <v/>
      </c>
    </row>
    <row r="46" ht="16" customHeight="1">
      <c r="A46" s="20" t="inlineStr">
        <is>
          <t>NIFTY FINANCIAL SERVICES</t>
        </is>
      </c>
      <c r="B46" s="17" t="inlineStr">
        <is>
          <t>CHOLAFIN</t>
        </is>
      </c>
      <c r="C46" s="18" t="n">
        <v>1788.5</v>
      </c>
      <c r="D46" s="18" t="n">
        <v>1700.55</v>
      </c>
      <c r="E46" s="18" t="n">
        <v>1631.89</v>
      </c>
      <c r="F46" s="18" t="n">
        <v>1608.9</v>
      </c>
      <c r="G46" s="19">
        <f>HYPERLINK("https://www.tradingview.com/chart/?symbol=NSE:CHOLAFIN","Chart 📈")</f>
        <v/>
      </c>
    </row>
    <row r="47" ht="16" customHeight="1">
      <c r="A47" s="20" t="inlineStr">
        <is>
          <t>NIFTY FINANCIAL SERVICES</t>
        </is>
      </c>
      <c r="B47" s="17" t="inlineStr">
        <is>
          <t>HDFCAMC</t>
        </is>
      </c>
      <c r="C47" s="18" t="n">
        <v>2759.6</v>
      </c>
      <c r="D47" s="18" t="n">
        <v>2645.94</v>
      </c>
      <c r="E47" s="18" t="n">
        <v>2614.76</v>
      </c>
      <c r="F47" s="18" t="n">
        <v>2591.83</v>
      </c>
      <c r="G47" s="19">
        <f>HYPERLINK("https://www.tradingview.com/chart/?symbol=NSE:HDFCAMC","Chart 📈")</f>
        <v/>
      </c>
    </row>
    <row r="48" ht="16" customHeight="1">
      <c r="A48" s="20" t="inlineStr">
        <is>
          <t>NIFTY FINANCIAL SERVICES</t>
        </is>
      </c>
      <c r="B48" s="17" t="inlineStr">
        <is>
          <t>ICICIBANK</t>
        </is>
      </c>
      <c r="C48" s="18" t="n">
        <v>1400</v>
      </c>
      <c r="D48" s="18" t="n">
        <v>1346.92</v>
      </c>
      <c r="E48" s="18" t="n">
        <v>1317.48</v>
      </c>
      <c r="F48" s="18" t="n">
        <v>1339.59</v>
      </c>
      <c r="G48" s="19">
        <f>HYPERLINK("https://www.tradingview.com/chart/?symbol=NSE:ICICIBANK","Chart 📈")</f>
        <v/>
      </c>
    </row>
    <row r="49" ht="16" customHeight="1">
      <c r="A49" s="20" t="inlineStr">
        <is>
          <t>NIFTY FINANCIAL SERVICES</t>
        </is>
      </c>
      <c r="B49" s="17" t="inlineStr">
        <is>
          <t>LICHSGFIN</t>
        </is>
      </c>
      <c r="C49" s="18" t="n">
        <v>552.9</v>
      </c>
      <c r="D49" s="18" t="n">
        <v>551.48</v>
      </c>
      <c r="E49" s="18" t="n">
        <v>547.42</v>
      </c>
      <c r="F49" s="18" t="n">
        <v>547.5700000000001</v>
      </c>
      <c r="G49" s="19">
        <f>HYPERLINK("https://www.tradingview.com/chart/?symbol=NSE:LICHSGFIN","Chart 📈")</f>
        <v/>
      </c>
    </row>
    <row r="50" ht="16" customHeight="1">
      <c r="A50" s="20" t="inlineStr">
        <is>
          <t>NIFTY FINANCIAL SERVICES</t>
        </is>
      </c>
      <c r="B50" s="17" t="inlineStr">
        <is>
          <t>MCX</t>
        </is>
      </c>
      <c r="C50" s="18" t="n">
        <v>2923.2</v>
      </c>
      <c r="D50" s="18" t="n">
        <v>2890.73</v>
      </c>
      <c r="E50" s="18" t="n">
        <v>2890.38</v>
      </c>
      <c r="F50" s="18" t="n">
        <v>2494.02</v>
      </c>
      <c r="G50" s="19">
        <f>HYPERLINK("https://www.tradingview.com/chart/?symbol=NSE:MCX","Chart 📈")</f>
        <v/>
      </c>
    </row>
    <row r="51" ht="16" customHeight="1">
      <c r="A51" s="20" t="inlineStr">
        <is>
          <t>NIFTY FINANCIAL SERVICES</t>
        </is>
      </c>
      <c r="B51" s="17" t="inlineStr">
        <is>
          <t>RECLTD</t>
        </is>
      </c>
      <c r="C51" s="18" t="n">
        <v>369.6</v>
      </c>
      <c r="D51" s="18" t="n">
        <v>358.67</v>
      </c>
      <c r="E51" s="18" t="n">
        <v>352.57</v>
      </c>
      <c r="F51" s="18" t="n">
        <v>353.57</v>
      </c>
      <c r="G51" s="19">
        <f>HYPERLINK("https://www.tradingview.com/chart/?symbol=NSE:RECLTD","Chart 📈")</f>
        <v/>
      </c>
    </row>
    <row r="52" ht="16" customHeight="1">
      <c r="A52" s="20" t="inlineStr">
        <is>
          <t>NIFTY FINANCIAL SERVICES</t>
        </is>
      </c>
      <c r="B52" s="17" t="inlineStr">
        <is>
          <t>SHRIRAMFIN</t>
        </is>
      </c>
      <c r="C52" s="18" t="n">
        <v>1066.7</v>
      </c>
      <c r="D52" s="18" t="n">
        <v>999.67</v>
      </c>
      <c r="E52" s="18" t="n">
        <v>978.62</v>
      </c>
      <c r="F52" s="18" t="n">
        <v>909.12</v>
      </c>
      <c r="G52" s="19">
        <f>HYPERLINK("https://www.tradingview.com/chart/?symbol=NSE:SHRIRAMFIN","Chart 📈")</f>
        <v/>
      </c>
    </row>
    <row r="53" ht="16" customHeight="1">
      <c r="A53" s="12" t="inlineStr">
        <is>
          <t>NIFTY PSU BANK</t>
        </is>
      </c>
      <c r="B53" s="13" t="inlineStr">
        <is>
          <t>BANKINDIA</t>
        </is>
      </c>
      <c r="C53" s="14" t="n">
        <v>144.96</v>
      </c>
      <c r="D53" s="14" t="n">
        <v>143.39</v>
      </c>
      <c r="E53" s="14" t="n">
        <v>142.66</v>
      </c>
      <c r="F53" s="14" t="n">
        <v>139.01</v>
      </c>
      <c r="G53" s="15">
        <f>HYPERLINK("https://www.tradingview.com/chart/?symbol=NSE:BANKINDIA","Chart 📈")</f>
        <v/>
      </c>
    </row>
    <row r="54" ht="16" customHeight="1">
      <c r="A54" s="16" t="inlineStr">
        <is>
          <t>NIFTY PSU BANK</t>
        </is>
      </c>
      <c r="B54" s="13" t="inlineStr">
        <is>
          <t>MAHABANK</t>
        </is>
      </c>
      <c r="C54" s="14" t="n">
        <v>91.04000000000001</v>
      </c>
      <c r="D54" s="14" t="n">
        <v>87.79000000000001</v>
      </c>
      <c r="E54" s="14" t="n">
        <v>82.48</v>
      </c>
      <c r="F54" s="14" t="n">
        <v>69.75</v>
      </c>
      <c r="G54" s="15">
        <f>HYPERLINK("https://www.tradingview.com/chart/?symbol=NSE:MAHABANK","Chart 📈")</f>
        <v/>
      </c>
    </row>
    <row r="55" ht="16" customHeight="1">
      <c r="A55" s="16" t="inlineStr">
        <is>
          <t>NIFTY PSU BANK</t>
        </is>
      </c>
      <c r="B55" s="13" t="inlineStr">
        <is>
          <t>SBIN</t>
        </is>
      </c>
      <c r="C55" s="14" t="n">
        <v>1051.6</v>
      </c>
      <c r="D55" s="14" t="n">
        <v>1025.24</v>
      </c>
      <c r="E55" s="14" t="n">
        <v>1017.99</v>
      </c>
      <c r="F55" s="14" t="n">
        <v>985.17</v>
      </c>
      <c r="G55" s="15">
        <f>HYPERLINK("https://www.tradingview.com/chart/?symbol=NSE:SBIN","Chart 📈")</f>
        <v/>
      </c>
    </row>
    <row r="56" ht="16" customHeight="1">
      <c r="A56" s="16" t="inlineStr">
        <is>
          <t>NIFTY PSU BANK</t>
        </is>
      </c>
      <c r="B56" s="13" t="inlineStr">
        <is>
          <t>UNIONBANK</t>
        </is>
      </c>
      <c r="C56" s="14" t="n">
        <v>174.35</v>
      </c>
      <c r="D56" s="14" t="n">
        <v>168.01</v>
      </c>
      <c r="E56" s="14" t="n">
        <v>166.74</v>
      </c>
      <c r="F56" s="14" t="n">
        <v>161.13</v>
      </c>
      <c r="G56" s="15">
        <f>HYPERLINK("https://www.tradingview.com/chart/?symbol=NSE:UNIONBANK","Chart 📈")</f>
        <v/>
      </c>
    </row>
    <row r="57" ht="16" customHeight="1">
      <c r="A57" s="8" t="inlineStr">
        <is>
          <t>NIFTY CONSUMER DURABLES</t>
        </is>
      </c>
      <c r="B57" s="17" t="inlineStr">
        <is>
          <t>CERA</t>
        </is>
      </c>
      <c r="C57" s="18" t="n">
        <v>6476</v>
      </c>
      <c r="D57" s="18" t="n">
        <v>6211.12</v>
      </c>
      <c r="E57" s="18" t="n">
        <v>5869.31</v>
      </c>
      <c r="F57" s="18" t="n">
        <v>5663.04</v>
      </c>
      <c r="G57" s="19">
        <f>HYPERLINK("https://www.tradingview.com/chart/?symbol=NSE:CERA","Chart 📈")</f>
        <v/>
      </c>
    </row>
    <row r="58" ht="16" customHeight="1">
      <c r="A58" s="20" t="inlineStr">
        <is>
          <t>NIFTY CONSUMER DURABLES</t>
        </is>
      </c>
      <c r="B58" s="17" t="inlineStr">
        <is>
          <t>KAJARIACER</t>
        </is>
      </c>
      <c r="C58" s="18" t="n">
        <v>1204</v>
      </c>
      <c r="D58" s="18" t="n">
        <v>1163.58</v>
      </c>
      <c r="E58" s="18" t="n">
        <v>1122.61</v>
      </c>
      <c r="F58" s="18" t="n">
        <v>1084.96</v>
      </c>
      <c r="G58" s="19">
        <f>HYPERLINK("https://www.tradingview.com/chart/?symbol=NSE:KAJARIACER","Chart 📈")</f>
        <v/>
      </c>
    </row>
    <row r="59" ht="16" customHeight="1">
      <c r="A59" s="20" t="inlineStr">
        <is>
          <t>NIFTY CONSUMER DURABLES</t>
        </is>
      </c>
      <c r="B59" s="17" t="inlineStr">
        <is>
          <t>TITAN</t>
        </is>
      </c>
      <c r="C59" s="18" t="n">
        <v>4481.1</v>
      </c>
      <c r="D59" s="18" t="n">
        <v>4308.09</v>
      </c>
      <c r="E59" s="18" t="n">
        <v>4259.25</v>
      </c>
      <c r="F59" s="18" t="n">
        <v>4079.12</v>
      </c>
      <c r="G59" s="19">
        <f>HYPERLINK("https://www.tradingview.com/chart/?symbol=NSE:TITAN","Chart 📈")</f>
        <v/>
      </c>
    </row>
    <row r="60" ht="16" customHeight="1">
      <c r="A60" s="12" t="inlineStr">
        <is>
          <t>NIFTY MIDSMALL IT &amp; TELECOM</t>
        </is>
      </c>
      <c r="B60" s="13" t="inlineStr">
        <is>
          <t>HFCL</t>
        </is>
      </c>
      <c r="C60" s="14" t="n">
        <v>204.59</v>
      </c>
      <c r="D60" s="14" t="n">
        <v>197.11</v>
      </c>
      <c r="E60" s="14" t="n">
        <v>168.6</v>
      </c>
      <c r="F60" s="14" t="n">
        <v>112.54</v>
      </c>
      <c r="G60" s="15">
        <f>HYPERLINK("https://www.tradingview.com/chart/?symbol=NSE:HFCL","Chart 📈")</f>
        <v/>
      </c>
    </row>
    <row r="61" ht="16" customHeight="1">
      <c r="A61" s="16" t="inlineStr">
        <is>
          <t>NIFTY MIDSMALL IT &amp; TELECOM</t>
        </is>
      </c>
      <c r="B61" s="13" t="inlineStr">
        <is>
          <t>IDEA</t>
        </is>
      </c>
      <c r="C61" s="14" t="n">
        <v>14.48</v>
      </c>
      <c r="D61" s="14" t="n">
        <v>14.36</v>
      </c>
      <c r="E61" s="14" t="n">
        <v>13.39</v>
      </c>
      <c r="F61" s="14" t="n">
        <v>11.04</v>
      </c>
      <c r="G61" s="15">
        <f>HYPERLINK("https://www.tradingview.com/chart/?symbol=NSE:IDEA","Chart 📈")</f>
        <v/>
      </c>
    </row>
    <row r="62" ht="16" customHeight="1">
      <c r="A62" s="16" t="inlineStr">
        <is>
          <t>NIFTY MIDSMALL IT &amp; TELECOM</t>
        </is>
      </c>
      <c r="B62" s="13" t="inlineStr">
        <is>
          <t>OFSS</t>
        </is>
      </c>
      <c r="C62" s="14" t="n">
        <v>10986</v>
      </c>
      <c r="D62" s="14" t="n">
        <v>10239.98</v>
      </c>
      <c r="E62" s="14" t="n">
        <v>9574.43</v>
      </c>
      <c r="F62" s="14" t="n">
        <v>8455.299999999999</v>
      </c>
      <c r="G62" s="15">
        <f>HYPERLINK("https://www.tradingview.com/chart/?symbol=NSE:OFSS","Chart 📈")</f>
        <v/>
      </c>
    </row>
    <row r="63" ht="16" customHeight="1">
      <c r="A63" s="16" t="inlineStr">
        <is>
          <t>NIFTY MIDSMALL IT &amp; TELECOM</t>
        </is>
      </c>
      <c r="B63" s="13" t="inlineStr">
        <is>
          <t>TANLA</t>
        </is>
      </c>
      <c r="C63" s="14" t="n">
        <v>533.15</v>
      </c>
      <c r="D63" s="14" t="n">
        <v>523.3</v>
      </c>
      <c r="E63" s="14" t="n">
        <v>514.17</v>
      </c>
      <c r="F63" s="14" t="n">
        <v>527.77</v>
      </c>
      <c r="G63" s="15">
        <f>HYPERLINK("https://www.tradingview.com/chart/?symbol=NSE:TANLA","Chart 📈")</f>
        <v/>
      </c>
    </row>
    <row r="64" ht="16" customHeight="1">
      <c r="A64" s="16" t="inlineStr">
        <is>
          <t>NIFTY MIDSMALL IT &amp; TELECOM</t>
        </is>
      </c>
      <c r="B64" s="13" t="inlineStr">
        <is>
          <t>TEJASNET</t>
        </is>
      </c>
      <c r="C64" s="14" t="n">
        <v>602.4</v>
      </c>
      <c r="D64" s="14" t="n">
        <v>591.38</v>
      </c>
      <c r="E64" s="14" t="n">
        <v>539.66</v>
      </c>
      <c r="F64" s="14" t="n">
        <v>505.99</v>
      </c>
      <c r="G64" s="15">
        <f>HYPERLINK("https://www.tradingview.com/chart/?symbol=NSE:TEJASNET","Chart 📈")</f>
        <v/>
      </c>
    </row>
    <row r="65" ht="16" customHeight="1">
      <c r="A65" s="8" t="inlineStr">
        <is>
          <t>NIFTY ENERGY</t>
        </is>
      </c>
      <c r="B65" s="17" t="inlineStr">
        <is>
          <t>ADANIENSOL</t>
        </is>
      </c>
      <c r="C65" s="18" t="n">
        <v>1556.9</v>
      </c>
      <c r="D65" s="18" t="n">
        <v>1502.24</v>
      </c>
      <c r="E65" s="18" t="n">
        <v>1424.37</v>
      </c>
      <c r="F65" s="18" t="n">
        <v>1163.41</v>
      </c>
      <c r="G65" s="19">
        <f>HYPERLINK("https://www.tradingview.com/chart/?symbol=NSE:ADANIENSOL","Chart 📈")</f>
        <v/>
      </c>
    </row>
    <row r="66" ht="16" customHeight="1">
      <c r="A66" s="20" t="inlineStr">
        <is>
          <t>NIFTY ENERGY</t>
        </is>
      </c>
      <c r="B66" s="17" t="inlineStr">
        <is>
          <t>ADANIGREEN</t>
        </is>
      </c>
      <c r="C66" s="18" t="n">
        <v>1555.2</v>
      </c>
      <c r="D66" s="18" t="n">
        <v>1498.16</v>
      </c>
      <c r="E66" s="18" t="n">
        <v>1399.48</v>
      </c>
      <c r="F66" s="18" t="n">
        <v>1160.75</v>
      </c>
      <c r="G66" s="19">
        <f>HYPERLINK("https://www.tradingview.com/chart/?symbol=NSE:ADANIGREEN","Chart 📈")</f>
        <v/>
      </c>
    </row>
    <row r="67" ht="16" customHeight="1">
      <c r="A67" s="20" t="inlineStr">
        <is>
          <t>NIFTY ENERGY</t>
        </is>
      </c>
      <c r="B67" s="17" t="inlineStr">
        <is>
          <t>BHEL</t>
        </is>
      </c>
      <c r="C67" s="18" t="n">
        <v>401.95</v>
      </c>
      <c r="D67" s="18" t="n">
        <v>401.89</v>
      </c>
      <c r="E67" s="18" t="n">
        <v>382.57</v>
      </c>
      <c r="F67" s="18" t="n">
        <v>316.01</v>
      </c>
      <c r="G67" s="19">
        <f>HYPERLINK("https://www.tradingview.com/chart/?symbol=NSE:BHEL","Chart 📈")</f>
        <v/>
      </c>
    </row>
    <row r="68" ht="16" customHeight="1">
      <c r="A68" s="20" t="inlineStr">
        <is>
          <t>NIFTY ENERGY</t>
        </is>
      </c>
      <c r="B68" s="17" t="inlineStr">
        <is>
          <t>CGPOWER</t>
        </is>
      </c>
      <c r="C68" s="18" t="n">
        <v>959.4</v>
      </c>
      <c r="D68" s="18" t="n">
        <v>938.39</v>
      </c>
      <c r="E68" s="18" t="n">
        <v>888.98</v>
      </c>
      <c r="F68" s="18" t="n">
        <v>771.08</v>
      </c>
      <c r="G68" s="19">
        <f>HYPERLINK("https://www.tradingview.com/chart/?symbol=NSE:CGPOWER","Chart 📈")</f>
        <v/>
      </c>
    </row>
    <row r="69" ht="16" customHeight="1">
      <c r="A69" s="20" t="inlineStr">
        <is>
          <t>NIFTY ENERGY</t>
        </is>
      </c>
      <c r="B69" s="17" t="inlineStr">
        <is>
          <t>NHPC</t>
        </is>
      </c>
      <c r="C69" s="18" t="n">
        <v>80.59</v>
      </c>
      <c r="D69" s="18" t="n">
        <v>78.19</v>
      </c>
      <c r="E69" s="18" t="n">
        <v>77.90000000000001</v>
      </c>
      <c r="F69" s="18" t="n">
        <v>78.7</v>
      </c>
      <c r="G69" s="19">
        <f>HYPERLINK("https://www.tradingview.com/chart/?symbol=NSE:NHPC","Chart 📈")</f>
        <v/>
      </c>
    </row>
    <row r="70" ht="16" customHeight="1">
      <c r="A70" s="20" t="inlineStr">
        <is>
          <t>NIFTY ENERGY</t>
        </is>
      </c>
      <c r="B70" s="17" t="inlineStr">
        <is>
          <t>SCHNEIDER</t>
        </is>
      </c>
      <c r="C70" s="18" t="n">
        <v>1453.9</v>
      </c>
      <c r="D70" s="18" t="n">
        <v>1323.12</v>
      </c>
      <c r="E70" s="18" t="n">
        <v>1239.3</v>
      </c>
      <c r="F70" s="18" t="n">
        <v>1009.53</v>
      </c>
      <c r="G70" s="19">
        <f>HYPERLINK("https://www.tradingview.com/chart/?symbol=NSE:SCHNEIDER","Chart 📈")</f>
        <v/>
      </c>
    </row>
    <row r="71" ht="16" customHeight="1">
      <c r="A71" s="20" t="inlineStr">
        <is>
          <t>NIFTY ENERGY</t>
        </is>
      </c>
      <c r="B71" s="17" t="inlineStr">
        <is>
          <t>SUZLON</t>
        </is>
      </c>
      <c r="C71" s="18" t="n">
        <v>57.67</v>
      </c>
      <c r="D71" s="18" t="n">
        <v>57.14</v>
      </c>
      <c r="E71" s="18" t="n">
        <v>54.93</v>
      </c>
      <c r="F71" s="18" t="n">
        <v>53.45</v>
      </c>
      <c r="G71" s="19">
        <f>HYPERLINK("https://www.tradingview.com/chart/?symbol=NSE:SUZLON","Chart 📈")</f>
        <v/>
      </c>
    </row>
    <row r="72" ht="16" customHeight="1">
      <c r="A72" s="20" t="inlineStr">
        <is>
          <t>NIFTY ENERGY</t>
        </is>
      </c>
      <c r="B72" s="17" t="inlineStr">
        <is>
          <t>THERMAX</t>
        </is>
      </c>
      <c r="C72" s="18" t="n">
        <v>4917</v>
      </c>
      <c r="D72" s="18" t="n">
        <v>4825.72</v>
      </c>
      <c r="E72" s="18" t="n">
        <v>4532.79</v>
      </c>
      <c r="F72" s="18" t="n">
        <v>3769.47</v>
      </c>
      <c r="G72" s="19">
        <f>HYPERLINK("https://www.tradingview.com/chart/?symbol=NSE:THERMAX","Chart 📈")</f>
        <v/>
      </c>
    </row>
    <row r="73" ht="16" customHeight="1">
      <c r="A73" s="12" t="inlineStr">
        <is>
          <t>NIFTY OIL &amp; GAS</t>
        </is>
      </c>
      <c r="B73" s="13" t="inlineStr">
        <is>
          <t>AEGISLOG</t>
        </is>
      </c>
      <c r="C73" s="14" t="n">
        <v>1321.9</v>
      </c>
      <c r="D73" s="14" t="n">
        <v>1049.79</v>
      </c>
      <c r="E73" s="14" t="n">
        <v>895.29</v>
      </c>
      <c r="F73" s="14" t="n">
        <v>767.03</v>
      </c>
      <c r="G73" s="15">
        <f>HYPERLINK("https://www.tradingview.com/chart/?symbol=NSE:AEGISLOG","Chart 📈")</f>
        <v/>
      </c>
    </row>
    <row r="74" ht="16" customHeight="1">
      <c r="A74" s="16" t="inlineStr">
        <is>
          <t>NIFTY OIL &amp; GAS</t>
        </is>
      </c>
      <c r="B74" s="13" t="inlineStr">
        <is>
          <t>ATGL</t>
        </is>
      </c>
      <c r="C74" s="14" t="n">
        <v>733.45</v>
      </c>
      <c r="D74" s="14" t="n">
        <v>722.42</v>
      </c>
      <c r="E74" s="14" t="n">
        <v>688.59</v>
      </c>
      <c r="F74" s="14" t="n">
        <v>627.0700000000001</v>
      </c>
      <c r="G74" s="15">
        <f>HYPERLINK("https://www.tradingview.com/chart/?symbol=NSE:ATGL","Chart 📈")</f>
        <v/>
      </c>
    </row>
    <row r="75" ht="16" customHeight="1">
      <c r="A75" s="16" t="inlineStr">
        <is>
          <t>NIFTY OIL &amp; GAS</t>
        </is>
      </c>
      <c r="B75" s="13" t="inlineStr">
        <is>
          <t>GAIL</t>
        </is>
      </c>
      <c r="C75" s="14" t="n">
        <v>174.29</v>
      </c>
      <c r="D75" s="14" t="n">
        <v>172.13</v>
      </c>
      <c r="E75" s="14" t="n">
        <v>167.69</v>
      </c>
      <c r="F75" s="14" t="n">
        <v>166.22</v>
      </c>
      <c r="G75" s="15">
        <f>HYPERLINK("https://www.tradingview.com/chart/?symbol=NSE:GAIL","Chart 📈")</f>
        <v/>
      </c>
    </row>
    <row r="76" ht="16" customHeight="1">
      <c r="A76" s="8" t="inlineStr">
        <is>
          <t>NIFTY BANK</t>
        </is>
      </c>
      <c r="B76" s="17" t="inlineStr">
        <is>
          <t>AUBANK</t>
        </is>
      </c>
      <c r="C76" s="18" t="n">
        <v>1057</v>
      </c>
      <c r="D76" s="18" t="n">
        <v>1025.63</v>
      </c>
      <c r="E76" s="18" t="n">
        <v>1005.96</v>
      </c>
      <c r="F76" s="18" t="n">
        <v>946.7</v>
      </c>
      <c r="G76" s="19">
        <f>HYPERLINK("https://www.tradingview.com/chart/?symbol=NSE:AUBANK","Chart 📈")</f>
        <v/>
      </c>
    </row>
    <row r="77" ht="16" customHeight="1">
      <c r="A77" s="20" t="inlineStr">
        <is>
          <t>NIFTY BANK</t>
        </is>
      </c>
      <c r="B77" s="17" t="inlineStr">
        <is>
          <t>FEDERALBNK</t>
        </is>
      </c>
      <c r="C77" s="18" t="n">
        <v>331</v>
      </c>
      <c r="D77" s="18" t="n">
        <v>319.17</v>
      </c>
      <c r="E77" s="18" t="n">
        <v>305.86</v>
      </c>
      <c r="F77" s="18" t="n">
        <v>273.28</v>
      </c>
      <c r="G77" s="19">
        <f>HYPERLINK("https://www.tradingview.com/chart/?symbol=NSE:FEDERALBNK","Chart 📈")</f>
        <v/>
      </c>
    </row>
    <row r="78" ht="16" customHeight="1">
      <c r="A78" s="20" t="inlineStr">
        <is>
          <t>NIFTY BANK</t>
        </is>
      </c>
      <c r="B78" s="17" t="inlineStr">
        <is>
          <t>IDFCFIRSTB</t>
        </is>
      </c>
      <c r="C78" s="18" t="n">
        <v>79.52</v>
      </c>
      <c r="D78" s="18" t="n">
        <v>77.16</v>
      </c>
      <c r="E78" s="18" t="n">
        <v>74.06999999999999</v>
      </c>
      <c r="F78" s="18" t="n">
        <v>74.12</v>
      </c>
      <c r="G78" s="19">
        <f>HYPERLINK("https://www.tradingview.com/chart/?symbol=NSE:IDFCFIRSTB","Chart 📈")</f>
        <v/>
      </c>
    </row>
    <row r="79" ht="16" customHeight="1">
      <c r="A79" s="20" t="inlineStr">
        <is>
          <t>NIFTY BANK</t>
        </is>
      </c>
      <c r="B79" s="17" t="inlineStr">
        <is>
          <t>INDUSINDBK</t>
        </is>
      </c>
      <c r="C79" s="18" t="n">
        <v>943.5</v>
      </c>
      <c r="D79" s="18" t="n">
        <v>921.99</v>
      </c>
      <c r="E79" s="18" t="n">
        <v>908.21</v>
      </c>
      <c r="F79" s="18" t="n">
        <v>873.99</v>
      </c>
      <c r="G79" s="19">
        <f>HYPERLINK("https://www.tradingview.com/chart/?symbol=NSE:INDUSINDBK","Chart 📈")</f>
        <v/>
      </c>
    </row>
    <row r="80" ht="16" customHeight="1">
      <c r="A80" s="12" t="inlineStr">
        <is>
          <t>NIFTY METAL</t>
        </is>
      </c>
      <c r="B80" s="13" t="inlineStr">
        <is>
          <t>ADANIENT</t>
        </is>
      </c>
      <c r="C80" s="14" t="n">
        <v>3177.5</v>
      </c>
      <c r="D80" s="14" t="n">
        <v>3000.73</v>
      </c>
      <c r="E80" s="14" t="n">
        <v>2799.35</v>
      </c>
      <c r="F80" s="14" t="n">
        <v>2482.94</v>
      </c>
      <c r="G80" s="15">
        <f>HYPERLINK("https://www.tradingview.com/chart/?symbol=NSE:ADANIENT","Chart 📈")</f>
        <v/>
      </c>
    </row>
    <row r="81" ht="16" customHeight="1">
      <c r="A81" s="16" t="inlineStr">
        <is>
          <t>NIFTY METAL</t>
        </is>
      </c>
      <c r="B81" s="13" t="inlineStr">
        <is>
          <t>WELCORP</t>
        </is>
      </c>
      <c r="C81" s="14" t="n">
        <v>1498.8</v>
      </c>
      <c r="D81" s="14" t="n">
        <v>1426.34</v>
      </c>
      <c r="E81" s="14" t="n">
        <v>1322.78</v>
      </c>
      <c r="F81" s="14" t="n">
        <v>1058.56</v>
      </c>
      <c r="G81" s="15">
        <f>HYPERLINK("https://www.tradingview.com/chart/?symbol=NSE:WELCORP","Chart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2026-07-02T13:06:58Z</dcterms:created>
  <dcterms:modified xsi:type="dcterms:W3CDTF">2026-07-02T13:06:59Z</dcterms:modified>
</cp:coreProperties>
</file>